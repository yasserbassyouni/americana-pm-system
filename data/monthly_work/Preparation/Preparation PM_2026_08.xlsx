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<sst xmlns="http://schemas.openxmlformats.org/spreadsheetml/2006/main" count="4603" uniqueCount="527">
  <si>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</si>
  <si>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</si>
  <si>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</si>
  <si>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</si>
  <si>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</si>
  <si>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</si>
  <si>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</si>
  <si>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</si>
  <si>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</si>
  <si>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</si>
  <si>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</si>
  <si>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</si>
  <si>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</si>
  <si>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</si>
  <si>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</si>
  <si>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</si>
  <si>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</si>
  <si>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</si>
  <si>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</si>
  <si>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</si>
  <si>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</si>
  <si>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</si>
  <si>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</si>
  <si>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</si>
  <si>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</si>
  <si>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</si>
  <si>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Aug 2026</t>
  </si>
  <si>
    <t>PM WEEK SCHEDULE</t>
  </si>
  <si>
    <t>Executed By / Execution Date</t>
  </si>
  <si>
    <t>7--13</t>
  </si>
  <si>
    <t>14--20</t>
  </si>
  <si>
    <t>21--27</t>
  </si>
  <si>
    <t>28--3</t>
  </si>
  <si>
    <t/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</si>
  <si>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</si>
  <si>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</si>
  <si>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</si>
  <si>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</si>
  <si>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</si>
  <si>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</si>
  <si>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</si>
  <si>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</si>
  <si>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</si>
  <si>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</si>
  <si>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</si>
  <si>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</si>
  <si>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</si>
  <si>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</si>
  <si>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</si>
  <si>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</si>
  <si>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</si>
  <si>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</si>
  <si>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</si>
  <si>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</si>
  <si>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</si>
  <si>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</si>
  <si>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</si>
  <si>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</si>
  <si>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</si>
  <si>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Preparation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</si>
  <si>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</si>
  <si>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</si>
  <si>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</si>
  <si>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</si>
  <si>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</si>
  <si>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</si>
  <si>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</si>
  <si>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Monthly</t>
  </si>
  <si>
    <t>Calendar</t>
  </si>
  <si>
    <t>Admin</t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</si>
  <si>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</si>
  <si>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</si>
  <si>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</si>
  <si>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</si>
  <si>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</si>
  <si>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</si>
  <si>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</si>
  <si>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</si>
  <si>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</si>
  <si>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</si>
  <si>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</si>
  <si>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</si>
  <si>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</si>
  <si>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</si>
  <si>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</si>
  <si>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</si>
  <si>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</si>
  <si>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</si>
  <si>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</si>
  <si>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</si>
  <si>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</si>
  <si>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</si>
  <si>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</si>
  <si>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</si>
  <si>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</si>
  <si>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</si>
  <si>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</si>
  <si>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</si>
  <si>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</si>
  <si>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</si>
  <si>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</si>
  <si>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</si>
  <si>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</si>
  <si>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</si>
  <si>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</si>
  <si>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</si>
  <si>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</si>
  <si>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</si>
  <si>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</si>
  <si>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</si>
  <si>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</si>
  <si>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</si>
  <si>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</si>
  <si>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</si>
  <si>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</si>
  <si>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</si>
  <si>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</si>
  <si>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</si>
  <si>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</si>
  <si>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</si>
  <si>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</si>
  <si>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Weekly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</si>
  <si>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</si>
  <si>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</si>
  <si>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</si>
  <si>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</si>
  <si>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</si>
  <si>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</si>
  <si>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</si>
  <si>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</si>
  <si>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</si>
  <si>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</si>
  <si>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</si>
  <si>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</si>
  <si>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</si>
  <si>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</si>
  <si>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</si>
  <si>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</si>
  <si>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Semi Annual</t>
  </si>
  <si>
    <t>f349beb7-b2d3-47ad-b369-9ddff331162f</t>
  </si>
  <si>
    <t>change the gearbox oil</t>
  </si>
  <si>
    <t>Annual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</si>
  <si>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</si>
  <si>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</si>
  <si>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</si>
  <si>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</si>
  <si>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</si>
  <si>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</si>
  <si>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</si>
  <si>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</si>
  <si>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</si>
  <si>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</si>
  <si>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</si>
  <si>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</si>
  <si>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</si>
  <si>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</si>
  <si>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</si>
  <si>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Quarterly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</si>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</sst>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0070C0"/>
      </patternFill>
    </fill>
    <fill>
      <patternFill patternType="solid">
        <fgColor rgb="FF275417"/>
      </patternFill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166" fontId="12" fillId="14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 zoomScale="100" zoomScaleNormal="10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37" width="9" hidden="1" customWidth="1"/>
    <col min="38" max="49" width="10" hidden="1" customWidth="1"/>
    <col min="50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IFERROR(SUMPRODUCT((B7:B454&lt;&gt;"")/COUNTIFS(B7:B454,B7:B454&amp;"")),0)</f>
      </c>
      <c r="B3" s="6">
        <f>SUM(AM7:AM454)</f>
      </c>
      <c r="C3" s="6">
        <f>SUM(AL7:AL454)</f>
      </c>
      <c r="D3" s="6">
        <f>MAX(B3-C3,0)</f>
      </c>
      <c r="E3" s="7">
        <f>IFERROR(C3/B3,0)</f>
      </c>
      <c r="F3" s="6">
        <f>COUNTIFS(H7:H454,"planed",L7:L454,"Calendar")</f>
      </c>
      <c r="G3" s="6">
        <f>COUNTIFS(H7:H454,"planed",L7:L454,"Running Hours")</f>
      </c>
      <c r="H3" s="6">
        <f>COUNTIFS(H7:H454,"planed",L7:L454,"PLC Hours")</f>
      </c>
      <c r="J3" s="8">
        <f>SUM(AN7:AN454)</f>
      </c>
      <c r="K3" s="8">
        <f>SUM(AS7:AS454)</f>
      </c>
      <c r="L3" s="8">
        <f>IFERROR(K3/J3,0)</f>
      </c>
      <c r="M3" s="8">
        <f>SUM(AO7:AO454)</f>
      </c>
      <c r="N3" s="8">
        <f>SUM(AT7:AT454)</f>
      </c>
      <c r="O3" s="8">
        <f>IFERROR(N3/M3,0)</f>
      </c>
      <c r="P3" s="8">
        <f>SUM(AP7:AP454)</f>
      </c>
      <c r="Q3" s="8">
        <f>SUM(AU7:AU454)</f>
      </c>
      <c r="R3" s="8">
        <f>IFERROR(Q3/P3,0)</f>
      </c>
      <c r="S3" s="8">
        <f>SUM(AQ7:AQ454)</f>
      </c>
      <c r="T3" s="8">
        <f>SUM(AV7:AV454)</f>
      </c>
      <c r="U3" s="8">
        <f>IFERROR(T3/S3,0)</f>
      </c>
      <c r="V3" s="8">
        <f>SUM(AR7:AR454)</f>
      </c>
      <c r="W3" s="8">
        <f>SUM(AW7:AW454)</f>
      </c>
      <c r="X3" s="8">
        <f>IFERROR(W3/V3,0)</f>
      </c>
      <c r="Y3" s="8" t="s">
        <v>26</v>
      </c>
      <c r="AL3">
        <f>SUM(AL7:AL454)</f>
      </c>
      <c r="AM3">
        <f>SUM(AM7:AM454)</f>
      </c>
      <c r="AN3">
        <f>SUM(AN7:AN454)</f>
      </c>
      <c r="AO3">
        <f>SUM(AO7:AO454)</f>
      </c>
      <c r="AP3">
        <f>SUM(AP7:AP454)</f>
      </c>
      <c r="AQ3">
        <f>SUM(AQ7:AQ454)</f>
      </c>
      <c r="AR3">
        <f>SUM(AR7:AR454)</f>
      </c>
      <c r="AS3">
        <f>SUM(AS7:AS454)</f>
      </c>
      <c r="AT3">
        <f>SUM(AT7:AT454)</f>
      </c>
      <c r="AU3">
        <f>SUM(AU7:AU454)</f>
      </c>
      <c r="AV3">
        <f>SUM(AV7:AV454)</f>
      </c>
      <c r="AW3">
        <f>SUM(AW7:AW454)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61</v>
      </c>
      <c r="D7" s="14" t="s">
        <v>62</v>
      </c>
      <c r="E7" s="14" t="s">
        <v>63</v>
      </c>
      <c r="F7" s="15" t="s">
        <v>64</v>
      </c>
      <c r="G7" s="15" t="s">
        <v>65</v>
      </c>
      <c r="H7" s="14" t="s">
        <v>66</v>
      </c>
      <c r="I7" s="16">
        <v>2</v>
      </c>
      <c r="J7" s="17">
        <v>1</v>
      </c>
      <c r="K7" s="14" t="s">
        <v>67</v>
      </c>
      <c r="L7" s="14" t="s">
        <v>68</v>
      </c>
      <c r="M7" s="14"/>
      <c r="N7" s="14"/>
      <c r="O7" s="15"/>
      <c r="P7" s="18">
        <v>2</v>
      </c>
      <c r="Q7" s="19">
        <v>0</v>
      </c>
      <c r="R7" s="19">
        <v>0</v>
      </c>
      <c r="S7" s="19">
        <v>0</v>
      </c>
      <c r="T7" s="19">
        <v>0</v>
      </c>
      <c r="U7" s="14" t="s">
        <v>69</v>
      </c>
      <c r="V7" s="14" t="s">
        <v>33</v>
      </c>
      <c r="W7" s="14" t="s">
        <v>33</v>
      </c>
      <c r="X7" s="14" t="s">
        <v>33</v>
      </c>
      <c r="Y7" s="14" t="s">
        <v>33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70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71</v>
      </c>
      <c r="I8" s="16"/>
      <c r="J8" s="17"/>
      <c r="K8" s="14"/>
      <c r="L8" s="14"/>
      <c r="M8" s="14"/>
      <c r="N8" s="14"/>
      <c r="O8" s="15"/>
      <c r="P8" s="20">
        <v>6</v>
      </c>
      <c r="Q8" s="20">
        <v>0</v>
      </c>
      <c r="R8" s="20">
        <v>0</v>
      </c>
      <c r="S8" s="20">
        <v>0</v>
      </c>
      <c r="T8" s="20">
        <v>0</v>
      </c>
      <c r="U8" s="21">
        <v>46246.375</v>
      </c>
      <c r="V8" s="21" t="s">
        <v>33</v>
      </c>
      <c r="W8" s="21" t="s">
        <v>33</v>
      </c>
      <c r="X8" s="21" t="s">
        <v>33</v>
      </c>
      <c r="Y8" s="21" t="s">
        <v>33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70</v>
      </c>
    </row>
    <row r="9" ht="28" customHeight="1" spans="1:51" x14ac:dyDescent="0.25">
      <c r="A9" s="14"/>
      <c r="B9" s="14"/>
      <c r="C9" s="14"/>
      <c r="D9" s="14"/>
      <c r="E9" s="14"/>
      <c r="F9" s="15" t="s">
        <v>72</v>
      </c>
      <c r="G9" s="15" t="s">
        <v>73</v>
      </c>
      <c r="H9" s="14" t="s">
        <v>66</v>
      </c>
      <c r="I9" s="16">
        <v>2</v>
      </c>
      <c r="J9" s="17">
        <v>1</v>
      </c>
      <c r="K9" s="14" t="s">
        <v>67</v>
      </c>
      <c r="L9" s="14" t="s">
        <v>68</v>
      </c>
      <c r="M9" s="14"/>
      <c r="N9" s="14"/>
      <c r="O9" s="15"/>
      <c r="P9" s="19">
        <v>0</v>
      </c>
      <c r="Q9" s="18">
        <v>2</v>
      </c>
      <c r="R9" s="19">
        <v>0</v>
      </c>
      <c r="S9" s="19">
        <v>0</v>
      </c>
      <c r="T9" s="19">
        <v>0</v>
      </c>
      <c r="U9" s="14" t="s">
        <v>33</v>
      </c>
      <c r="V9" s="14" t="s">
        <v>33</v>
      </c>
      <c r="W9" s="14" t="s">
        <v>33</v>
      </c>
      <c r="X9" s="14" t="s">
        <v>33</v>
      </c>
      <c r="Y9" s="14" t="s">
        <v>33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74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71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74</v>
      </c>
    </row>
    <row r="11" ht="28" customHeight="1" spans="1:51" x14ac:dyDescent="0.25">
      <c r="A11" s="14"/>
      <c r="B11" s="14"/>
      <c r="C11" s="14"/>
      <c r="D11" s="14"/>
      <c r="E11" s="14"/>
      <c r="F11" s="15" t="s">
        <v>75</v>
      </c>
      <c r="G11" s="15" t="s">
        <v>76</v>
      </c>
      <c r="H11" s="14" t="s">
        <v>66</v>
      </c>
      <c r="I11" s="16">
        <v>2</v>
      </c>
      <c r="J11" s="17">
        <v>1</v>
      </c>
      <c r="K11" s="14" t="s">
        <v>67</v>
      </c>
      <c r="L11" s="14" t="s">
        <v>68</v>
      </c>
      <c r="M11" s="14"/>
      <c r="N11" s="14"/>
      <c r="O11" s="15"/>
      <c r="P11" s="19">
        <v>0</v>
      </c>
      <c r="Q11" s="19">
        <v>0</v>
      </c>
      <c r="R11" s="18">
        <v>2</v>
      </c>
      <c r="S11" s="19">
        <v>0</v>
      </c>
      <c r="T11" s="19">
        <v>0</v>
      </c>
      <c r="U11" s="14" t="s">
        <v>33</v>
      </c>
      <c r="V11" s="14" t="s">
        <v>33</v>
      </c>
      <c r="W11" s="14" t="s">
        <v>33</v>
      </c>
      <c r="X11" s="14" t="s">
        <v>33</v>
      </c>
      <c r="Y11" s="14" t="s">
        <v>33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77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71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77</v>
      </c>
    </row>
    <row r="13" ht="28" customHeight="1" spans="1:51" x14ac:dyDescent="0.25">
      <c r="A13" s="14"/>
      <c r="B13" s="14"/>
      <c r="C13" s="14"/>
      <c r="D13" s="14"/>
      <c r="E13" s="14"/>
      <c r="F13" s="15" t="s">
        <v>75</v>
      </c>
      <c r="G13" s="15" t="s">
        <v>78</v>
      </c>
      <c r="H13" s="14" t="s">
        <v>66</v>
      </c>
      <c r="I13" s="16">
        <v>2</v>
      </c>
      <c r="J13" s="17">
        <v>1</v>
      </c>
      <c r="K13" s="14" t="s">
        <v>67</v>
      </c>
      <c r="L13" s="14" t="s">
        <v>68</v>
      </c>
      <c r="M13" s="14"/>
      <c r="N13" s="14"/>
      <c r="O13" s="15"/>
      <c r="P13" s="19">
        <v>0</v>
      </c>
      <c r="Q13" s="19">
        <v>0</v>
      </c>
      <c r="R13" s="19">
        <v>0</v>
      </c>
      <c r="S13" s="18">
        <v>2</v>
      </c>
      <c r="T13" s="19">
        <v>0</v>
      </c>
      <c r="U13" s="14" t="s">
        <v>33</v>
      </c>
      <c r="V13" s="14" t="s">
        <v>33</v>
      </c>
      <c r="W13" s="14" t="s">
        <v>33</v>
      </c>
      <c r="X13" s="14" t="s">
        <v>33</v>
      </c>
      <c r="Y13" s="14" t="s">
        <v>33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79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71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79</v>
      </c>
    </row>
    <row r="15" ht="28" customHeight="1" spans="1:51" x14ac:dyDescent="0.25">
      <c r="A15" s="14"/>
      <c r="B15" s="14"/>
      <c r="C15" s="14"/>
      <c r="D15" s="14"/>
      <c r="E15" s="14"/>
      <c r="F15" s="15" t="s">
        <v>80</v>
      </c>
      <c r="G15" s="15" t="s">
        <v>81</v>
      </c>
      <c r="H15" s="14" t="s">
        <v>66</v>
      </c>
      <c r="I15" s="16">
        <v>2</v>
      </c>
      <c r="J15" s="17">
        <v>1</v>
      </c>
      <c r="K15" s="14" t="s">
        <v>67</v>
      </c>
      <c r="L15" s="14" t="s">
        <v>68</v>
      </c>
      <c r="M15" s="14"/>
      <c r="N15" s="14"/>
      <c r="O15" s="15"/>
      <c r="P15" s="18">
        <v>2</v>
      </c>
      <c r="Q15" s="19">
        <v>0</v>
      </c>
      <c r="R15" s="19">
        <v>0</v>
      </c>
      <c r="S15" s="19">
        <v>0</v>
      </c>
      <c r="T15" s="19">
        <v>0</v>
      </c>
      <c r="U15" s="14" t="s">
        <v>69</v>
      </c>
      <c r="V15" s="14" t="s">
        <v>33</v>
      </c>
      <c r="W15" s="14" t="s">
        <v>33</v>
      </c>
      <c r="X15" s="14" t="s">
        <v>33</v>
      </c>
      <c r="Y15" s="14" t="s">
        <v>33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82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71</v>
      </c>
      <c r="I16" s="16"/>
      <c r="J16" s="17"/>
      <c r="K16" s="14"/>
      <c r="L16" s="14"/>
      <c r="M16" s="14"/>
      <c r="N16" s="14"/>
      <c r="O16" s="15"/>
      <c r="P16" s="20">
        <v>6</v>
      </c>
      <c r="Q16" s="20">
        <v>0</v>
      </c>
      <c r="R16" s="20">
        <v>0</v>
      </c>
      <c r="S16" s="20">
        <v>0</v>
      </c>
      <c r="T16" s="20">
        <v>0</v>
      </c>
      <c r="U16" s="21">
        <v>46246.375</v>
      </c>
      <c r="V16" s="21" t="s">
        <v>33</v>
      </c>
      <c r="W16" s="21" t="s">
        <v>33</v>
      </c>
      <c r="X16" s="21" t="s">
        <v>33</v>
      </c>
      <c r="Y16" s="21" t="s">
        <v>33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82</v>
      </c>
    </row>
    <row r="17" ht="28" customHeight="1" spans="1:51" x14ac:dyDescent="0.25">
      <c r="A17" s="14"/>
      <c r="B17" s="14"/>
      <c r="C17" s="14"/>
      <c r="D17" s="14"/>
      <c r="E17" s="14"/>
      <c r="F17" s="15" t="s">
        <v>80</v>
      </c>
      <c r="G17" s="15" t="s">
        <v>83</v>
      </c>
      <c r="H17" s="14" t="s">
        <v>66</v>
      </c>
      <c r="I17" s="16">
        <v>2</v>
      </c>
      <c r="J17" s="17">
        <v>1</v>
      </c>
      <c r="K17" s="14" t="s">
        <v>67</v>
      </c>
      <c r="L17" s="14" t="s">
        <v>68</v>
      </c>
      <c r="M17" s="14"/>
      <c r="N17" s="14"/>
      <c r="O17" s="15"/>
      <c r="P17" s="19">
        <v>0</v>
      </c>
      <c r="Q17" s="18">
        <v>2</v>
      </c>
      <c r="R17" s="19">
        <v>0</v>
      </c>
      <c r="S17" s="19">
        <v>0</v>
      </c>
      <c r="T17" s="19">
        <v>0</v>
      </c>
      <c r="U17" s="14" t="s">
        <v>33</v>
      </c>
      <c r="V17" s="14" t="s">
        <v>33</v>
      </c>
      <c r="W17" s="14" t="s">
        <v>33</v>
      </c>
      <c r="X17" s="14" t="s">
        <v>33</v>
      </c>
      <c r="Y17" s="14" t="s">
        <v>33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84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71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84</v>
      </c>
    </row>
    <row r="19" ht="28" customHeight="1" spans="1:51" x14ac:dyDescent="0.25">
      <c r="A19" s="14"/>
      <c r="B19" s="14"/>
      <c r="C19" s="14"/>
      <c r="D19" s="14"/>
      <c r="E19" s="14"/>
      <c r="F19" s="15" t="s">
        <v>85</v>
      </c>
      <c r="G19" s="15" t="s">
        <v>86</v>
      </c>
      <c r="H19" s="14" t="s">
        <v>66</v>
      </c>
      <c r="I19" s="16">
        <v>2</v>
      </c>
      <c r="J19" s="17">
        <v>1</v>
      </c>
      <c r="K19" s="14" t="s">
        <v>67</v>
      </c>
      <c r="L19" s="14" t="s">
        <v>68</v>
      </c>
      <c r="M19" s="14"/>
      <c r="N19" s="14"/>
      <c r="O19" s="15"/>
      <c r="P19" s="19">
        <v>0</v>
      </c>
      <c r="Q19" s="19">
        <v>0</v>
      </c>
      <c r="R19" s="18">
        <v>2</v>
      </c>
      <c r="S19" s="19">
        <v>0</v>
      </c>
      <c r="T19" s="19">
        <v>0</v>
      </c>
      <c r="U19" s="14" t="s">
        <v>33</v>
      </c>
      <c r="V19" s="14" t="s">
        <v>33</v>
      </c>
      <c r="W19" s="14" t="s">
        <v>33</v>
      </c>
      <c r="X19" s="14" t="s">
        <v>33</v>
      </c>
      <c r="Y19" s="14" t="s">
        <v>33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87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71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87</v>
      </c>
    </row>
    <row r="21" ht="28" customHeight="1" spans="1:51" x14ac:dyDescent="0.25">
      <c r="A21" s="14"/>
      <c r="B21" s="14"/>
      <c r="C21" s="14"/>
      <c r="D21" s="14"/>
      <c r="E21" s="14"/>
      <c r="F21" s="15" t="s">
        <v>88</v>
      </c>
      <c r="G21" s="15" t="s">
        <v>89</v>
      </c>
      <c r="H21" s="14" t="s">
        <v>66</v>
      </c>
      <c r="I21" s="16">
        <v>2</v>
      </c>
      <c r="J21" s="17">
        <v>1</v>
      </c>
      <c r="K21" s="14" t="s">
        <v>67</v>
      </c>
      <c r="L21" s="14" t="s">
        <v>68</v>
      </c>
      <c r="M21" s="14"/>
      <c r="N21" s="14"/>
      <c r="O21" s="15"/>
      <c r="P21" s="19">
        <v>0</v>
      </c>
      <c r="Q21" s="19">
        <v>0</v>
      </c>
      <c r="R21" s="19">
        <v>0</v>
      </c>
      <c r="S21" s="18">
        <v>2</v>
      </c>
      <c r="T21" s="19">
        <v>0</v>
      </c>
      <c r="U21" s="14" t="s">
        <v>33</v>
      </c>
      <c r="V21" s="14" t="s">
        <v>33</v>
      </c>
      <c r="W21" s="14" t="s">
        <v>33</v>
      </c>
      <c r="X21" s="14" t="s">
        <v>33</v>
      </c>
      <c r="Y21" s="14" t="s">
        <v>33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90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71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90</v>
      </c>
    </row>
    <row r="23" ht="28" customHeight="1" spans="1:51" x14ac:dyDescent="0.25">
      <c r="A23" s="14"/>
      <c r="B23" s="14"/>
      <c r="C23" s="14"/>
      <c r="D23" s="14"/>
      <c r="E23" s="14"/>
      <c r="F23" s="15" t="s">
        <v>91</v>
      </c>
      <c r="G23" s="15" t="s">
        <v>92</v>
      </c>
      <c r="H23" s="14" t="s">
        <v>66</v>
      </c>
      <c r="I23" s="16">
        <v>2</v>
      </c>
      <c r="J23" s="17">
        <v>1</v>
      </c>
      <c r="K23" s="14" t="s">
        <v>67</v>
      </c>
      <c r="L23" s="14" t="s">
        <v>68</v>
      </c>
      <c r="M23" s="14"/>
      <c r="N23" s="14"/>
      <c r="O23" s="15"/>
      <c r="P23" s="18">
        <v>2</v>
      </c>
      <c r="Q23" s="19">
        <v>0</v>
      </c>
      <c r="R23" s="19">
        <v>0</v>
      </c>
      <c r="S23" s="19">
        <v>0</v>
      </c>
      <c r="T23" s="19">
        <v>0</v>
      </c>
      <c r="U23" s="14" t="s">
        <v>69</v>
      </c>
      <c r="V23" s="14" t="s">
        <v>33</v>
      </c>
      <c r="W23" s="14" t="s">
        <v>33</v>
      </c>
      <c r="X23" s="14" t="s">
        <v>33</v>
      </c>
      <c r="Y23" s="14" t="s">
        <v>33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60</v>
      </c>
      <c r="AY23" t="s">
        <v>93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71</v>
      </c>
      <c r="I24" s="16"/>
      <c r="J24" s="17"/>
      <c r="K24" s="14"/>
      <c r="L24" s="14"/>
      <c r="M24" s="14"/>
      <c r="N24" s="14"/>
      <c r="O24" s="15"/>
      <c r="P24" s="20">
        <v>6</v>
      </c>
      <c r="Q24" s="20">
        <v>0</v>
      </c>
      <c r="R24" s="20">
        <v>0</v>
      </c>
      <c r="S24" s="20">
        <v>0</v>
      </c>
      <c r="T24" s="20">
        <v>0</v>
      </c>
      <c r="U24" s="21">
        <v>46246.375</v>
      </c>
      <c r="V24" s="21" t="s">
        <v>33</v>
      </c>
      <c r="W24" s="21" t="s">
        <v>33</v>
      </c>
      <c r="X24" s="21" t="s">
        <v>33</v>
      </c>
      <c r="Y24" s="21" t="s">
        <v>33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60</v>
      </c>
      <c r="AY24" t="s">
        <v>93</v>
      </c>
    </row>
    <row r="25" ht="28" customHeight="1" spans="1:51" x14ac:dyDescent="0.25">
      <c r="A25" s="14"/>
      <c r="B25" s="14"/>
      <c r="C25" s="14"/>
      <c r="D25" s="14"/>
      <c r="E25" s="14"/>
      <c r="F25" s="15" t="s">
        <v>94</v>
      </c>
      <c r="G25" s="15" t="s">
        <v>95</v>
      </c>
      <c r="H25" s="14" t="s">
        <v>66</v>
      </c>
      <c r="I25" s="16">
        <v>2</v>
      </c>
      <c r="J25" s="17">
        <v>1</v>
      </c>
      <c r="K25" s="14" t="s">
        <v>67</v>
      </c>
      <c r="L25" s="14" t="s">
        <v>68</v>
      </c>
      <c r="M25" s="14"/>
      <c r="N25" s="14"/>
      <c r="O25" s="15"/>
      <c r="P25" s="19">
        <v>0</v>
      </c>
      <c r="Q25" s="18">
        <v>2</v>
      </c>
      <c r="R25" s="19">
        <v>0</v>
      </c>
      <c r="S25" s="19">
        <v>0</v>
      </c>
      <c r="T25" s="19">
        <v>0</v>
      </c>
      <c r="U25" s="14" t="s">
        <v>33</v>
      </c>
      <c r="V25" s="14" t="s">
        <v>33</v>
      </c>
      <c r="W25" s="14" t="s">
        <v>33</v>
      </c>
      <c r="X25" s="14" t="s">
        <v>33</v>
      </c>
      <c r="Y25" s="14" t="s">
        <v>33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60</v>
      </c>
      <c r="AY25" t="s">
        <v>96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71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60</v>
      </c>
      <c r="AY26" t="s">
        <v>96</v>
      </c>
    </row>
    <row r="27" ht="28" customHeight="1" spans="1:51" x14ac:dyDescent="0.25">
      <c r="A27" s="14"/>
      <c r="B27" s="14"/>
      <c r="C27" s="14"/>
      <c r="D27" s="14"/>
      <c r="E27" s="14"/>
      <c r="F27" s="15" t="s">
        <v>97</v>
      </c>
      <c r="G27" s="15" t="s">
        <v>98</v>
      </c>
      <c r="H27" s="14" t="s">
        <v>66</v>
      </c>
      <c r="I27" s="16">
        <v>2</v>
      </c>
      <c r="J27" s="17">
        <v>1</v>
      </c>
      <c r="K27" s="14" t="s">
        <v>67</v>
      </c>
      <c r="L27" s="14" t="s">
        <v>68</v>
      </c>
      <c r="M27" s="14"/>
      <c r="N27" s="14"/>
      <c r="O27" s="15"/>
      <c r="P27" s="19">
        <v>0</v>
      </c>
      <c r="Q27" s="19">
        <v>0</v>
      </c>
      <c r="R27" s="18">
        <v>2</v>
      </c>
      <c r="S27" s="19">
        <v>0</v>
      </c>
      <c r="T27" s="19">
        <v>0</v>
      </c>
      <c r="U27" s="14" t="s">
        <v>33</v>
      </c>
      <c r="V27" s="14" t="s">
        <v>33</v>
      </c>
      <c r="W27" s="14" t="s">
        <v>33</v>
      </c>
      <c r="X27" s="14" t="s">
        <v>33</v>
      </c>
      <c r="Y27" s="14" t="s">
        <v>33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60</v>
      </c>
      <c r="AY27" t="s">
        <v>99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71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33</v>
      </c>
      <c r="V28" s="21" t="s">
        <v>33</v>
      </c>
      <c r="W28" s="21" t="s">
        <v>33</v>
      </c>
      <c r="X28" s="21" t="s">
        <v>33</v>
      </c>
      <c r="Y28" s="21" t="s">
        <v>33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60</v>
      </c>
      <c r="AY28" t="s">
        <v>99</v>
      </c>
    </row>
    <row r="29" ht="28" customHeight="1" spans="1:51" x14ac:dyDescent="0.25">
      <c r="A29" s="14"/>
      <c r="B29" s="14"/>
      <c r="C29" s="14"/>
      <c r="D29" s="14"/>
      <c r="E29" s="14"/>
      <c r="F29" s="15" t="s">
        <v>100</v>
      </c>
      <c r="G29" s="15" t="s">
        <v>101</v>
      </c>
      <c r="H29" s="14" t="s">
        <v>66</v>
      </c>
      <c r="I29" s="16">
        <v>2</v>
      </c>
      <c r="J29" s="17">
        <v>1</v>
      </c>
      <c r="K29" s="14" t="s">
        <v>67</v>
      </c>
      <c r="L29" s="14" t="s">
        <v>68</v>
      </c>
      <c r="M29" s="14"/>
      <c r="N29" s="14"/>
      <c r="O29" s="15"/>
      <c r="P29" s="19">
        <v>0</v>
      </c>
      <c r="Q29" s="19">
        <v>0</v>
      </c>
      <c r="R29" s="19">
        <v>0</v>
      </c>
      <c r="S29" s="18">
        <v>2</v>
      </c>
      <c r="T29" s="19">
        <v>0</v>
      </c>
      <c r="U29" s="14" t="s">
        <v>33</v>
      </c>
      <c r="V29" s="14" t="s">
        <v>33</v>
      </c>
      <c r="W29" s="14" t="s">
        <v>33</v>
      </c>
      <c r="X29" s="14" t="s">
        <v>33</v>
      </c>
      <c r="Y29" s="14" t="s">
        <v>33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60</v>
      </c>
      <c r="AY29" t="s">
        <v>102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71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33</v>
      </c>
      <c r="V30" s="21" t="s">
        <v>33</v>
      </c>
      <c r="W30" s="21" t="s">
        <v>33</v>
      </c>
      <c r="X30" s="21" t="s">
        <v>33</v>
      </c>
      <c r="Y30" s="21" t="s">
        <v>33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60</v>
      </c>
      <c r="AY30" t="s">
        <v>102</v>
      </c>
    </row>
    <row r="31" ht="28" customHeight="1" spans="1:51" x14ac:dyDescent="0.25">
      <c r="A31" s="14"/>
      <c r="B31" s="14"/>
      <c r="C31" s="14"/>
      <c r="D31" s="14"/>
      <c r="E31" s="14"/>
      <c r="F31" s="15" t="s">
        <v>103</v>
      </c>
      <c r="G31" s="15" t="s">
        <v>104</v>
      </c>
      <c r="H31" s="14" t="s">
        <v>66</v>
      </c>
      <c r="I31" s="16">
        <v>2</v>
      </c>
      <c r="J31" s="17">
        <v>1</v>
      </c>
      <c r="K31" s="14" t="s">
        <v>67</v>
      </c>
      <c r="L31" s="14" t="s">
        <v>68</v>
      </c>
      <c r="M31" s="14"/>
      <c r="N31" s="14"/>
      <c r="O31" s="15"/>
      <c r="P31" s="18">
        <v>2</v>
      </c>
      <c r="Q31" s="19">
        <v>0</v>
      </c>
      <c r="R31" s="19">
        <v>0</v>
      </c>
      <c r="S31" s="19">
        <v>0</v>
      </c>
      <c r="T31" s="19">
        <v>0</v>
      </c>
      <c r="U31" s="14" t="s">
        <v>69</v>
      </c>
      <c r="V31" s="14" t="s">
        <v>33</v>
      </c>
      <c r="W31" s="14" t="s">
        <v>33</v>
      </c>
      <c r="X31" s="14" t="s">
        <v>33</v>
      </c>
      <c r="Y31" s="14" t="s">
        <v>33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60</v>
      </c>
      <c r="AY31" t="s">
        <v>105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71</v>
      </c>
      <c r="I32" s="16"/>
      <c r="J32" s="17"/>
      <c r="K32" s="14"/>
      <c r="L32" s="14"/>
      <c r="M32" s="14"/>
      <c r="N32" s="14"/>
      <c r="O32" s="15"/>
      <c r="P32" s="20">
        <v>6</v>
      </c>
      <c r="Q32" s="20">
        <v>0</v>
      </c>
      <c r="R32" s="20">
        <v>0</v>
      </c>
      <c r="S32" s="20">
        <v>0</v>
      </c>
      <c r="T32" s="20">
        <v>0</v>
      </c>
      <c r="U32" s="21">
        <v>46246.375</v>
      </c>
      <c r="V32" s="21" t="s">
        <v>33</v>
      </c>
      <c r="W32" s="21" t="s">
        <v>33</v>
      </c>
      <c r="X32" s="21" t="s">
        <v>33</v>
      </c>
      <c r="Y32" s="21" t="s">
        <v>33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60</v>
      </c>
      <c r="AY32" t="s">
        <v>105</v>
      </c>
    </row>
    <row r="33" ht="28" customHeight="1" spans="1:51" x14ac:dyDescent="0.25">
      <c r="A33" s="14"/>
      <c r="B33" s="14"/>
      <c r="C33" s="14"/>
      <c r="D33" s="14"/>
      <c r="E33" s="14"/>
      <c r="F33" s="15" t="s">
        <v>106</v>
      </c>
      <c r="G33" s="15" t="s">
        <v>107</v>
      </c>
      <c r="H33" s="14" t="s">
        <v>66</v>
      </c>
      <c r="I33" s="16">
        <v>2</v>
      </c>
      <c r="J33" s="17">
        <v>1</v>
      </c>
      <c r="K33" s="14" t="s">
        <v>67</v>
      </c>
      <c r="L33" s="14" t="s">
        <v>68</v>
      </c>
      <c r="M33" s="14"/>
      <c r="N33" s="14"/>
      <c r="O33" s="15"/>
      <c r="P33" s="19">
        <v>0</v>
      </c>
      <c r="Q33" s="18">
        <v>2</v>
      </c>
      <c r="R33" s="19">
        <v>0</v>
      </c>
      <c r="S33" s="19">
        <v>0</v>
      </c>
      <c r="T33" s="19">
        <v>0</v>
      </c>
      <c r="U33" s="14" t="s">
        <v>33</v>
      </c>
      <c r="V33" s="14" t="s">
        <v>33</v>
      </c>
      <c r="W33" s="14" t="s">
        <v>33</v>
      </c>
      <c r="X33" s="14" t="s">
        <v>33</v>
      </c>
      <c r="Y33" s="14" t="s">
        <v>33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60</v>
      </c>
      <c r="AY33" t="s">
        <v>108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71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60</v>
      </c>
      <c r="AY34" t="s">
        <v>108</v>
      </c>
    </row>
    <row r="35" ht="28" customHeight="1" spans="1:51" x14ac:dyDescent="0.25">
      <c r="A35" s="14"/>
      <c r="B35" s="14"/>
      <c r="C35" s="14"/>
      <c r="D35" s="14"/>
      <c r="E35" s="14"/>
      <c r="F35" s="15" t="s">
        <v>109</v>
      </c>
      <c r="G35" s="15" t="s">
        <v>110</v>
      </c>
      <c r="H35" s="14" t="s">
        <v>66</v>
      </c>
      <c r="I35" s="16">
        <v>2</v>
      </c>
      <c r="J35" s="17">
        <v>1</v>
      </c>
      <c r="K35" s="14" t="s">
        <v>67</v>
      </c>
      <c r="L35" s="14" t="s">
        <v>68</v>
      </c>
      <c r="M35" s="14"/>
      <c r="N35" s="14"/>
      <c r="O35" s="15"/>
      <c r="P35" s="19">
        <v>0</v>
      </c>
      <c r="Q35" s="19">
        <v>0</v>
      </c>
      <c r="R35" s="18">
        <v>2</v>
      </c>
      <c r="S35" s="19">
        <v>0</v>
      </c>
      <c r="T35" s="19">
        <v>0</v>
      </c>
      <c r="U35" s="14" t="s">
        <v>33</v>
      </c>
      <c r="V35" s="14" t="s">
        <v>33</v>
      </c>
      <c r="W35" s="14" t="s">
        <v>33</v>
      </c>
      <c r="X35" s="14" t="s">
        <v>33</v>
      </c>
      <c r="Y35" s="14" t="s">
        <v>33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60</v>
      </c>
      <c r="AY35" t="s">
        <v>111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71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33</v>
      </c>
      <c r="V36" s="21" t="s">
        <v>33</v>
      </c>
      <c r="W36" s="21" t="s">
        <v>33</v>
      </c>
      <c r="X36" s="21" t="s">
        <v>33</v>
      </c>
      <c r="Y36" s="21" t="s">
        <v>33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60</v>
      </c>
      <c r="AY36" t="s">
        <v>111</v>
      </c>
    </row>
    <row r="37" ht="28" customHeight="1" spans="1:51" x14ac:dyDescent="0.25">
      <c r="A37" s="14"/>
      <c r="B37" s="14"/>
      <c r="C37" s="14"/>
      <c r="D37" s="14"/>
      <c r="E37" s="14"/>
      <c r="F37" s="15" t="s">
        <v>112</v>
      </c>
      <c r="G37" s="15" t="s">
        <v>113</v>
      </c>
      <c r="H37" s="14" t="s">
        <v>66</v>
      </c>
      <c r="I37" s="16">
        <v>2</v>
      </c>
      <c r="J37" s="17">
        <v>1</v>
      </c>
      <c r="K37" s="14" t="s">
        <v>67</v>
      </c>
      <c r="L37" s="14" t="s">
        <v>68</v>
      </c>
      <c r="M37" s="14"/>
      <c r="N37" s="14"/>
      <c r="O37" s="15"/>
      <c r="P37" s="19">
        <v>0</v>
      </c>
      <c r="Q37" s="19">
        <v>0</v>
      </c>
      <c r="R37" s="19">
        <v>0</v>
      </c>
      <c r="S37" s="18">
        <v>2</v>
      </c>
      <c r="T37" s="19">
        <v>0</v>
      </c>
      <c r="U37" s="14" t="s">
        <v>33</v>
      </c>
      <c r="V37" s="14" t="s">
        <v>33</v>
      </c>
      <c r="W37" s="14" t="s">
        <v>33</v>
      </c>
      <c r="X37" s="14" t="s">
        <v>33</v>
      </c>
      <c r="Y37" s="14" t="s">
        <v>33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60</v>
      </c>
      <c r="AY37" t="s">
        <v>114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71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33</v>
      </c>
      <c r="V38" s="21" t="s">
        <v>33</v>
      </c>
      <c r="W38" s="21" t="s">
        <v>33</v>
      </c>
      <c r="X38" s="21" t="s">
        <v>33</v>
      </c>
      <c r="Y38" s="21" t="s">
        <v>33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60</v>
      </c>
      <c r="AY38" t="s">
        <v>114</v>
      </c>
    </row>
    <row r="39" ht="28" customHeight="1" spans="1:51" x14ac:dyDescent="0.25">
      <c r="A39" s="14"/>
      <c r="B39" s="14" t="s">
        <v>115</v>
      </c>
      <c r="C39" s="14" t="s">
        <v>116</v>
      </c>
      <c r="D39" s="14" t="s">
        <v>117</v>
      </c>
      <c r="E39" s="14" t="s">
        <v>118</v>
      </c>
      <c r="F39" s="15" t="s">
        <v>119</v>
      </c>
      <c r="G39" s="15" t="s">
        <v>120</v>
      </c>
      <c r="H39" s="14" t="s">
        <v>66</v>
      </c>
      <c r="I39" s="16">
        <v>1</v>
      </c>
      <c r="J39" s="17">
        <v>1</v>
      </c>
      <c r="K39" s="14" t="s">
        <v>121</v>
      </c>
      <c r="L39" s="14" t="s">
        <v>68</v>
      </c>
      <c r="M39" s="14"/>
      <c r="N39" s="14"/>
      <c r="O39" s="15"/>
      <c r="P39" s="22">
        <v>1</v>
      </c>
      <c r="Q39" s="22">
        <v>1</v>
      </c>
      <c r="R39" s="22">
        <v>1</v>
      </c>
      <c r="S39" s="22">
        <v>1</v>
      </c>
      <c r="T39" s="19">
        <v>0</v>
      </c>
      <c r="U39" s="14" t="s">
        <v>69</v>
      </c>
      <c r="V39" s="14" t="s">
        <v>33</v>
      </c>
      <c r="W39" s="14" t="s">
        <v>33</v>
      </c>
      <c r="X39" s="14" t="s">
        <v>33</v>
      </c>
      <c r="Y39" s="14" t="s">
        <v>33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115</v>
      </c>
      <c r="AY39" t="s">
        <v>122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71</v>
      </c>
      <c r="I40" s="16"/>
      <c r="J40" s="17"/>
      <c r="K40" s="14"/>
      <c r="L40" s="14"/>
      <c r="M40" s="14"/>
      <c r="N40" s="14"/>
      <c r="O40" s="15"/>
      <c r="P40" s="20">
        <v>6</v>
      </c>
      <c r="Q40" s="20">
        <v>0</v>
      </c>
      <c r="R40" s="20">
        <v>0</v>
      </c>
      <c r="S40" s="20">
        <v>0</v>
      </c>
      <c r="T40" s="20">
        <v>0</v>
      </c>
      <c r="U40" s="21">
        <v>46246.375</v>
      </c>
      <c r="V40" s="21" t="s">
        <v>33</v>
      </c>
      <c r="W40" s="21" t="s">
        <v>33</v>
      </c>
      <c r="X40" s="21" t="s">
        <v>33</v>
      </c>
      <c r="Y40" s="21" t="s">
        <v>33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115</v>
      </c>
      <c r="AY40" t="s">
        <v>122</v>
      </c>
    </row>
    <row r="41" ht="28" customHeight="1" spans="1:51" x14ac:dyDescent="0.25">
      <c r="A41" s="14"/>
      <c r="B41" s="14"/>
      <c r="C41" s="14"/>
      <c r="D41" s="14"/>
      <c r="E41" s="14"/>
      <c r="F41" s="15" t="s">
        <v>123</v>
      </c>
      <c r="G41" s="15" t="s">
        <v>124</v>
      </c>
      <c r="H41" s="14" t="s">
        <v>66</v>
      </c>
      <c r="I41" s="16">
        <v>1</v>
      </c>
      <c r="J41" s="17">
        <v>1</v>
      </c>
      <c r="K41" s="14" t="s">
        <v>121</v>
      </c>
      <c r="L41" s="14" t="s">
        <v>68</v>
      </c>
      <c r="M41" s="14"/>
      <c r="N41" s="14"/>
      <c r="O41" s="15"/>
      <c r="P41" s="22">
        <v>1</v>
      </c>
      <c r="Q41" s="22">
        <v>1</v>
      </c>
      <c r="R41" s="22">
        <v>1</v>
      </c>
      <c r="S41" s="22">
        <v>1</v>
      </c>
      <c r="T41" s="19">
        <v>0</v>
      </c>
      <c r="U41" s="14" t="s">
        <v>69</v>
      </c>
      <c r="V41" s="14" t="s">
        <v>33</v>
      </c>
      <c r="W41" s="14" t="s">
        <v>33</v>
      </c>
      <c r="X41" s="14" t="s">
        <v>33</v>
      </c>
      <c r="Y41" s="14" t="s">
        <v>33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115</v>
      </c>
      <c r="AY41" t="s">
        <v>125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71</v>
      </c>
      <c r="I42" s="16"/>
      <c r="J42" s="17"/>
      <c r="K42" s="14"/>
      <c r="L42" s="14"/>
      <c r="M42" s="14"/>
      <c r="N42" s="14"/>
      <c r="O42" s="15"/>
      <c r="P42" s="20">
        <v>6</v>
      </c>
      <c r="Q42" s="20">
        <v>0</v>
      </c>
      <c r="R42" s="20">
        <v>0</v>
      </c>
      <c r="S42" s="20">
        <v>0</v>
      </c>
      <c r="T42" s="20">
        <v>0</v>
      </c>
      <c r="U42" s="21">
        <v>46246.375</v>
      </c>
      <c r="V42" s="21" t="s">
        <v>33</v>
      </c>
      <c r="W42" s="21" t="s">
        <v>33</v>
      </c>
      <c r="X42" s="21" t="s">
        <v>33</v>
      </c>
      <c r="Y42" s="21" t="s">
        <v>33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115</v>
      </c>
      <c r="AY42" t="s">
        <v>125</v>
      </c>
    </row>
    <row r="43" ht="28" customHeight="1" spans="1:51" x14ac:dyDescent="0.25">
      <c r="A43" s="14"/>
      <c r="B43" s="14"/>
      <c r="C43" s="14"/>
      <c r="D43" s="14"/>
      <c r="E43" s="14"/>
      <c r="F43" s="15" t="s">
        <v>126</v>
      </c>
      <c r="G43" s="15" t="s">
        <v>127</v>
      </c>
      <c r="H43" s="14" t="s">
        <v>66</v>
      </c>
      <c r="I43" s="16">
        <v>1</v>
      </c>
      <c r="J43" s="17">
        <v>1</v>
      </c>
      <c r="K43" s="14" t="s">
        <v>121</v>
      </c>
      <c r="L43" s="14" t="s">
        <v>68</v>
      </c>
      <c r="M43" s="14"/>
      <c r="N43" s="14"/>
      <c r="O43" s="15"/>
      <c r="P43" s="22">
        <v>1</v>
      </c>
      <c r="Q43" s="22">
        <v>1</v>
      </c>
      <c r="R43" s="22">
        <v>1</v>
      </c>
      <c r="S43" s="22">
        <v>1</v>
      </c>
      <c r="T43" s="19">
        <v>0</v>
      </c>
      <c r="U43" s="14" t="s">
        <v>69</v>
      </c>
      <c r="V43" s="14" t="s">
        <v>33</v>
      </c>
      <c r="W43" s="14" t="s">
        <v>33</v>
      </c>
      <c r="X43" s="14" t="s">
        <v>33</v>
      </c>
      <c r="Y43" s="14" t="s">
        <v>33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115</v>
      </c>
      <c r="AY43" t="s">
        <v>128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71</v>
      </c>
      <c r="I44" s="16"/>
      <c r="J44" s="17"/>
      <c r="K44" s="14"/>
      <c r="L44" s="14"/>
      <c r="M44" s="14"/>
      <c r="N44" s="14"/>
      <c r="O44" s="15"/>
      <c r="P44" s="20">
        <v>6</v>
      </c>
      <c r="Q44" s="20">
        <v>0</v>
      </c>
      <c r="R44" s="20">
        <v>0</v>
      </c>
      <c r="S44" s="20">
        <v>0</v>
      </c>
      <c r="T44" s="20">
        <v>0</v>
      </c>
      <c r="U44" s="21">
        <v>46246.375</v>
      </c>
      <c r="V44" s="21" t="s">
        <v>33</v>
      </c>
      <c r="W44" s="21" t="s">
        <v>33</v>
      </c>
      <c r="X44" s="21" t="s">
        <v>33</v>
      </c>
      <c r="Y44" s="21" t="s">
        <v>33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115</v>
      </c>
      <c r="AY44" t="s">
        <v>128</v>
      </c>
    </row>
    <row r="45" ht="28" customHeight="1" spans="1:51" x14ac:dyDescent="0.25">
      <c r="A45" s="14"/>
      <c r="B45" s="14"/>
      <c r="C45" s="14"/>
      <c r="D45" s="14"/>
      <c r="E45" s="14"/>
      <c r="F45" s="15" t="s">
        <v>126</v>
      </c>
      <c r="G45" s="15" t="s">
        <v>129</v>
      </c>
      <c r="H45" s="14" t="s">
        <v>66</v>
      </c>
      <c r="I45" s="16">
        <v>1</v>
      </c>
      <c r="J45" s="17">
        <v>1</v>
      </c>
      <c r="K45" s="14" t="s">
        <v>121</v>
      </c>
      <c r="L45" s="14" t="s">
        <v>68</v>
      </c>
      <c r="M45" s="14"/>
      <c r="N45" s="14"/>
      <c r="O45" s="15"/>
      <c r="P45" s="22">
        <v>1</v>
      </c>
      <c r="Q45" s="22">
        <v>1</v>
      </c>
      <c r="R45" s="22">
        <v>1</v>
      </c>
      <c r="S45" s="22">
        <v>1</v>
      </c>
      <c r="T45" s="19">
        <v>0</v>
      </c>
      <c r="U45" s="14" t="s">
        <v>69</v>
      </c>
      <c r="V45" s="14" t="s">
        <v>33</v>
      </c>
      <c r="W45" s="14" t="s">
        <v>33</v>
      </c>
      <c r="X45" s="14" t="s">
        <v>33</v>
      </c>
      <c r="Y45" s="14" t="s">
        <v>33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115</v>
      </c>
      <c r="AY45" t="s">
        <v>130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71</v>
      </c>
      <c r="I46" s="16"/>
      <c r="J46" s="17"/>
      <c r="K46" s="14"/>
      <c r="L46" s="14"/>
      <c r="M46" s="14"/>
      <c r="N46" s="14"/>
      <c r="O46" s="15"/>
      <c r="P46" s="20">
        <v>6</v>
      </c>
      <c r="Q46" s="20">
        <v>0</v>
      </c>
      <c r="R46" s="20">
        <v>0</v>
      </c>
      <c r="S46" s="20">
        <v>0</v>
      </c>
      <c r="T46" s="20">
        <v>0</v>
      </c>
      <c r="U46" s="21">
        <v>46246.375</v>
      </c>
      <c r="V46" s="21" t="s">
        <v>33</v>
      </c>
      <c r="W46" s="21" t="s">
        <v>33</v>
      </c>
      <c r="X46" s="21" t="s">
        <v>33</v>
      </c>
      <c r="Y46" s="21" t="s">
        <v>33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115</v>
      </c>
      <c r="AY46" t="s">
        <v>130</v>
      </c>
    </row>
    <row r="47" ht="28" customHeight="1" spans="1:51" x14ac:dyDescent="0.25">
      <c r="A47" s="14"/>
      <c r="B47" s="14"/>
      <c r="C47" s="14"/>
      <c r="D47" s="14"/>
      <c r="E47" s="14"/>
      <c r="F47" s="15" t="s">
        <v>126</v>
      </c>
      <c r="G47" s="15" t="s">
        <v>131</v>
      </c>
      <c r="H47" s="14" t="s">
        <v>66</v>
      </c>
      <c r="I47" s="16">
        <v>2</v>
      </c>
      <c r="J47" s="17">
        <v>1</v>
      </c>
      <c r="K47" s="14" t="s">
        <v>67</v>
      </c>
      <c r="L47" s="14" t="s">
        <v>68</v>
      </c>
      <c r="M47" s="14"/>
      <c r="N47" s="14"/>
      <c r="O47" s="15"/>
      <c r="P47" s="18">
        <v>2</v>
      </c>
      <c r="Q47" s="19">
        <v>0</v>
      </c>
      <c r="R47" s="19">
        <v>0</v>
      </c>
      <c r="S47" s="19">
        <v>0</v>
      </c>
      <c r="T47" s="19">
        <v>0</v>
      </c>
      <c r="U47" s="14" t="s">
        <v>33</v>
      </c>
      <c r="V47" s="14" t="s">
        <v>33</v>
      </c>
      <c r="W47" s="14" t="s">
        <v>33</v>
      </c>
      <c r="X47" s="14" t="s">
        <v>33</v>
      </c>
      <c r="Y47" s="14" t="s">
        <v>33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115</v>
      </c>
      <c r="AY47" t="s">
        <v>132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71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33</v>
      </c>
      <c r="V48" s="21" t="s">
        <v>33</v>
      </c>
      <c r="W48" s="21" t="s">
        <v>33</v>
      </c>
      <c r="X48" s="21" t="s">
        <v>33</v>
      </c>
      <c r="Y48" s="21" t="s">
        <v>33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115</v>
      </c>
      <c r="AY48" t="s">
        <v>132</v>
      </c>
    </row>
    <row r="49" ht="28" customHeight="1" spans="1:51" x14ac:dyDescent="0.25">
      <c r="A49" s="14"/>
      <c r="B49" s="14"/>
      <c r="C49" s="14"/>
      <c r="D49" s="14"/>
      <c r="E49" s="14"/>
      <c r="F49" s="15" t="s">
        <v>126</v>
      </c>
      <c r="G49" s="15" t="s">
        <v>133</v>
      </c>
      <c r="H49" s="14" t="s">
        <v>66</v>
      </c>
      <c r="I49" s="16">
        <v>2</v>
      </c>
      <c r="J49" s="17">
        <v>1</v>
      </c>
      <c r="K49" s="14" t="s">
        <v>67</v>
      </c>
      <c r="L49" s="14" t="s">
        <v>68</v>
      </c>
      <c r="M49" s="14"/>
      <c r="N49" s="14"/>
      <c r="O49" s="15"/>
      <c r="P49" s="19">
        <v>0</v>
      </c>
      <c r="Q49" s="18">
        <v>2</v>
      </c>
      <c r="R49" s="19">
        <v>0</v>
      </c>
      <c r="S49" s="19">
        <v>0</v>
      </c>
      <c r="T49" s="19">
        <v>0</v>
      </c>
      <c r="U49" s="14" t="s">
        <v>33</v>
      </c>
      <c r="V49" s="14" t="s">
        <v>33</v>
      </c>
      <c r="W49" s="14" t="s">
        <v>33</v>
      </c>
      <c r="X49" s="14" t="s">
        <v>33</v>
      </c>
      <c r="Y49" s="14" t="s">
        <v>33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115</v>
      </c>
      <c r="AY49" t="s">
        <v>134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71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33</v>
      </c>
      <c r="V50" s="21" t="s">
        <v>33</v>
      </c>
      <c r="W50" s="21" t="s">
        <v>33</v>
      </c>
      <c r="X50" s="21" t="s">
        <v>33</v>
      </c>
      <c r="Y50" s="21" t="s">
        <v>33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115</v>
      </c>
      <c r="AY50" t="s">
        <v>134</v>
      </c>
    </row>
    <row r="51" ht="28" customHeight="1" spans="1:51" x14ac:dyDescent="0.25">
      <c r="A51" s="14"/>
      <c r="B51" s="14"/>
      <c r="C51" s="14"/>
      <c r="D51" s="14"/>
      <c r="E51" s="14"/>
      <c r="F51" s="15" t="s">
        <v>126</v>
      </c>
      <c r="G51" s="15" t="s">
        <v>135</v>
      </c>
      <c r="H51" s="14" t="s">
        <v>66</v>
      </c>
      <c r="I51" s="16">
        <v>2</v>
      </c>
      <c r="J51" s="17">
        <v>1</v>
      </c>
      <c r="K51" s="14" t="s">
        <v>67</v>
      </c>
      <c r="L51" s="14" t="s">
        <v>68</v>
      </c>
      <c r="M51" s="14"/>
      <c r="N51" s="14"/>
      <c r="O51" s="15"/>
      <c r="P51" s="19">
        <v>0</v>
      </c>
      <c r="Q51" s="19">
        <v>0</v>
      </c>
      <c r="R51" s="18">
        <v>2</v>
      </c>
      <c r="S51" s="19">
        <v>0</v>
      </c>
      <c r="T51" s="19">
        <v>0</v>
      </c>
      <c r="U51" s="14" t="s">
        <v>33</v>
      </c>
      <c r="V51" s="14" t="s">
        <v>33</v>
      </c>
      <c r="W51" s="14" t="s">
        <v>33</v>
      </c>
      <c r="X51" s="14" t="s">
        <v>33</v>
      </c>
      <c r="Y51" s="14" t="s">
        <v>33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115</v>
      </c>
      <c r="AY51" t="s">
        <v>136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71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33</v>
      </c>
      <c r="V52" s="21" t="s">
        <v>33</v>
      </c>
      <c r="W52" s="21" t="s">
        <v>33</v>
      </c>
      <c r="X52" s="21" t="s">
        <v>33</v>
      </c>
      <c r="Y52" s="21" t="s">
        <v>33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115</v>
      </c>
      <c r="AY52" t="s">
        <v>136</v>
      </c>
    </row>
    <row r="53" ht="28" customHeight="1" spans="1:51" x14ac:dyDescent="0.25">
      <c r="A53" s="14"/>
      <c r="B53" s="14"/>
      <c r="C53" s="14"/>
      <c r="D53" s="14"/>
      <c r="E53" s="14"/>
      <c r="F53" s="15" t="s">
        <v>126</v>
      </c>
      <c r="G53" s="15" t="s">
        <v>137</v>
      </c>
      <c r="H53" s="14" t="s">
        <v>66</v>
      </c>
      <c r="I53" s="16">
        <v>4</v>
      </c>
      <c r="J53" s="17">
        <v>6</v>
      </c>
      <c r="K53" s="14" t="s">
        <v>138</v>
      </c>
      <c r="L53" s="14" t="s">
        <v>68</v>
      </c>
      <c r="M53" s="14"/>
      <c r="N53" s="14"/>
      <c r="O53" s="15"/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4" t="s">
        <v>33</v>
      </c>
      <c r="V53" s="14" t="s">
        <v>33</v>
      </c>
      <c r="W53" s="14" t="s">
        <v>33</v>
      </c>
      <c r="X53" s="14" t="s">
        <v>33</v>
      </c>
      <c r="Y53" s="14" t="s">
        <v>33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115</v>
      </c>
      <c r="AY53" t="s">
        <v>139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71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33</v>
      </c>
      <c r="V54" s="21" t="s">
        <v>33</v>
      </c>
      <c r="W54" s="21" t="s">
        <v>33</v>
      </c>
      <c r="X54" s="21" t="s">
        <v>33</v>
      </c>
      <c r="Y54" s="21" t="s">
        <v>33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115</v>
      </c>
      <c r="AY54" t="s">
        <v>139</v>
      </c>
    </row>
    <row r="55" ht="28" customHeight="1" spans="1:51" x14ac:dyDescent="0.25">
      <c r="A55" s="14"/>
      <c r="B55" s="14"/>
      <c r="C55" s="14"/>
      <c r="D55" s="14"/>
      <c r="E55" s="14"/>
      <c r="F55" s="15" t="s">
        <v>126</v>
      </c>
      <c r="G55" s="15" t="s">
        <v>140</v>
      </c>
      <c r="H55" s="14" t="s">
        <v>66</v>
      </c>
      <c r="I55" s="16">
        <v>5</v>
      </c>
      <c r="J55" s="17">
        <v>12</v>
      </c>
      <c r="K55" s="14" t="s">
        <v>141</v>
      </c>
      <c r="L55" s="14" t="s">
        <v>68</v>
      </c>
      <c r="M55" s="14"/>
      <c r="N55" s="14"/>
      <c r="O55" s="15"/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4" t="s">
        <v>33</v>
      </c>
      <c r="V55" s="14" t="s">
        <v>33</v>
      </c>
      <c r="W55" s="14" t="s">
        <v>33</v>
      </c>
      <c r="X55" s="14" t="s">
        <v>33</v>
      </c>
      <c r="Y55" s="14" t="s">
        <v>33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115</v>
      </c>
      <c r="AY55" t="s">
        <v>142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71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33</v>
      </c>
      <c r="V56" s="21" t="s">
        <v>33</v>
      </c>
      <c r="W56" s="21" t="s">
        <v>33</v>
      </c>
      <c r="X56" s="21" t="s">
        <v>33</v>
      </c>
      <c r="Y56" s="21" t="s">
        <v>33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115</v>
      </c>
      <c r="AY56" t="s">
        <v>142</v>
      </c>
    </row>
    <row r="57" ht="28" customHeight="1" spans="1:51" x14ac:dyDescent="0.25">
      <c r="A57" s="14"/>
      <c r="B57" s="14"/>
      <c r="C57" s="14"/>
      <c r="D57" s="14"/>
      <c r="E57" s="14"/>
      <c r="F57" s="15" t="s">
        <v>126</v>
      </c>
      <c r="G57" s="15" t="s">
        <v>143</v>
      </c>
      <c r="H57" s="14" t="s">
        <v>66</v>
      </c>
      <c r="I57" s="16">
        <v>5</v>
      </c>
      <c r="J57" s="17">
        <v>12</v>
      </c>
      <c r="K57" s="14" t="s">
        <v>141</v>
      </c>
      <c r="L57" s="14" t="s">
        <v>68</v>
      </c>
      <c r="M57" s="14"/>
      <c r="N57" s="14"/>
      <c r="O57" s="15"/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4" t="s">
        <v>33</v>
      </c>
      <c r="V57" s="14" t="s">
        <v>33</v>
      </c>
      <c r="W57" s="14" t="s">
        <v>33</v>
      </c>
      <c r="X57" s="14" t="s">
        <v>33</v>
      </c>
      <c r="Y57" s="14" t="s">
        <v>33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115</v>
      </c>
      <c r="AY57" t="s">
        <v>144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71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33</v>
      </c>
      <c r="V58" s="21" t="s">
        <v>33</v>
      </c>
      <c r="W58" s="21" t="s">
        <v>33</v>
      </c>
      <c r="X58" s="21" t="s">
        <v>33</v>
      </c>
      <c r="Y58" s="21" t="s">
        <v>33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115</v>
      </c>
      <c r="AY58" t="s">
        <v>144</v>
      </c>
    </row>
    <row r="59" ht="28" customHeight="1" spans="1:51" x14ac:dyDescent="0.25">
      <c r="A59" s="14"/>
      <c r="B59" s="14" t="s">
        <v>145</v>
      </c>
      <c r="C59" s="14" t="s">
        <v>146</v>
      </c>
      <c r="D59" s="14" t="s">
        <v>147</v>
      </c>
      <c r="E59" s="14" t="s">
        <v>148</v>
      </c>
      <c r="F59" s="15" t="s">
        <v>123</v>
      </c>
      <c r="G59" s="15" t="s">
        <v>149</v>
      </c>
      <c r="H59" s="14" t="s">
        <v>66</v>
      </c>
      <c r="I59" s="16">
        <v>2</v>
      </c>
      <c r="J59" s="17">
        <v>1</v>
      </c>
      <c r="K59" s="14" t="s">
        <v>67</v>
      </c>
      <c r="L59" s="14" t="s">
        <v>68</v>
      </c>
      <c r="M59" s="14"/>
      <c r="N59" s="14"/>
      <c r="O59" s="15"/>
      <c r="P59" s="19">
        <v>0</v>
      </c>
      <c r="Q59" s="19">
        <v>0</v>
      </c>
      <c r="R59" s="19">
        <v>0</v>
      </c>
      <c r="S59" s="18">
        <v>2</v>
      </c>
      <c r="T59" s="19">
        <v>0</v>
      </c>
      <c r="U59" s="14" t="s">
        <v>33</v>
      </c>
      <c r="V59" s="14" t="s">
        <v>33</v>
      </c>
      <c r="W59" s="14" t="s">
        <v>33</v>
      </c>
      <c r="X59" s="14" t="s">
        <v>33</v>
      </c>
      <c r="Y59" s="14" t="s">
        <v>33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145</v>
      </c>
      <c r="AY59" t="s">
        <v>150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71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33</v>
      </c>
      <c r="V60" s="21" t="s">
        <v>33</v>
      </c>
      <c r="W60" s="21" t="s">
        <v>33</v>
      </c>
      <c r="X60" s="21" t="s">
        <v>33</v>
      </c>
      <c r="Y60" s="21" t="s">
        <v>33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145</v>
      </c>
      <c r="AY60" t="s">
        <v>150</v>
      </c>
    </row>
    <row r="61" ht="28" customHeight="1" spans="1:51" x14ac:dyDescent="0.25">
      <c r="A61" s="14"/>
      <c r="B61" s="14"/>
      <c r="C61" s="14"/>
      <c r="D61" s="14"/>
      <c r="E61" s="14"/>
      <c r="F61" s="15" t="s">
        <v>151</v>
      </c>
      <c r="G61" s="15" t="s">
        <v>152</v>
      </c>
      <c r="H61" s="14" t="s">
        <v>66</v>
      </c>
      <c r="I61" s="16">
        <v>2</v>
      </c>
      <c r="J61" s="17">
        <v>1</v>
      </c>
      <c r="K61" s="14" t="s">
        <v>67</v>
      </c>
      <c r="L61" s="14" t="s">
        <v>68</v>
      </c>
      <c r="M61" s="14"/>
      <c r="N61" s="14"/>
      <c r="O61" s="15"/>
      <c r="P61" s="18">
        <v>2</v>
      </c>
      <c r="Q61" s="19">
        <v>0</v>
      </c>
      <c r="R61" s="19">
        <v>0</v>
      </c>
      <c r="S61" s="19">
        <v>0</v>
      </c>
      <c r="T61" s="19">
        <v>0</v>
      </c>
      <c r="U61" s="14" t="s">
        <v>33</v>
      </c>
      <c r="V61" s="14" t="s">
        <v>33</v>
      </c>
      <c r="W61" s="14" t="s">
        <v>33</v>
      </c>
      <c r="X61" s="14" t="s">
        <v>33</v>
      </c>
      <c r="Y61" s="14" t="s">
        <v>33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145</v>
      </c>
      <c r="AY61" t="s">
        <v>153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71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33</v>
      </c>
      <c r="V62" s="21" t="s">
        <v>33</v>
      </c>
      <c r="W62" s="21" t="s">
        <v>33</v>
      </c>
      <c r="X62" s="21" t="s">
        <v>33</v>
      </c>
      <c r="Y62" s="21" t="s">
        <v>33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145</v>
      </c>
      <c r="AY62" t="s">
        <v>153</v>
      </c>
    </row>
    <row r="63" ht="28" customHeight="1" spans="1:51" x14ac:dyDescent="0.25">
      <c r="A63" s="14"/>
      <c r="B63" s="14"/>
      <c r="C63" s="14"/>
      <c r="D63" s="14"/>
      <c r="E63" s="14"/>
      <c r="F63" s="15" t="s">
        <v>151</v>
      </c>
      <c r="G63" s="15" t="s">
        <v>154</v>
      </c>
      <c r="H63" s="14" t="s">
        <v>66</v>
      </c>
      <c r="I63" s="16">
        <v>2</v>
      </c>
      <c r="J63" s="17">
        <v>1</v>
      </c>
      <c r="K63" s="14" t="s">
        <v>67</v>
      </c>
      <c r="L63" s="14" t="s">
        <v>68</v>
      </c>
      <c r="M63" s="14"/>
      <c r="N63" s="14"/>
      <c r="O63" s="15"/>
      <c r="P63" s="19">
        <v>0</v>
      </c>
      <c r="Q63" s="18">
        <v>2</v>
      </c>
      <c r="R63" s="19">
        <v>0</v>
      </c>
      <c r="S63" s="19">
        <v>0</v>
      </c>
      <c r="T63" s="19">
        <v>0</v>
      </c>
      <c r="U63" s="14" t="s">
        <v>33</v>
      </c>
      <c r="V63" s="14" t="s">
        <v>33</v>
      </c>
      <c r="W63" s="14" t="s">
        <v>33</v>
      </c>
      <c r="X63" s="14" t="s">
        <v>33</v>
      </c>
      <c r="Y63" s="14" t="s">
        <v>33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145</v>
      </c>
      <c r="AY63" t="s">
        <v>155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71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33</v>
      </c>
      <c r="V64" s="21" t="s">
        <v>33</v>
      </c>
      <c r="W64" s="21" t="s">
        <v>33</v>
      </c>
      <c r="X64" s="21" t="s">
        <v>33</v>
      </c>
      <c r="Y64" s="21" t="s">
        <v>33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145</v>
      </c>
      <c r="AY64" t="s">
        <v>155</v>
      </c>
    </row>
    <row r="65" ht="28" customHeight="1" spans="1:51" x14ac:dyDescent="0.25">
      <c r="A65" s="14"/>
      <c r="B65" s="14"/>
      <c r="C65" s="14"/>
      <c r="D65" s="14"/>
      <c r="E65" s="14"/>
      <c r="F65" s="15" t="s">
        <v>151</v>
      </c>
      <c r="G65" s="15" t="s">
        <v>156</v>
      </c>
      <c r="H65" s="14" t="s">
        <v>66</v>
      </c>
      <c r="I65" s="16">
        <v>3</v>
      </c>
      <c r="J65" s="17">
        <v>3</v>
      </c>
      <c r="K65" s="14" t="s">
        <v>157</v>
      </c>
      <c r="L65" s="14" t="s">
        <v>68</v>
      </c>
      <c r="M65" s="14"/>
      <c r="N65" s="14"/>
      <c r="O65" s="15"/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4" t="s">
        <v>33</v>
      </c>
      <c r="V65" s="14" t="s">
        <v>33</v>
      </c>
      <c r="W65" s="14" t="s">
        <v>33</v>
      </c>
      <c r="X65" s="14" t="s">
        <v>33</v>
      </c>
      <c r="Y65" s="14" t="s">
        <v>33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145</v>
      </c>
      <c r="AY65" t="s">
        <v>158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71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33</v>
      </c>
      <c r="V66" s="21" t="s">
        <v>33</v>
      </c>
      <c r="W66" s="21" t="s">
        <v>33</v>
      </c>
      <c r="X66" s="21" t="s">
        <v>33</v>
      </c>
      <c r="Y66" s="21" t="s">
        <v>33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145</v>
      </c>
      <c r="AY66" t="s">
        <v>158</v>
      </c>
    </row>
    <row r="67" ht="28" customHeight="1" spans="1:51" x14ac:dyDescent="0.25">
      <c r="A67" s="14"/>
      <c r="B67" s="14"/>
      <c r="C67" s="14"/>
      <c r="D67" s="14"/>
      <c r="E67" s="14"/>
      <c r="F67" s="15" t="s">
        <v>151</v>
      </c>
      <c r="G67" s="15" t="s">
        <v>159</v>
      </c>
      <c r="H67" s="14" t="s">
        <v>66</v>
      </c>
      <c r="I67" s="16">
        <v>3</v>
      </c>
      <c r="J67" s="17">
        <v>3</v>
      </c>
      <c r="K67" s="14" t="s">
        <v>157</v>
      </c>
      <c r="L67" s="14" t="s">
        <v>68</v>
      </c>
      <c r="M67" s="14"/>
      <c r="N67" s="14"/>
      <c r="O67" s="15"/>
      <c r="P67" s="23">
        <v>3</v>
      </c>
      <c r="Q67" s="19">
        <v>0</v>
      </c>
      <c r="R67" s="19">
        <v>0</v>
      </c>
      <c r="S67" s="19">
        <v>0</v>
      </c>
      <c r="T67" s="19">
        <v>0</v>
      </c>
      <c r="U67" s="14" t="s">
        <v>33</v>
      </c>
      <c r="V67" s="14" t="s">
        <v>33</v>
      </c>
      <c r="W67" s="14" t="s">
        <v>33</v>
      </c>
      <c r="X67" s="14" t="s">
        <v>33</v>
      </c>
      <c r="Y67" s="14" t="s">
        <v>33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145</v>
      </c>
      <c r="AY67" t="s">
        <v>160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71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33</v>
      </c>
      <c r="V68" s="21" t="s">
        <v>33</v>
      </c>
      <c r="W68" s="21" t="s">
        <v>33</v>
      </c>
      <c r="X68" s="21" t="s">
        <v>33</v>
      </c>
      <c r="Y68" s="21" t="s">
        <v>33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145</v>
      </c>
      <c r="AY68" t="s">
        <v>160</v>
      </c>
    </row>
    <row r="69" ht="28" customHeight="1" spans="1:51" x14ac:dyDescent="0.25">
      <c r="A69" s="14"/>
      <c r="B69" s="14"/>
      <c r="C69" s="14"/>
      <c r="D69" s="14"/>
      <c r="E69" s="14"/>
      <c r="F69" s="15" t="s">
        <v>151</v>
      </c>
      <c r="G69" s="15" t="s">
        <v>161</v>
      </c>
      <c r="H69" s="14" t="s">
        <v>66</v>
      </c>
      <c r="I69" s="16">
        <v>5</v>
      </c>
      <c r="J69" s="17">
        <v>12</v>
      </c>
      <c r="K69" s="14" t="s">
        <v>141</v>
      </c>
      <c r="L69" s="14" t="s">
        <v>68</v>
      </c>
      <c r="M69" s="14"/>
      <c r="N69" s="14"/>
      <c r="O69" s="15"/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4" t="s">
        <v>33</v>
      </c>
      <c r="V69" s="14" t="s">
        <v>33</v>
      </c>
      <c r="W69" s="14" t="s">
        <v>33</v>
      </c>
      <c r="X69" s="14" t="s">
        <v>33</v>
      </c>
      <c r="Y69" s="14" t="s">
        <v>33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145</v>
      </c>
      <c r="AY69" t="s">
        <v>162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71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33</v>
      </c>
      <c r="V70" s="21" t="s">
        <v>33</v>
      </c>
      <c r="W70" s="21" t="s">
        <v>33</v>
      </c>
      <c r="X70" s="21" t="s">
        <v>33</v>
      </c>
      <c r="Y70" s="21" t="s">
        <v>33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145</v>
      </c>
      <c r="AY70" t="s">
        <v>162</v>
      </c>
    </row>
    <row r="71" ht="28" customHeight="1" spans="1:51" x14ac:dyDescent="0.25">
      <c r="A71" s="14"/>
      <c r="B71" s="14"/>
      <c r="C71" s="14"/>
      <c r="D71" s="14"/>
      <c r="E71" s="14"/>
      <c r="F71" s="15" t="s">
        <v>151</v>
      </c>
      <c r="G71" s="15" t="s">
        <v>163</v>
      </c>
      <c r="H71" s="14" t="s">
        <v>66</v>
      </c>
      <c r="I71" s="16">
        <v>3</v>
      </c>
      <c r="J71" s="17">
        <v>3</v>
      </c>
      <c r="K71" s="14" t="s">
        <v>157</v>
      </c>
      <c r="L71" s="14" t="s">
        <v>68</v>
      </c>
      <c r="M71" s="14"/>
      <c r="N71" s="14"/>
      <c r="O71" s="15"/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4" t="s">
        <v>33</v>
      </c>
      <c r="V71" s="14" t="s">
        <v>33</v>
      </c>
      <c r="W71" s="14" t="s">
        <v>33</v>
      </c>
      <c r="X71" s="14" t="s">
        <v>33</v>
      </c>
      <c r="Y71" s="14" t="s">
        <v>33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145</v>
      </c>
      <c r="AY71" t="s">
        <v>164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71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33</v>
      </c>
      <c r="V72" s="21" t="s">
        <v>33</v>
      </c>
      <c r="W72" s="21" t="s">
        <v>33</v>
      </c>
      <c r="X72" s="21" t="s">
        <v>33</v>
      </c>
      <c r="Y72" s="21" t="s">
        <v>33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145</v>
      </c>
      <c r="AY72" t="s">
        <v>164</v>
      </c>
    </row>
    <row r="73" ht="28" customHeight="1" spans="1:51" x14ac:dyDescent="0.25">
      <c r="A73" s="14"/>
      <c r="B73" s="14" t="s">
        <v>165</v>
      </c>
      <c r="C73" s="14" t="s">
        <v>166</v>
      </c>
      <c r="D73" s="14" t="s">
        <v>167</v>
      </c>
      <c r="E73" s="14" t="s">
        <v>168</v>
      </c>
      <c r="F73" s="15"/>
      <c r="G73" s="15" t="s">
        <v>169</v>
      </c>
      <c r="H73" s="14" t="s">
        <v>66</v>
      </c>
      <c r="I73" s="16">
        <v>1</v>
      </c>
      <c r="J73" s="17">
        <v>1</v>
      </c>
      <c r="K73" s="14" t="s">
        <v>121</v>
      </c>
      <c r="L73" s="14" t="s">
        <v>68</v>
      </c>
      <c r="M73" s="14"/>
      <c r="N73" s="14"/>
      <c r="O73" s="15"/>
      <c r="P73" s="22">
        <v>1</v>
      </c>
      <c r="Q73" s="22">
        <v>1</v>
      </c>
      <c r="R73" s="22">
        <v>1</v>
      </c>
      <c r="S73" s="22">
        <v>1</v>
      </c>
      <c r="T73" s="19">
        <v>0</v>
      </c>
      <c r="U73" s="14" t="s">
        <v>33</v>
      </c>
      <c r="V73" s="14" t="s">
        <v>33</v>
      </c>
      <c r="W73" s="14" t="s">
        <v>33</v>
      </c>
      <c r="X73" s="14" t="s">
        <v>33</v>
      </c>
      <c r="Y73" s="14" t="s">
        <v>33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165</v>
      </c>
      <c r="AY73" t="s">
        <v>170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71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33</v>
      </c>
      <c r="V74" s="21" t="s">
        <v>33</v>
      </c>
      <c r="W74" s="21" t="s">
        <v>33</v>
      </c>
      <c r="X74" s="21" t="s">
        <v>33</v>
      </c>
      <c r="Y74" s="21" t="s">
        <v>33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165</v>
      </c>
      <c r="AY74" t="s">
        <v>170</v>
      </c>
    </row>
    <row r="75" ht="28" customHeight="1" spans="1:51" x14ac:dyDescent="0.25">
      <c r="A75" s="14"/>
      <c r="B75" s="14"/>
      <c r="C75" s="14"/>
      <c r="D75" s="14"/>
      <c r="E75" s="14"/>
      <c r="F75" s="15"/>
      <c r="G75" s="15" t="s">
        <v>171</v>
      </c>
      <c r="H75" s="14" t="s">
        <v>66</v>
      </c>
      <c r="I75" s="16">
        <v>1</v>
      </c>
      <c r="J75" s="17">
        <v>1</v>
      </c>
      <c r="K75" s="14" t="s">
        <v>121</v>
      </c>
      <c r="L75" s="14" t="s">
        <v>68</v>
      </c>
      <c r="M75" s="14"/>
      <c r="N75" s="14"/>
      <c r="O75" s="15"/>
      <c r="P75" s="22">
        <v>1</v>
      </c>
      <c r="Q75" s="22">
        <v>1</v>
      </c>
      <c r="R75" s="22">
        <v>1</v>
      </c>
      <c r="S75" s="22">
        <v>1</v>
      </c>
      <c r="T75" s="19">
        <v>0</v>
      </c>
      <c r="U75" s="14" t="s">
        <v>33</v>
      </c>
      <c r="V75" s="14" t="s">
        <v>33</v>
      </c>
      <c r="W75" s="14" t="s">
        <v>33</v>
      </c>
      <c r="X75" s="14" t="s">
        <v>33</v>
      </c>
      <c r="Y75" s="14" t="s">
        <v>33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165</v>
      </c>
      <c r="AY75" t="s">
        <v>172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71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33</v>
      </c>
      <c r="V76" s="21" t="s">
        <v>33</v>
      </c>
      <c r="W76" s="21" t="s">
        <v>33</v>
      </c>
      <c r="X76" s="21" t="s">
        <v>33</v>
      </c>
      <c r="Y76" s="21" t="s">
        <v>33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165</v>
      </c>
      <c r="AY76" t="s">
        <v>172</v>
      </c>
    </row>
    <row r="77" ht="28" customHeight="1" spans="1:51" x14ac:dyDescent="0.25">
      <c r="A77" s="14"/>
      <c r="B77" s="14" t="s">
        <v>173</v>
      </c>
      <c r="C77" s="14" t="s">
        <v>174</v>
      </c>
      <c r="D77" s="14" t="s">
        <v>175</v>
      </c>
      <c r="E77" s="14" t="s">
        <v>168</v>
      </c>
      <c r="F77" s="15" t="s">
        <v>176</v>
      </c>
      <c r="G77" s="15" t="s">
        <v>177</v>
      </c>
      <c r="H77" s="14" t="s">
        <v>66</v>
      </c>
      <c r="I77" s="16">
        <v>1</v>
      </c>
      <c r="J77" s="17">
        <v>1</v>
      </c>
      <c r="K77" s="14" t="s">
        <v>121</v>
      </c>
      <c r="L77" s="14" t="s">
        <v>68</v>
      </c>
      <c r="M77" s="14"/>
      <c r="N77" s="14"/>
      <c r="O77" s="15"/>
      <c r="P77" s="22">
        <v>1</v>
      </c>
      <c r="Q77" s="22">
        <v>1</v>
      </c>
      <c r="R77" s="22">
        <v>1</v>
      </c>
      <c r="S77" s="22">
        <v>1</v>
      </c>
      <c r="T77" s="19">
        <v>0</v>
      </c>
      <c r="U77" s="14" t="s">
        <v>33</v>
      </c>
      <c r="V77" s="14" t="s">
        <v>33</v>
      </c>
      <c r="W77" s="14" t="s">
        <v>33</v>
      </c>
      <c r="X77" s="14" t="s">
        <v>33</v>
      </c>
      <c r="Y77" s="14" t="s">
        <v>33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173</v>
      </c>
      <c r="AY77" t="s">
        <v>178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71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33</v>
      </c>
      <c r="V78" s="21" t="s">
        <v>33</v>
      </c>
      <c r="W78" s="21" t="s">
        <v>33</v>
      </c>
      <c r="X78" s="21" t="s">
        <v>33</v>
      </c>
      <c r="Y78" s="21" t="s">
        <v>33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173</v>
      </c>
      <c r="AY78" t="s">
        <v>178</v>
      </c>
    </row>
    <row r="79" ht="28" customHeight="1" spans="1:51" x14ac:dyDescent="0.25">
      <c r="A79" s="14"/>
      <c r="B79" s="14"/>
      <c r="C79" s="14"/>
      <c r="D79" s="14"/>
      <c r="E79" s="14"/>
      <c r="F79" s="15" t="s">
        <v>179</v>
      </c>
      <c r="G79" s="15" t="s">
        <v>180</v>
      </c>
      <c r="H79" s="14" t="s">
        <v>66</v>
      </c>
      <c r="I79" s="16">
        <v>1</v>
      </c>
      <c r="J79" s="17">
        <v>1</v>
      </c>
      <c r="K79" s="14" t="s">
        <v>121</v>
      </c>
      <c r="L79" s="14" t="s">
        <v>68</v>
      </c>
      <c r="M79" s="14"/>
      <c r="N79" s="14"/>
      <c r="O79" s="15"/>
      <c r="P79" s="22">
        <v>1</v>
      </c>
      <c r="Q79" s="22">
        <v>1</v>
      </c>
      <c r="R79" s="22">
        <v>1</v>
      </c>
      <c r="S79" s="22">
        <v>1</v>
      </c>
      <c r="T79" s="19">
        <v>0</v>
      </c>
      <c r="U79" s="14" t="s">
        <v>33</v>
      </c>
      <c r="V79" s="14" t="s">
        <v>33</v>
      </c>
      <c r="W79" s="14" t="s">
        <v>33</v>
      </c>
      <c r="X79" s="14" t="s">
        <v>33</v>
      </c>
      <c r="Y79" s="14" t="s">
        <v>33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173</v>
      </c>
      <c r="AY79" t="s">
        <v>181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71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33</v>
      </c>
      <c r="V80" s="21" t="s">
        <v>33</v>
      </c>
      <c r="W80" s="21" t="s">
        <v>33</v>
      </c>
      <c r="X80" s="21" t="s">
        <v>33</v>
      </c>
      <c r="Y80" s="21" t="s">
        <v>33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173</v>
      </c>
      <c r="AY80" t="s">
        <v>181</v>
      </c>
    </row>
    <row r="81" ht="28" customHeight="1" spans="1:51" x14ac:dyDescent="0.25">
      <c r="A81" s="14"/>
      <c r="B81" s="14"/>
      <c r="C81" s="14"/>
      <c r="D81" s="14"/>
      <c r="E81" s="14"/>
      <c r="F81" s="15" t="s">
        <v>182</v>
      </c>
      <c r="G81" s="15" t="s">
        <v>183</v>
      </c>
      <c r="H81" s="14" t="s">
        <v>66</v>
      </c>
      <c r="I81" s="16">
        <v>1</v>
      </c>
      <c r="J81" s="17">
        <v>1</v>
      </c>
      <c r="K81" s="14" t="s">
        <v>121</v>
      </c>
      <c r="L81" s="14" t="s">
        <v>68</v>
      </c>
      <c r="M81" s="14"/>
      <c r="N81" s="14"/>
      <c r="O81" s="15"/>
      <c r="P81" s="22">
        <v>1</v>
      </c>
      <c r="Q81" s="22">
        <v>1</v>
      </c>
      <c r="R81" s="22">
        <v>1</v>
      </c>
      <c r="S81" s="22">
        <v>1</v>
      </c>
      <c r="T81" s="19">
        <v>0</v>
      </c>
      <c r="U81" s="14" t="s">
        <v>33</v>
      </c>
      <c r="V81" s="14" t="s">
        <v>33</v>
      </c>
      <c r="W81" s="14" t="s">
        <v>33</v>
      </c>
      <c r="X81" s="14" t="s">
        <v>33</v>
      </c>
      <c r="Y81" s="14" t="s">
        <v>33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173</v>
      </c>
      <c r="AY81" t="s">
        <v>184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71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33</v>
      </c>
      <c r="V82" s="21" t="s">
        <v>33</v>
      </c>
      <c r="W82" s="21" t="s">
        <v>33</v>
      </c>
      <c r="X82" s="21" t="s">
        <v>33</v>
      </c>
      <c r="Y82" s="21" t="s">
        <v>33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173</v>
      </c>
      <c r="AY82" t="s">
        <v>184</v>
      </c>
    </row>
    <row r="83" ht="28" customHeight="1" spans="1:51" x14ac:dyDescent="0.25">
      <c r="A83" s="14"/>
      <c r="B83" s="14"/>
      <c r="C83" s="14"/>
      <c r="D83" s="14"/>
      <c r="E83" s="14"/>
      <c r="F83" s="15" t="s">
        <v>185</v>
      </c>
      <c r="G83" s="15" t="s">
        <v>186</v>
      </c>
      <c r="H83" s="14" t="s">
        <v>66</v>
      </c>
      <c r="I83" s="16">
        <v>1</v>
      </c>
      <c r="J83" s="17">
        <v>1</v>
      </c>
      <c r="K83" s="14" t="s">
        <v>121</v>
      </c>
      <c r="L83" s="14" t="s">
        <v>68</v>
      </c>
      <c r="M83" s="14"/>
      <c r="N83" s="14"/>
      <c r="O83" s="15"/>
      <c r="P83" s="22">
        <v>1</v>
      </c>
      <c r="Q83" s="22">
        <v>1</v>
      </c>
      <c r="R83" s="22">
        <v>1</v>
      </c>
      <c r="S83" s="22">
        <v>1</v>
      </c>
      <c r="T83" s="19">
        <v>0</v>
      </c>
      <c r="U83" s="14" t="s">
        <v>33</v>
      </c>
      <c r="V83" s="14" t="s">
        <v>33</v>
      </c>
      <c r="W83" s="14" t="s">
        <v>33</v>
      </c>
      <c r="X83" s="14" t="s">
        <v>33</v>
      </c>
      <c r="Y83" s="14" t="s">
        <v>33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173</v>
      </c>
      <c r="AY83" t="s">
        <v>187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71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33</v>
      </c>
      <c r="V84" s="21" t="s">
        <v>33</v>
      </c>
      <c r="W84" s="21" t="s">
        <v>33</v>
      </c>
      <c r="X84" s="21" t="s">
        <v>33</v>
      </c>
      <c r="Y84" s="21" t="s">
        <v>33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173</v>
      </c>
      <c r="AY84" t="s">
        <v>187</v>
      </c>
    </row>
    <row r="85" ht="28" customHeight="1" spans="1:51" x14ac:dyDescent="0.25">
      <c r="A85" s="14"/>
      <c r="B85" s="14"/>
      <c r="C85" s="14"/>
      <c r="D85" s="14"/>
      <c r="E85" s="14"/>
      <c r="F85" s="15" t="s">
        <v>188</v>
      </c>
      <c r="G85" s="15" t="s">
        <v>189</v>
      </c>
      <c r="H85" s="14" t="s">
        <v>66</v>
      </c>
      <c r="I85" s="16">
        <v>1</v>
      </c>
      <c r="J85" s="17">
        <v>1</v>
      </c>
      <c r="K85" s="14" t="s">
        <v>121</v>
      </c>
      <c r="L85" s="14" t="s">
        <v>68</v>
      </c>
      <c r="M85" s="14"/>
      <c r="N85" s="14"/>
      <c r="O85" s="15"/>
      <c r="P85" s="22">
        <v>1</v>
      </c>
      <c r="Q85" s="22">
        <v>1</v>
      </c>
      <c r="R85" s="22">
        <v>1</v>
      </c>
      <c r="S85" s="22">
        <v>1</v>
      </c>
      <c r="T85" s="19">
        <v>0</v>
      </c>
      <c r="U85" s="14" t="s">
        <v>33</v>
      </c>
      <c r="V85" s="14" t="s">
        <v>33</v>
      </c>
      <c r="W85" s="14" t="s">
        <v>33</v>
      </c>
      <c r="X85" s="14" t="s">
        <v>33</v>
      </c>
      <c r="Y85" s="14" t="s">
        <v>33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173</v>
      </c>
      <c r="AY85" t="s">
        <v>190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71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33</v>
      </c>
      <c r="V86" s="21" t="s">
        <v>33</v>
      </c>
      <c r="W86" s="21" t="s">
        <v>33</v>
      </c>
      <c r="X86" s="21" t="s">
        <v>33</v>
      </c>
      <c r="Y86" s="21" t="s">
        <v>33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173</v>
      </c>
      <c r="AY86" t="s">
        <v>190</v>
      </c>
    </row>
    <row r="87" ht="28" customHeight="1" spans="1:51" x14ac:dyDescent="0.25">
      <c r="A87" s="14"/>
      <c r="B87" s="14"/>
      <c r="C87" s="14"/>
      <c r="D87" s="14"/>
      <c r="E87" s="14"/>
      <c r="F87" s="15" t="s">
        <v>188</v>
      </c>
      <c r="G87" s="15" t="s">
        <v>191</v>
      </c>
      <c r="H87" s="14" t="s">
        <v>66</v>
      </c>
      <c r="I87" s="16">
        <v>1</v>
      </c>
      <c r="J87" s="17">
        <v>1</v>
      </c>
      <c r="K87" s="14" t="s">
        <v>121</v>
      </c>
      <c r="L87" s="14" t="s">
        <v>68</v>
      </c>
      <c r="M87" s="14"/>
      <c r="N87" s="14"/>
      <c r="O87" s="15"/>
      <c r="P87" s="22">
        <v>1</v>
      </c>
      <c r="Q87" s="22">
        <v>1</v>
      </c>
      <c r="R87" s="22">
        <v>1</v>
      </c>
      <c r="S87" s="22">
        <v>1</v>
      </c>
      <c r="T87" s="19">
        <v>0</v>
      </c>
      <c r="U87" s="14" t="s">
        <v>33</v>
      </c>
      <c r="V87" s="14" t="s">
        <v>33</v>
      </c>
      <c r="W87" s="14" t="s">
        <v>33</v>
      </c>
      <c r="X87" s="14" t="s">
        <v>33</v>
      </c>
      <c r="Y87" s="14" t="s">
        <v>33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173</v>
      </c>
      <c r="AY87" t="s">
        <v>192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71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33</v>
      </c>
      <c r="V88" s="21" t="s">
        <v>33</v>
      </c>
      <c r="W88" s="21" t="s">
        <v>33</v>
      </c>
      <c r="X88" s="21" t="s">
        <v>33</v>
      </c>
      <c r="Y88" s="21" t="s">
        <v>33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173</v>
      </c>
      <c r="AY88" t="s">
        <v>192</v>
      </c>
    </row>
    <row r="89" ht="28" customHeight="1" spans="1:51" x14ac:dyDescent="0.25">
      <c r="A89" s="14"/>
      <c r="B89" s="14"/>
      <c r="C89" s="14"/>
      <c r="D89" s="14"/>
      <c r="E89" s="14"/>
      <c r="F89" s="15" t="s">
        <v>123</v>
      </c>
      <c r="G89" s="15" t="s">
        <v>193</v>
      </c>
      <c r="H89" s="14" t="s">
        <v>66</v>
      </c>
      <c r="I89" s="16">
        <v>1</v>
      </c>
      <c r="J89" s="17">
        <v>1</v>
      </c>
      <c r="K89" s="14" t="s">
        <v>121</v>
      </c>
      <c r="L89" s="14" t="s">
        <v>68</v>
      </c>
      <c r="M89" s="14"/>
      <c r="N89" s="14"/>
      <c r="O89" s="15"/>
      <c r="P89" s="22">
        <v>1</v>
      </c>
      <c r="Q89" s="22">
        <v>1</v>
      </c>
      <c r="R89" s="22">
        <v>1</v>
      </c>
      <c r="S89" s="22">
        <v>1</v>
      </c>
      <c r="T89" s="19">
        <v>0</v>
      </c>
      <c r="U89" s="14" t="s">
        <v>33</v>
      </c>
      <c r="V89" s="14" t="s">
        <v>33</v>
      </c>
      <c r="W89" s="14" t="s">
        <v>33</v>
      </c>
      <c r="X89" s="14" t="s">
        <v>33</v>
      </c>
      <c r="Y89" s="14" t="s">
        <v>33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173</v>
      </c>
      <c r="AY89" t="s">
        <v>194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71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33</v>
      </c>
      <c r="V90" s="21" t="s">
        <v>33</v>
      </c>
      <c r="W90" s="21" t="s">
        <v>33</v>
      </c>
      <c r="X90" s="21" t="s">
        <v>33</v>
      </c>
      <c r="Y90" s="21" t="s">
        <v>33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173</v>
      </c>
      <c r="AY90" t="s">
        <v>194</v>
      </c>
    </row>
    <row r="91" ht="28" customHeight="1" spans="1:51" x14ac:dyDescent="0.25">
      <c r="A91" s="14"/>
      <c r="B91" s="14"/>
      <c r="C91" s="14"/>
      <c r="D91" s="14"/>
      <c r="E91" s="14"/>
      <c r="F91" s="15" t="s">
        <v>195</v>
      </c>
      <c r="G91" s="15" t="s">
        <v>196</v>
      </c>
      <c r="H91" s="14" t="s">
        <v>66</v>
      </c>
      <c r="I91" s="16">
        <v>1</v>
      </c>
      <c r="J91" s="17">
        <v>1</v>
      </c>
      <c r="K91" s="14" t="s">
        <v>121</v>
      </c>
      <c r="L91" s="14" t="s">
        <v>68</v>
      </c>
      <c r="M91" s="14"/>
      <c r="N91" s="14"/>
      <c r="O91" s="15"/>
      <c r="P91" s="22">
        <v>1</v>
      </c>
      <c r="Q91" s="22">
        <v>1</v>
      </c>
      <c r="R91" s="22">
        <v>1</v>
      </c>
      <c r="S91" s="22">
        <v>1</v>
      </c>
      <c r="T91" s="19">
        <v>0</v>
      </c>
      <c r="U91" s="14" t="s">
        <v>33</v>
      </c>
      <c r="V91" s="14" t="s">
        <v>33</v>
      </c>
      <c r="W91" s="14" t="s">
        <v>33</v>
      </c>
      <c r="X91" s="14" t="s">
        <v>33</v>
      </c>
      <c r="Y91" s="14" t="s">
        <v>33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173</v>
      </c>
      <c r="AY91" t="s">
        <v>197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71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33</v>
      </c>
      <c r="V92" s="21" t="s">
        <v>33</v>
      </c>
      <c r="W92" s="21" t="s">
        <v>33</v>
      </c>
      <c r="X92" s="21" t="s">
        <v>33</v>
      </c>
      <c r="Y92" s="21" t="s">
        <v>33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173</v>
      </c>
      <c r="AY92" t="s">
        <v>197</v>
      </c>
    </row>
    <row r="93" ht="28" customHeight="1" spans="1:51" x14ac:dyDescent="0.25">
      <c r="A93" s="14"/>
      <c r="B93" s="14"/>
      <c r="C93" s="14"/>
      <c r="D93" s="14"/>
      <c r="E93" s="14"/>
      <c r="F93" s="15" t="s">
        <v>198</v>
      </c>
      <c r="G93" s="15" t="s">
        <v>199</v>
      </c>
      <c r="H93" s="14" t="s">
        <v>66</v>
      </c>
      <c r="I93" s="16">
        <v>1</v>
      </c>
      <c r="J93" s="17">
        <v>1</v>
      </c>
      <c r="K93" s="14" t="s">
        <v>121</v>
      </c>
      <c r="L93" s="14" t="s">
        <v>68</v>
      </c>
      <c r="M93" s="14"/>
      <c r="N93" s="14"/>
      <c r="O93" s="15"/>
      <c r="P93" s="22">
        <v>1</v>
      </c>
      <c r="Q93" s="22">
        <v>1</v>
      </c>
      <c r="R93" s="22">
        <v>1</v>
      </c>
      <c r="S93" s="22">
        <v>1</v>
      </c>
      <c r="T93" s="19">
        <v>0</v>
      </c>
      <c r="U93" s="14" t="s">
        <v>33</v>
      </c>
      <c r="V93" s="14" t="s">
        <v>33</v>
      </c>
      <c r="W93" s="14" t="s">
        <v>33</v>
      </c>
      <c r="X93" s="14" t="s">
        <v>33</v>
      </c>
      <c r="Y93" s="14" t="s">
        <v>33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173</v>
      </c>
      <c r="AY93" t="s">
        <v>200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71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33</v>
      </c>
      <c r="V94" s="21" t="s">
        <v>33</v>
      </c>
      <c r="W94" s="21" t="s">
        <v>33</v>
      </c>
      <c r="X94" s="21" t="s">
        <v>33</v>
      </c>
      <c r="Y94" s="21" t="s">
        <v>33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173</v>
      </c>
      <c r="AY94" t="s">
        <v>200</v>
      </c>
    </row>
    <row r="95" ht="28" customHeight="1" spans="1:51" x14ac:dyDescent="0.25">
      <c r="A95" s="14"/>
      <c r="B95" s="14"/>
      <c r="C95" s="14"/>
      <c r="D95" s="14"/>
      <c r="E95" s="14"/>
      <c r="F95" s="15" t="s">
        <v>201</v>
      </c>
      <c r="G95" s="15" t="s">
        <v>202</v>
      </c>
      <c r="H95" s="14" t="s">
        <v>66</v>
      </c>
      <c r="I95" s="16">
        <v>1</v>
      </c>
      <c r="J95" s="17">
        <v>1</v>
      </c>
      <c r="K95" s="14" t="s">
        <v>121</v>
      </c>
      <c r="L95" s="14" t="s">
        <v>68</v>
      </c>
      <c r="M95" s="14"/>
      <c r="N95" s="14"/>
      <c r="O95" s="15"/>
      <c r="P95" s="22">
        <v>1</v>
      </c>
      <c r="Q95" s="22">
        <v>1</v>
      </c>
      <c r="R95" s="22">
        <v>1</v>
      </c>
      <c r="S95" s="22">
        <v>1</v>
      </c>
      <c r="T95" s="19">
        <v>0</v>
      </c>
      <c r="U95" s="14" t="s">
        <v>33</v>
      </c>
      <c r="V95" s="14" t="s">
        <v>33</v>
      </c>
      <c r="W95" s="14" t="s">
        <v>33</v>
      </c>
      <c r="X95" s="14" t="s">
        <v>33</v>
      </c>
      <c r="Y95" s="14" t="s">
        <v>33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173</v>
      </c>
      <c r="AY95" t="s">
        <v>203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71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33</v>
      </c>
      <c r="V96" s="21" t="s">
        <v>33</v>
      </c>
      <c r="W96" s="21" t="s">
        <v>33</v>
      </c>
      <c r="X96" s="21" t="s">
        <v>33</v>
      </c>
      <c r="Y96" s="21" t="s">
        <v>33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173</v>
      </c>
      <c r="AY96" t="s">
        <v>203</v>
      </c>
    </row>
    <row r="97" ht="28" customHeight="1" spans="1:51" x14ac:dyDescent="0.25">
      <c r="A97" s="14"/>
      <c r="B97" s="14"/>
      <c r="C97" s="14"/>
      <c r="D97" s="14"/>
      <c r="E97" s="14"/>
      <c r="F97" s="15" t="s">
        <v>204</v>
      </c>
      <c r="G97" s="15" t="s">
        <v>205</v>
      </c>
      <c r="H97" s="14" t="s">
        <v>66</v>
      </c>
      <c r="I97" s="16">
        <v>2</v>
      </c>
      <c r="J97" s="17">
        <v>1</v>
      </c>
      <c r="K97" s="14" t="s">
        <v>67</v>
      </c>
      <c r="L97" s="14" t="s">
        <v>68</v>
      </c>
      <c r="M97" s="14"/>
      <c r="N97" s="14"/>
      <c r="O97" s="15"/>
      <c r="P97" s="19">
        <v>0</v>
      </c>
      <c r="Q97" s="19">
        <v>0</v>
      </c>
      <c r="R97" s="18">
        <v>2</v>
      </c>
      <c r="S97" s="19">
        <v>0</v>
      </c>
      <c r="T97" s="19">
        <v>0</v>
      </c>
      <c r="U97" s="14" t="s">
        <v>33</v>
      </c>
      <c r="V97" s="14" t="s">
        <v>33</v>
      </c>
      <c r="W97" s="14" t="s">
        <v>33</v>
      </c>
      <c r="X97" s="14" t="s">
        <v>33</v>
      </c>
      <c r="Y97" s="14" t="s">
        <v>33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173</v>
      </c>
      <c r="AY97" t="s">
        <v>206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71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33</v>
      </c>
      <c r="V98" s="21" t="s">
        <v>33</v>
      </c>
      <c r="W98" s="21" t="s">
        <v>33</v>
      </c>
      <c r="X98" s="21" t="s">
        <v>33</v>
      </c>
      <c r="Y98" s="21" t="s">
        <v>33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173</v>
      </c>
      <c r="AY98" t="s">
        <v>206</v>
      </c>
    </row>
    <row r="99" ht="28" customHeight="1" spans="1:51" x14ac:dyDescent="0.25">
      <c r="A99" s="14"/>
      <c r="B99" s="14"/>
      <c r="C99" s="14"/>
      <c r="D99" s="14"/>
      <c r="E99" s="14"/>
      <c r="F99" s="15" t="s">
        <v>207</v>
      </c>
      <c r="G99" s="15" t="s">
        <v>208</v>
      </c>
      <c r="H99" s="14" t="s">
        <v>66</v>
      </c>
      <c r="I99" s="16">
        <v>5</v>
      </c>
      <c r="J99" s="17">
        <v>12</v>
      </c>
      <c r="K99" s="14" t="s">
        <v>141</v>
      </c>
      <c r="L99" s="14" t="s">
        <v>68</v>
      </c>
      <c r="M99" s="14"/>
      <c r="N99" s="14"/>
      <c r="O99" s="15"/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4" t="s">
        <v>33</v>
      </c>
      <c r="V99" s="14" t="s">
        <v>33</v>
      </c>
      <c r="W99" s="14" t="s">
        <v>33</v>
      </c>
      <c r="X99" s="14" t="s">
        <v>33</v>
      </c>
      <c r="Y99" s="14" t="s">
        <v>33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173</v>
      </c>
      <c r="AY99" t="s">
        <v>209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71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33</v>
      </c>
      <c r="V100" s="21" t="s">
        <v>33</v>
      </c>
      <c r="W100" s="21" t="s">
        <v>33</v>
      </c>
      <c r="X100" s="21" t="s">
        <v>33</v>
      </c>
      <c r="Y100" s="21" t="s">
        <v>33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173</v>
      </c>
      <c r="AY100" t="s">
        <v>209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176</v>
      </c>
      <c r="G101" s="15" t="s">
        <v>177</v>
      </c>
      <c r="H101" s="14" t="s">
        <v>66</v>
      </c>
      <c r="I101" s="16">
        <v>1</v>
      </c>
      <c r="J101" s="17">
        <v>1</v>
      </c>
      <c r="K101" s="14" t="s">
        <v>121</v>
      </c>
      <c r="L101" s="14" t="s">
        <v>68</v>
      </c>
      <c r="M101" s="14"/>
      <c r="N101" s="14"/>
      <c r="O101" s="15"/>
      <c r="P101" s="22">
        <v>1</v>
      </c>
      <c r="Q101" s="22">
        <v>1</v>
      </c>
      <c r="R101" s="22">
        <v>1</v>
      </c>
      <c r="S101" s="22">
        <v>1</v>
      </c>
      <c r="T101" s="19">
        <v>0</v>
      </c>
      <c r="U101" s="14" t="s">
        <v>33</v>
      </c>
      <c r="V101" s="14" t="s">
        <v>33</v>
      </c>
      <c r="W101" s="14" t="s">
        <v>33</v>
      </c>
      <c r="X101" s="14" t="s">
        <v>33</v>
      </c>
      <c r="Y101" s="14" t="s">
        <v>33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173</v>
      </c>
      <c r="AY101" t="s">
        <v>210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71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33</v>
      </c>
      <c r="V102" s="21" t="s">
        <v>33</v>
      </c>
      <c r="W102" s="21" t="s">
        <v>33</v>
      </c>
      <c r="X102" s="21" t="s">
        <v>33</v>
      </c>
      <c r="Y102" s="21" t="s">
        <v>33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173</v>
      </c>
      <c r="AY102" t="s">
        <v>210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179</v>
      </c>
      <c r="G103" s="15" t="s">
        <v>180</v>
      </c>
      <c r="H103" s="14" t="s">
        <v>66</v>
      </c>
      <c r="I103" s="16">
        <v>1</v>
      </c>
      <c r="J103" s="17">
        <v>1</v>
      </c>
      <c r="K103" s="14" t="s">
        <v>121</v>
      </c>
      <c r="L103" s="14" t="s">
        <v>68</v>
      </c>
      <c r="M103" s="14"/>
      <c r="N103" s="14"/>
      <c r="O103" s="15"/>
      <c r="P103" s="22">
        <v>1</v>
      </c>
      <c r="Q103" s="22">
        <v>1</v>
      </c>
      <c r="R103" s="22">
        <v>1</v>
      </c>
      <c r="S103" s="22">
        <v>1</v>
      </c>
      <c r="T103" s="19">
        <v>0</v>
      </c>
      <c r="U103" s="14" t="s">
        <v>33</v>
      </c>
      <c r="V103" s="14" t="s">
        <v>33</v>
      </c>
      <c r="W103" s="14" t="s">
        <v>33</v>
      </c>
      <c r="X103" s="14" t="s">
        <v>33</v>
      </c>
      <c r="Y103" s="14" t="s">
        <v>33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173</v>
      </c>
      <c r="AY103" t="s">
        <v>211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71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33</v>
      </c>
      <c r="V104" s="21" t="s">
        <v>33</v>
      </c>
      <c r="W104" s="21" t="s">
        <v>33</v>
      </c>
      <c r="X104" s="21" t="s">
        <v>33</v>
      </c>
      <c r="Y104" s="21" t="s">
        <v>33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173</v>
      </c>
      <c r="AY104" t="s">
        <v>211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182</v>
      </c>
      <c r="G105" s="15" t="s">
        <v>183</v>
      </c>
      <c r="H105" s="14" t="s">
        <v>66</v>
      </c>
      <c r="I105" s="16">
        <v>1</v>
      </c>
      <c r="J105" s="17">
        <v>1</v>
      </c>
      <c r="K105" s="14" t="s">
        <v>121</v>
      </c>
      <c r="L105" s="14" t="s">
        <v>68</v>
      </c>
      <c r="M105" s="14"/>
      <c r="N105" s="14"/>
      <c r="O105" s="15"/>
      <c r="P105" s="22">
        <v>1</v>
      </c>
      <c r="Q105" s="22">
        <v>1</v>
      </c>
      <c r="R105" s="22">
        <v>1</v>
      </c>
      <c r="S105" s="22">
        <v>1</v>
      </c>
      <c r="T105" s="19">
        <v>0</v>
      </c>
      <c r="U105" s="14" t="s">
        <v>33</v>
      </c>
      <c r="V105" s="14" t="s">
        <v>33</v>
      </c>
      <c r="W105" s="14" t="s">
        <v>33</v>
      </c>
      <c r="X105" s="14" t="s">
        <v>33</v>
      </c>
      <c r="Y105" s="14" t="s">
        <v>33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173</v>
      </c>
      <c r="AY105" t="s">
        <v>212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71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33</v>
      </c>
      <c r="V106" s="21" t="s">
        <v>33</v>
      </c>
      <c r="W106" s="21" t="s">
        <v>33</v>
      </c>
      <c r="X106" s="21" t="s">
        <v>33</v>
      </c>
      <c r="Y106" s="21" t="s">
        <v>33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173</v>
      </c>
      <c r="AY106" t="s">
        <v>212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185</v>
      </c>
      <c r="G107" s="15" t="s">
        <v>186</v>
      </c>
      <c r="H107" s="14" t="s">
        <v>66</v>
      </c>
      <c r="I107" s="16">
        <v>1</v>
      </c>
      <c r="J107" s="17">
        <v>1</v>
      </c>
      <c r="K107" s="14" t="s">
        <v>121</v>
      </c>
      <c r="L107" s="14" t="s">
        <v>68</v>
      </c>
      <c r="M107" s="14"/>
      <c r="N107" s="14"/>
      <c r="O107" s="15"/>
      <c r="P107" s="22">
        <v>1</v>
      </c>
      <c r="Q107" s="22">
        <v>1</v>
      </c>
      <c r="R107" s="22">
        <v>1</v>
      </c>
      <c r="S107" s="22">
        <v>1</v>
      </c>
      <c r="T107" s="19">
        <v>0</v>
      </c>
      <c r="U107" s="14" t="s">
        <v>33</v>
      </c>
      <c r="V107" s="14" t="s">
        <v>33</v>
      </c>
      <c r="W107" s="14" t="s">
        <v>33</v>
      </c>
      <c r="X107" s="14" t="s">
        <v>33</v>
      </c>
      <c r="Y107" s="14" t="s">
        <v>33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173</v>
      </c>
      <c r="AY107" t="s">
        <v>213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71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33</v>
      </c>
      <c r="V108" s="21" t="s">
        <v>33</v>
      </c>
      <c r="W108" s="21" t="s">
        <v>33</v>
      </c>
      <c r="X108" s="21" t="s">
        <v>33</v>
      </c>
      <c r="Y108" s="21" t="s">
        <v>33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173</v>
      </c>
      <c r="AY108" t="s">
        <v>213</v>
      </c>
    </row>
    <row r="109" ht="28" customHeight="1" spans="1:51" x14ac:dyDescent="0.25">
      <c r="A109" s="14"/>
      <c r="B109" s="14"/>
      <c r="C109" s="14"/>
      <c r="D109" s="14"/>
      <c r="E109" s="14"/>
      <c r="F109" s="15" t="s">
        <v>188</v>
      </c>
      <c r="G109" s="15" t="s">
        <v>189</v>
      </c>
      <c r="H109" s="14" t="s">
        <v>66</v>
      </c>
      <c r="I109" s="16">
        <v>1</v>
      </c>
      <c r="J109" s="17">
        <v>1</v>
      </c>
      <c r="K109" s="14" t="s">
        <v>121</v>
      </c>
      <c r="L109" s="14" t="s">
        <v>68</v>
      </c>
      <c r="M109" s="14"/>
      <c r="N109" s="14"/>
      <c r="O109" s="15"/>
      <c r="P109" s="22">
        <v>1</v>
      </c>
      <c r="Q109" s="22">
        <v>1</v>
      </c>
      <c r="R109" s="22">
        <v>1</v>
      </c>
      <c r="S109" s="22">
        <v>1</v>
      </c>
      <c r="T109" s="19">
        <v>0</v>
      </c>
      <c r="U109" s="14" t="s">
        <v>33</v>
      </c>
      <c r="V109" s="14" t="s">
        <v>33</v>
      </c>
      <c r="W109" s="14" t="s">
        <v>33</v>
      </c>
      <c r="X109" s="14" t="s">
        <v>33</v>
      </c>
      <c r="Y109" s="14" t="s">
        <v>33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173</v>
      </c>
      <c r="AY109" t="s">
        <v>214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71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33</v>
      </c>
      <c r="V110" s="21" t="s">
        <v>33</v>
      </c>
      <c r="W110" s="21" t="s">
        <v>33</v>
      </c>
      <c r="X110" s="21" t="s">
        <v>33</v>
      </c>
      <c r="Y110" s="21" t="s">
        <v>33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173</v>
      </c>
      <c r="AY110" t="s">
        <v>214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188</v>
      </c>
      <c r="G111" s="15" t="s">
        <v>191</v>
      </c>
      <c r="H111" s="14" t="s">
        <v>66</v>
      </c>
      <c r="I111" s="16">
        <v>1</v>
      </c>
      <c r="J111" s="17">
        <v>1</v>
      </c>
      <c r="K111" s="14" t="s">
        <v>121</v>
      </c>
      <c r="L111" s="14" t="s">
        <v>68</v>
      </c>
      <c r="M111" s="14"/>
      <c r="N111" s="14"/>
      <c r="O111" s="15"/>
      <c r="P111" s="22">
        <v>1</v>
      </c>
      <c r="Q111" s="22">
        <v>1</v>
      </c>
      <c r="R111" s="22">
        <v>1</v>
      </c>
      <c r="S111" s="22">
        <v>1</v>
      </c>
      <c r="T111" s="19">
        <v>0</v>
      </c>
      <c r="U111" s="14" t="s">
        <v>33</v>
      </c>
      <c r="V111" s="14" t="s">
        <v>33</v>
      </c>
      <c r="W111" s="14" t="s">
        <v>33</v>
      </c>
      <c r="X111" s="14" t="s">
        <v>33</v>
      </c>
      <c r="Y111" s="14" t="s">
        <v>33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173</v>
      </c>
      <c r="AY111" t="s">
        <v>215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71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33</v>
      </c>
      <c r="V112" s="21" t="s">
        <v>33</v>
      </c>
      <c r="W112" s="21" t="s">
        <v>33</v>
      </c>
      <c r="X112" s="21" t="s">
        <v>33</v>
      </c>
      <c r="Y112" s="21" t="s">
        <v>33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173</v>
      </c>
      <c r="AY112" t="s">
        <v>215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123</v>
      </c>
      <c r="G113" s="15" t="s">
        <v>193</v>
      </c>
      <c r="H113" s="14" t="s">
        <v>66</v>
      </c>
      <c r="I113" s="16">
        <v>1</v>
      </c>
      <c r="J113" s="17">
        <v>1</v>
      </c>
      <c r="K113" s="14" t="s">
        <v>121</v>
      </c>
      <c r="L113" s="14" t="s">
        <v>68</v>
      </c>
      <c r="M113" s="14"/>
      <c r="N113" s="14"/>
      <c r="O113" s="15"/>
      <c r="P113" s="22">
        <v>1</v>
      </c>
      <c r="Q113" s="22">
        <v>1</v>
      </c>
      <c r="R113" s="22">
        <v>1</v>
      </c>
      <c r="S113" s="22">
        <v>1</v>
      </c>
      <c r="T113" s="19">
        <v>0</v>
      </c>
      <c r="U113" s="14" t="s">
        <v>33</v>
      </c>
      <c r="V113" s="14" t="s">
        <v>33</v>
      </c>
      <c r="W113" s="14" t="s">
        <v>33</v>
      </c>
      <c r="X113" s="14" t="s">
        <v>33</v>
      </c>
      <c r="Y113" s="14" t="s">
        <v>33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173</v>
      </c>
      <c r="AY113" t="s">
        <v>216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71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33</v>
      </c>
      <c r="V114" s="21" t="s">
        <v>33</v>
      </c>
      <c r="W114" s="21" t="s">
        <v>33</v>
      </c>
      <c r="X114" s="21" t="s">
        <v>33</v>
      </c>
      <c r="Y114" s="21" t="s">
        <v>33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173</v>
      </c>
      <c r="AY114" t="s">
        <v>216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195</v>
      </c>
      <c r="G115" s="15" t="s">
        <v>196</v>
      </c>
      <c r="H115" s="14" t="s">
        <v>66</v>
      </c>
      <c r="I115" s="16">
        <v>1</v>
      </c>
      <c r="J115" s="17">
        <v>1</v>
      </c>
      <c r="K115" s="14" t="s">
        <v>121</v>
      </c>
      <c r="L115" s="14" t="s">
        <v>68</v>
      </c>
      <c r="M115" s="14"/>
      <c r="N115" s="14"/>
      <c r="O115" s="15"/>
      <c r="P115" s="22">
        <v>1</v>
      </c>
      <c r="Q115" s="22">
        <v>1</v>
      </c>
      <c r="R115" s="22">
        <v>1</v>
      </c>
      <c r="S115" s="22">
        <v>1</v>
      </c>
      <c r="T115" s="19">
        <v>0</v>
      </c>
      <c r="U115" s="14" t="s">
        <v>33</v>
      </c>
      <c r="V115" s="14" t="s">
        <v>33</v>
      </c>
      <c r="W115" s="14" t="s">
        <v>33</v>
      </c>
      <c r="X115" s="14" t="s">
        <v>33</v>
      </c>
      <c r="Y115" s="14" t="s">
        <v>33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173</v>
      </c>
      <c r="AY115" t="s">
        <v>217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71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33</v>
      </c>
      <c r="V116" s="21" t="s">
        <v>33</v>
      </c>
      <c r="W116" s="21" t="s">
        <v>33</v>
      </c>
      <c r="X116" s="21" t="s">
        <v>33</v>
      </c>
      <c r="Y116" s="21" t="s">
        <v>33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173</v>
      </c>
      <c r="AY116" t="s">
        <v>217</v>
      </c>
    </row>
    <row r="117" ht="28" customHeight="1" spans="1:51" x14ac:dyDescent="0.25">
      <c r="A117" s="14"/>
      <c r="B117" s="14"/>
      <c r="C117" s="14"/>
      <c r="D117" s="14"/>
      <c r="E117" s="14"/>
      <c r="F117" s="15" t="s">
        <v>198</v>
      </c>
      <c r="G117" s="15" t="s">
        <v>199</v>
      </c>
      <c r="H117" s="14" t="s">
        <v>66</v>
      </c>
      <c r="I117" s="16">
        <v>1</v>
      </c>
      <c r="J117" s="17">
        <v>1</v>
      </c>
      <c r="K117" s="14" t="s">
        <v>121</v>
      </c>
      <c r="L117" s="14" t="s">
        <v>68</v>
      </c>
      <c r="M117" s="14"/>
      <c r="N117" s="14"/>
      <c r="O117" s="15"/>
      <c r="P117" s="22">
        <v>1</v>
      </c>
      <c r="Q117" s="22">
        <v>1</v>
      </c>
      <c r="R117" s="22">
        <v>1</v>
      </c>
      <c r="S117" s="22">
        <v>1</v>
      </c>
      <c r="T117" s="19">
        <v>0</v>
      </c>
      <c r="U117" s="14" t="s">
        <v>33</v>
      </c>
      <c r="V117" s="14" t="s">
        <v>33</v>
      </c>
      <c r="W117" s="14" t="s">
        <v>33</v>
      </c>
      <c r="X117" s="14" t="s">
        <v>33</v>
      </c>
      <c r="Y117" s="14" t="s">
        <v>33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173</v>
      </c>
      <c r="AY117" t="s">
        <v>218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71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33</v>
      </c>
      <c r="V118" s="21" t="s">
        <v>33</v>
      </c>
      <c r="W118" s="21" t="s">
        <v>33</v>
      </c>
      <c r="X118" s="21" t="s">
        <v>33</v>
      </c>
      <c r="Y118" s="21" t="s">
        <v>33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173</v>
      </c>
      <c r="AY118" t="s">
        <v>218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201</v>
      </c>
      <c r="G119" s="15" t="s">
        <v>202</v>
      </c>
      <c r="H119" s="14" t="s">
        <v>66</v>
      </c>
      <c r="I119" s="16">
        <v>1</v>
      </c>
      <c r="J119" s="17">
        <v>1</v>
      </c>
      <c r="K119" s="14" t="s">
        <v>121</v>
      </c>
      <c r="L119" s="14" t="s">
        <v>68</v>
      </c>
      <c r="M119" s="14"/>
      <c r="N119" s="14"/>
      <c r="O119" s="15"/>
      <c r="P119" s="22">
        <v>1</v>
      </c>
      <c r="Q119" s="22">
        <v>1</v>
      </c>
      <c r="R119" s="22">
        <v>1</v>
      </c>
      <c r="S119" s="22">
        <v>1</v>
      </c>
      <c r="T119" s="19">
        <v>0</v>
      </c>
      <c r="U119" s="14" t="s">
        <v>33</v>
      </c>
      <c r="V119" s="14" t="s">
        <v>33</v>
      </c>
      <c r="W119" s="14" t="s">
        <v>33</v>
      </c>
      <c r="X119" s="14" t="s">
        <v>33</v>
      </c>
      <c r="Y119" s="14" t="s">
        <v>33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173</v>
      </c>
      <c r="AY119" t="s">
        <v>219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71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33</v>
      </c>
      <c r="V120" s="21" t="s">
        <v>33</v>
      </c>
      <c r="W120" s="21" t="s">
        <v>33</v>
      </c>
      <c r="X120" s="21" t="s">
        <v>33</v>
      </c>
      <c r="Y120" s="21" t="s">
        <v>33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173</v>
      </c>
      <c r="AY120" t="s">
        <v>219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204</v>
      </c>
      <c r="G121" s="15" t="s">
        <v>205</v>
      </c>
      <c r="H121" s="14" t="s">
        <v>66</v>
      </c>
      <c r="I121" s="16">
        <v>2</v>
      </c>
      <c r="J121" s="17">
        <v>1</v>
      </c>
      <c r="K121" s="14" t="s">
        <v>67</v>
      </c>
      <c r="L121" s="14" t="s">
        <v>68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8">
        <v>2</v>
      </c>
      <c r="T121" s="19">
        <v>0</v>
      </c>
      <c r="U121" s="14" t="s">
        <v>33</v>
      </c>
      <c r="V121" s="14" t="s">
        <v>33</v>
      </c>
      <c r="W121" s="14" t="s">
        <v>33</v>
      </c>
      <c r="X121" s="14" t="s">
        <v>33</v>
      </c>
      <c r="Y121" s="14" t="s">
        <v>33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173</v>
      </c>
      <c r="AY121" t="s">
        <v>220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71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33</v>
      </c>
      <c r="V122" s="21" t="s">
        <v>33</v>
      </c>
      <c r="W122" s="21" t="s">
        <v>33</v>
      </c>
      <c r="X122" s="21" t="s">
        <v>33</v>
      </c>
      <c r="Y122" s="21" t="s">
        <v>33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173</v>
      </c>
      <c r="AY122" t="s">
        <v>220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207</v>
      </c>
      <c r="G123" s="15" t="s">
        <v>208</v>
      </c>
      <c r="H123" s="14" t="s">
        <v>66</v>
      </c>
      <c r="I123" s="16">
        <v>5</v>
      </c>
      <c r="J123" s="17">
        <v>12</v>
      </c>
      <c r="K123" s="14" t="s">
        <v>141</v>
      </c>
      <c r="L123" s="14" t="s">
        <v>68</v>
      </c>
      <c r="M123" s="14"/>
      <c r="N123" s="14"/>
      <c r="O123" s="15"/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4" t="s">
        <v>33</v>
      </c>
      <c r="V123" s="14" t="s">
        <v>33</v>
      </c>
      <c r="W123" s="14" t="s">
        <v>33</v>
      </c>
      <c r="X123" s="14" t="s">
        <v>33</v>
      </c>
      <c r="Y123" s="14" t="s">
        <v>33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173</v>
      </c>
      <c r="AY123" t="s">
        <v>221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71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33</v>
      </c>
      <c r="V124" s="21" t="s">
        <v>33</v>
      </c>
      <c r="W124" s="21" t="s">
        <v>33</v>
      </c>
      <c r="X124" s="21" t="s">
        <v>33</v>
      </c>
      <c r="Y124" s="21" t="s">
        <v>33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173</v>
      </c>
      <c r="AY124" t="s">
        <v>221</v>
      </c>
    </row>
    <row r="125" ht="28" customHeight="1" spans="1:51" x14ac:dyDescent="0.25">
      <c r="A125" s="14"/>
      <c r="B125" s="14" t="s">
        <v>222</v>
      </c>
      <c r="C125" s="14" t="s">
        <v>223</v>
      </c>
      <c r="D125" s="14" t="s">
        <v>224</v>
      </c>
      <c r="E125" s="14" t="s">
        <v>168</v>
      </c>
      <c r="F125" s="15" t="s">
        <v>225</v>
      </c>
      <c r="G125" s="15" t="s">
        <v>226</v>
      </c>
      <c r="H125" s="14" t="s">
        <v>66</v>
      </c>
      <c r="I125" s="16">
        <v>2</v>
      </c>
      <c r="J125" s="17">
        <v>1</v>
      </c>
      <c r="K125" s="14" t="s">
        <v>67</v>
      </c>
      <c r="L125" s="14" t="s">
        <v>68</v>
      </c>
      <c r="M125" s="14"/>
      <c r="N125" s="14"/>
      <c r="O125" s="15"/>
      <c r="P125" s="18">
        <v>2</v>
      </c>
      <c r="Q125" s="19">
        <v>0</v>
      </c>
      <c r="R125" s="19">
        <v>0</v>
      </c>
      <c r="S125" s="19">
        <v>0</v>
      </c>
      <c r="T125" s="19">
        <v>0</v>
      </c>
      <c r="U125" s="14" t="s">
        <v>33</v>
      </c>
      <c r="V125" s="14" t="s">
        <v>33</v>
      </c>
      <c r="W125" s="14" t="s">
        <v>33</v>
      </c>
      <c r="X125" s="14" t="s">
        <v>33</v>
      </c>
      <c r="Y125" s="14" t="s">
        <v>33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222</v>
      </c>
      <c r="AY125" t="s">
        <v>227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71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33</v>
      </c>
      <c r="V126" s="21" t="s">
        <v>33</v>
      </c>
      <c r="W126" s="21" t="s">
        <v>33</v>
      </c>
      <c r="X126" s="21" t="s">
        <v>33</v>
      </c>
      <c r="Y126" s="21" t="s">
        <v>33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222</v>
      </c>
      <c r="AY126" t="s">
        <v>227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151</v>
      </c>
      <c r="G127" s="15" t="s">
        <v>228</v>
      </c>
      <c r="H127" s="14" t="s">
        <v>66</v>
      </c>
      <c r="I127" s="16">
        <v>2</v>
      </c>
      <c r="J127" s="17">
        <v>1</v>
      </c>
      <c r="K127" s="14" t="s">
        <v>67</v>
      </c>
      <c r="L127" s="14" t="s">
        <v>68</v>
      </c>
      <c r="M127" s="14"/>
      <c r="N127" s="14"/>
      <c r="O127" s="15"/>
      <c r="P127" s="19">
        <v>0</v>
      </c>
      <c r="Q127" s="18">
        <v>2</v>
      </c>
      <c r="R127" s="19">
        <v>0</v>
      </c>
      <c r="S127" s="19">
        <v>0</v>
      </c>
      <c r="T127" s="19">
        <v>0</v>
      </c>
      <c r="U127" s="14" t="s">
        <v>33</v>
      </c>
      <c r="V127" s="14" t="s">
        <v>33</v>
      </c>
      <c r="W127" s="14" t="s">
        <v>33</v>
      </c>
      <c r="X127" s="14" t="s">
        <v>33</v>
      </c>
      <c r="Y127" s="14" t="s">
        <v>33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222</v>
      </c>
      <c r="AY127" t="s">
        <v>229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71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33</v>
      </c>
      <c r="V128" s="21" t="s">
        <v>33</v>
      </c>
      <c r="W128" s="21" t="s">
        <v>33</v>
      </c>
      <c r="X128" s="21" t="s">
        <v>33</v>
      </c>
      <c r="Y128" s="21" t="s">
        <v>33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222</v>
      </c>
      <c r="AY128" t="s">
        <v>229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230</v>
      </c>
      <c r="G129" s="15" t="s">
        <v>231</v>
      </c>
      <c r="H129" s="14" t="s">
        <v>66</v>
      </c>
      <c r="I129" s="16">
        <v>2</v>
      </c>
      <c r="J129" s="17">
        <v>1</v>
      </c>
      <c r="K129" s="14" t="s">
        <v>67</v>
      </c>
      <c r="L129" s="14" t="s">
        <v>68</v>
      </c>
      <c r="M129" s="14"/>
      <c r="N129" s="14"/>
      <c r="O129" s="15"/>
      <c r="P129" s="19">
        <v>0</v>
      </c>
      <c r="Q129" s="19">
        <v>0</v>
      </c>
      <c r="R129" s="18">
        <v>2</v>
      </c>
      <c r="S129" s="19">
        <v>0</v>
      </c>
      <c r="T129" s="19">
        <v>0</v>
      </c>
      <c r="U129" s="14" t="s">
        <v>33</v>
      </c>
      <c r="V129" s="14" t="s">
        <v>33</v>
      </c>
      <c r="W129" s="14" t="s">
        <v>33</v>
      </c>
      <c r="X129" s="14" t="s">
        <v>33</v>
      </c>
      <c r="Y129" s="14" t="s">
        <v>33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222</v>
      </c>
      <c r="AY129" t="s">
        <v>232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71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33</v>
      </c>
      <c r="V130" s="21" t="s">
        <v>33</v>
      </c>
      <c r="W130" s="21" t="s">
        <v>33</v>
      </c>
      <c r="X130" s="21" t="s">
        <v>33</v>
      </c>
      <c r="Y130" s="21" t="s">
        <v>33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222</v>
      </c>
      <c r="AY130" t="s">
        <v>232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233</v>
      </c>
      <c r="G131" s="15" t="s">
        <v>234</v>
      </c>
      <c r="H131" s="14" t="s">
        <v>66</v>
      </c>
      <c r="I131" s="16">
        <v>2</v>
      </c>
      <c r="J131" s="17">
        <v>1</v>
      </c>
      <c r="K131" s="14" t="s">
        <v>67</v>
      </c>
      <c r="L131" s="14" t="s">
        <v>68</v>
      </c>
      <c r="M131" s="14"/>
      <c r="N131" s="14"/>
      <c r="O131" s="15"/>
      <c r="P131" s="19">
        <v>0</v>
      </c>
      <c r="Q131" s="19">
        <v>0</v>
      </c>
      <c r="R131" s="19">
        <v>0</v>
      </c>
      <c r="S131" s="18">
        <v>2</v>
      </c>
      <c r="T131" s="19">
        <v>0</v>
      </c>
      <c r="U131" s="14" t="s">
        <v>33</v>
      </c>
      <c r="V131" s="14" t="s">
        <v>33</v>
      </c>
      <c r="W131" s="14" t="s">
        <v>33</v>
      </c>
      <c r="X131" s="14" t="s">
        <v>33</v>
      </c>
      <c r="Y131" s="14" t="s">
        <v>33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222</v>
      </c>
      <c r="AY131" t="s">
        <v>235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71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33</v>
      </c>
      <c r="V132" s="21" t="s">
        <v>33</v>
      </c>
      <c r="W132" s="21" t="s">
        <v>33</v>
      </c>
      <c r="X132" s="21" t="s">
        <v>33</v>
      </c>
      <c r="Y132" s="21" t="s">
        <v>33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222</v>
      </c>
      <c r="AY132" t="s">
        <v>235</v>
      </c>
    </row>
    <row r="133" ht="28" customHeight="1" spans="1:51" x14ac:dyDescent="0.25">
      <c r="A133" s="14"/>
      <c r="B133" s="14"/>
      <c r="C133" s="14"/>
      <c r="D133" s="14"/>
      <c r="E133" s="14"/>
      <c r="F133" s="15" t="s">
        <v>236</v>
      </c>
      <c r="G133" s="15" t="s">
        <v>237</v>
      </c>
      <c r="H133" s="14" t="s">
        <v>66</v>
      </c>
      <c r="I133" s="16">
        <v>2</v>
      </c>
      <c r="J133" s="17">
        <v>1</v>
      </c>
      <c r="K133" s="14" t="s">
        <v>67</v>
      </c>
      <c r="L133" s="14" t="s">
        <v>68</v>
      </c>
      <c r="M133" s="14"/>
      <c r="N133" s="14"/>
      <c r="O133" s="15"/>
      <c r="P133" s="18">
        <v>2</v>
      </c>
      <c r="Q133" s="19">
        <v>0</v>
      </c>
      <c r="R133" s="19">
        <v>0</v>
      </c>
      <c r="S133" s="19">
        <v>0</v>
      </c>
      <c r="T133" s="19">
        <v>0</v>
      </c>
      <c r="U133" s="14" t="s">
        <v>33</v>
      </c>
      <c r="V133" s="14" t="s">
        <v>33</v>
      </c>
      <c r="W133" s="14" t="s">
        <v>33</v>
      </c>
      <c r="X133" s="14" t="s">
        <v>33</v>
      </c>
      <c r="Y133" s="14" t="s">
        <v>33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222</v>
      </c>
      <c r="AY133" t="s">
        <v>238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71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33</v>
      </c>
      <c r="V134" s="21" t="s">
        <v>33</v>
      </c>
      <c r="W134" s="21" t="s">
        <v>33</v>
      </c>
      <c r="X134" s="21" t="s">
        <v>33</v>
      </c>
      <c r="Y134" s="21" t="s">
        <v>33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222</v>
      </c>
      <c r="AY134" t="s">
        <v>238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239</v>
      </c>
      <c r="G135" s="15" t="s">
        <v>240</v>
      </c>
      <c r="H135" s="14" t="s">
        <v>66</v>
      </c>
      <c r="I135" s="16">
        <v>2</v>
      </c>
      <c r="J135" s="17">
        <v>1</v>
      </c>
      <c r="K135" s="14" t="s">
        <v>67</v>
      </c>
      <c r="L135" s="14" t="s">
        <v>68</v>
      </c>
      <c r="M135" s="14"/>
      <c r="N135" s="14"/>
      <c r="O135" s="15"/>
      <c r="P135" s="19">
        <v>0</v>
      </c>
      <c r="Q135" s="18">
        <v>2</v>
      </c>
      <c r="R135" s="19">
        <v>0</v>
      </c>
      <c r="S135" s="19">
        <v>0</v>
      </c>
      <c r="T135" s="19">
        <v>0</v>
      </c>
      <c r="U135" s="14" t="s">
        <v>33</v>
      </c>
      <c r="V135" s="14" t="s">
        <v>33</v>
      </c>
      <c r="W135" s="14" t="s">
        <v>33</v>
      </c>
      <c r="X135" s="14" t="s">
        <v>33</v>
      </c>
      <c r="Y135" s="14" t="s">
        <v>33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222</v>
      </c>
      <c r="AY135" t="s">
        <v>241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71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33</v>
      </c>
      <c r="V136" s="21" t="s">
        <v>33</v>
      </c>
      <c r="W136" s="21" t="s">
        <v>33</v>
      </c>
      <c r="X136" s="21" t="s">
        <v>33</v>
      </c>
      <c r="Y136" s="21" t="s">
        <v>33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222</v>
      </c>
      <c r="AY136" t="s">
        <v>241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242</v>
      </c>
      <c r="G137" s="15" t="s">
        <v>243</v>
      </c>
      <c r="H137" s="14" t="s">
        <v>66</v>
      </c>
      <c r="I137" s="16">
        <v>3</v>
      </c>
      <c r="J137" s="17">
        <v>3</v>
      </c>
      <c r="K137" s="14" t="s">
        <v>157</v>
      </c>
      <c r="L137" s="14" t="s">
        <v>68</v>
      </c>
      <c r="M137" s="14"/>
      <c r="N137" s="14"/>
      <c r="O137" s="15"/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4" t="s">
        <v>33</v>
      </c>
      <c r="V137" s="14" t="s">
        <v>33</v>
      </c>
      <c r="W137" s="14" t="s">
        <v>33</v>
      </c>
      <c r="X137" s="14" t="s">
        <v>33</v>
      </c>
      <c r="Y137" s="14" t="s">
        <v>33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222</v>
      </c>
      <c r="AY137" t="s">
        <v>244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71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33</v>
      </c>
      <c r="V138" s="21" t="s">
        <v>33</v>
      </c>
      <c r="W138" s="21" t="s">
        <v>33</v>
      </c>
      <c r="X138" s="21" t="s">
        <v>33</v>
      </c>
      <c r="Y138" s="21" t="s">
        <v>33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222</v>
      </c>
      <c r="AY138" t="s">
        <v>244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245</v>
      </c>
      <c r="G139" s="15" t="s">
        <v>246</v>
      </c>
      <c r="H139" s="14" t="s">
        <v>66</v>
      </c>
      <c r="I139" s="16">
        <v>3</v>
      </c>
      <c r="J139" s="17">
        <v>3</v>
      </c>
      <c r="K139" s="14" t="s">
        <v>157</v>
      </c>
      <c r="L139" s="14" t="s">
        <v>68</v>
      </c>
      <c r="M139" s="14"/>
      <c r="N139" s="14"/>
      <c r="O139" s="15"/>
      <c r="P139" s="19">
        <v>0</v>
      </c>
      <c r="Q139" s="23">
        <v>3</v>
      </c>
      <c r="R139" s="19">
        <v>0</v>
      </c>
      <c r="S139" s="19">
        <v>0</v>
      </c>
      <c r="T139" s="19">
        <v>0</v>
      </c>
      <c r="U139" s="14" t="s">
        <v>33</v>
      </c>
      <c r="V139" s="14" t="s">
        <v>33</v>
      </c>
      <c r="W139" s="14" t="s">
        <v>33</v>
      </c>
      <c r="X139" s="14" t="s">
        <v>33</v>
      </c>
      <c r="Y139" s="14" t="s">
        <v>33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222</v>
      </c>
      <c r="AY139" t="s">
        <v>247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71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33</v>
      </c>
      <c r="V140" s="21" t="s">
        <v>33</v>
      </c>
      <c r="W140" s="21" t="s">
        <v>33</v>
      </c>
      <c r="X140" s="21" t="s">
        <v>33</v>
      </c>
      <c r="Y140" s="21" t="s">
        <v>33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222</v>
      </c>
      <c r="AY140" t="s">
        <v>247</v>
      </c>
    </row>
    <row r="141" ht="28" customHeight="1" spans="1:51" x14ac:dyDescent="0.25">
      <c r="A141" s="14"/>
      <c r="B141" s="14"/>
      <c r="C141" s="14"/>
      <c r="D141" s="14"/>
      <c r="E141" s="14"/>
      <c r="F141" s="15" t="s">
        <v>248</v>
      </c>
      <c r="G141" s="15" t="s">
        <v>249</v>
      </c>
      <c r="H141" s="14" t="s">
        <v>66</v>
      </c>
      <c r="I141" s="16">
        <v>4</v>
      </c>
      <c r="J141" s="17">
        <v>6</v>
      </c>
      <c r="K141" s="14" t="s">
        <v>138</v>
      </c>
      <c r="L141" s="14" t="s">
        <v>68</v>
      </c>
      <c r="M141" s="14"/>
      <c r="N141" s="14"/>
      <c r="O141" s="15"/>
      <c r="P141" s="24">
        <v>4</v>
      </c>
      <c r="Q141" s="19">
        <v>0</v>
      </c>
      <c r="R141" s="19">
        <v>0</v>
      </c>
      <c r="S141" s="19">
        <v>0</v>
      </c>
      <c r="T141" s="19">
        <v>0</v>
      </c>
      <c r="U141" s="14" t="s">
        <v>33</v>
      </c>
      <c r="V141" s="14" t="s">
        <v>33</v>
      </c>
      <c r="W141" s="14" t="s">
        <v>33</v>
      </c>
      <c r="X141" s="14" t="s">
        <v>33</v>
      </c>
      <c r="Y141" s="14" t="s">
        <v>33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222</v>
      </c>
      <c r="AY141" t="s">
        <v>250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71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33</v>
      </c>
      <c r="V142" s="21" t="s">
        <v>33</v>
      </c>
      <c r="W142" s="21" t="s">
        <v>33</v>
      </c>
      <c r="X142" s="21" t="s">
        <v>33</v>
      </c>
      <c r="Y142" s="21" t="s">
        <v>33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222</v>
      </c>
      <c r="AY142" t="s">
        <v>250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100</v>
      </c>
      <c r="G143" s="15" t="s">
        <v>251</v>
      </c>
      <c r="H143" s="14" t="s">
        <v>66</v>
      </c>
      <c r="I143" s="16">
        <v>4</v>
      </c>
      <c r="J143" s="17">
        <v>6</v>
      </c>
      <c r="K143" s="14" t="s">
        <v>138</v>
      </c>
      <c r="L143" s="14" t="s">
        <v>68</v>
      </c>
      <c r="M143" s="14"/>
      <c r="N143" s="14"/>
      <c r="O143" s="15"/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4" t="s">
        <v>33</v>
      </c>
      <c r="V143" s="14" t="s">
        <v>33</v>
      </c>
      <c r="W143" s="14" t="s">
        <v>33</v>
      </c>
      <c r="X143" s="14" t="s">
        <v>33</v>
      </c>
      <c r="Y143" s="14" t="s">
        <v>33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222</v>
      </c>
      <c r="AY143" t="s">
        <v>252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71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33</v>
      </c>
      <c r="V144" s="21" t="s">
        <v>33</v>
      </c>
      <c r="W144" s="21" t="s">
        <v>33</v>
      </c>
      <c r="X144" s="21" t="s">
        <v>33</v>
      </c>
      <c r="Y144" s="21" t="s">
        <v>33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222</v>
      </c>
      <c r="AY144" t="s">
        <v>252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253</v>
      </c>
      <c r="G145" s="15" t="s">
        <v>254</v>
      </c>
      <c r="H145" s="14" t="s">
        <v>66</v>
      </c>
      <c r="I145" s="16">
        <v>5</v>
      </c>
      <c r="J145" s="17">
        <v>12</v>
      </c>
      <c r="K145" s="14" t="s">
        <v>141</v>
      </c>
      <c r="L145" s="14" t="s">
        <v>68</v>
      </c>
      <c r="M145" s="14"/>
      <c r="N145" s="14"/>
      <c r="O145" s="15"/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4" t="s">
        <v>33</v>
      </c>
      <c r="V145" s="14" t="s">
        <v>33</v>
      </c>
      <c r="W145" s="14" t="s">
        <v>33</v>
      </c>
      <c r="X145" s="14" t="s">
        <v>33</v>
      </c>
      <c r="Y145" s="14" t="s">
        <v>33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222</v>
      </c>
      <c r="AY145" t="s">
        <v>255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71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33</v>
      </c>
      <c r="V146" s="21" t="s">
        <v>33</v>
      </c>
      <c r="W146" s="21" t="s">
        <v>33</v>
      </c>
      <c r="X146" s="21" t="s">
        <v>33</v>
      </c>
      <c r="Y146" s="21" t="s">
        <v>33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222</v>
      </c>
      <c r="AY146" t="s">
        <v>255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151</v>
      </c>
      <c r="G147" s="15" t="s">
        <v>256</v>
      </c>
      <c r="H147" s="14" t="s">
        <v>66</v>
      </c>
      <c r="I147" s="16">
        <v>5</v>
      </c>
      <c r="J147" s="17">
        <v>12</v>
      </c>
      <c r="K147" s="14" t="s">
        <v>141</v>
      </c>
      <c r="L147" s="14" t="s">
        <v>68</v>
      </c>
      <c r="M147" s="14"/>
      <c r="N147" s="14"/>
      <c r="O147" s="15"/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4" t="s">
        <v>33</v>
      </c>
      <c r="V147" s="14" t="s">
        <v>33</v>
      </c>
      <c r="W147" s="14" t="s">
        <v>33</v>
      </c>
      <c r="X147" s="14" t="s">
        <v>33</v>
      </c>
      <c r="Y147" s="14" t="s">
        <v>33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222</v>
      </c>
      <c r="AY147" t="s">
        <v>257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71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33</v>
      </c>
      <c r="V148" s="21" t="s">
        <v>33</v>
      </c>
      <c r="W148" s="21" t="s">
        <v>33</v>
      </c>
      <c r="X148" s="21" t="s">
        <v>33</v>
      </c>
      <c r="Y148" s="21" t="s">
        <v>33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222</v>
      </c>
      <c r="AY148" t="s">
        <v>257</v>
      </c>
    </row>
    <row r="149" ht="28" customHeight="1" spans="1:51" x14ac:dyDescent="0.25">
      <c r="A149" s="14"/>
      <c r="B149" s="14"/>
      <c r="C149" s="14"/>
      <c r="D149" s="14"/>
      <c r="E149" s="14"/>
      <c r="F149" s="15" t="s">
        <v>258</v>
      </c>
      <c r="G149" s="15" t="s">
        <v>259</v>
      </c>
      <c r="H149" s="14" t="s">
        <v>66</v>
      </c>
      <c r="I149" s="16">
        <v>5</v>
      </c>
      <c r="J149" s="17">
        <v>12</v>
      </c>
      <c r="K149" s="14" t="s">
        <v>141</v>
      </c>
      <c r="L149" s="14" t="s">
        <v>68</v>
      </c>
      <c r="M149" s="14"/>
      <c r="N149" s="14"/>
      <c r="O149" s="15"/>
      <c r="P149" s="25">
        <v>5</v>
      </c>
      <c r="Q149" s="19">
        <v>0</v>
      </c>
      <c r="R149" s="19">
        <v>0</v>
      </c>
      <c r="S149" s="19">
        <v>0</v>
      </c>
      <c r="T149" s="19">
        <v>0</v>
      </c>
      <c r="U149" s="14" t="s">
        <v>33</v>
      </c>
      <c r="V149" s="14" t="s">
        <v>33</v>
      </c>
      <c r="W149" s="14" t="s">
        <v>33</v>
      </c>
      <c r="X149" s="14" t="s">
        <v>33</v>
      </c>
      <c r="Y149" s="14" t="s">
        <v>33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222</v>
      </c>
      <c r="AY149" t="s">
        <v>260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71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33</v>
      </c>
      <c r="V150" s="21" t="s">
        <v>33</v>
      </c>
      <c r="W150" s="21" t="s">
        <v>33</v>
      </c>
      <c r="X150" s="21" t="s">
        <v>33</v>
      </c>
      <c r="Y150" s="21" t="s">
        <v>33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222</v>
      </c>
      <c r="AY150" t="s">
        <v>260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261</v>
      </c>
      <c r="G151" s="15" t="s">
        <v>262</v>
      </c>
      <c r="H151" s="14" t="s">
        <v>66</v>
      </c>
      <c r="I151" s="16">
        <v>5</v>
      </c>
      <c r="J151" s="17">
        <v>12</v>
      </c>
      <c r="K151" s="14" t="s">
        <v>141</v>
      </c>
      <c r="L151" s="14" t="s">
        <v>68</v>
      </c>
      <c r="M151" s="14"/>
      <c r="N151" s="14"/>
      <c r="O151" s="15"/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4" t="s">
        <v>33</v>
      </c>
      <c r="V151" s="14" t="s">
        <v>33</v>
      </c>
      <c r="W151" s="14" t="s">
        <v>33</v>
      </c>
      <c r="X151" s="14" t="s">
        <v>33</v>
      </c>
      <c r="Y151" s="14" t="s">
        <v>33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222</v>
      </c>
      <c r="AY151" t="s">
        <v>263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71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33</v>
      </c>
      <c r="V152" s="21" t="s">
        <v>33</v>
      </c>
      <c r="W152" s="21" t="s">
        <v>33</v>
      </c>
      <c r="X152" s="21" t="s">
        <v>33</v>
      </c>
      <c r="Y152" s="21" t="s">
        <v>33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222</v>
      </c>
      <c r="AY152" t="s">
        <v>263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264</v>
      </c>
      <c r="G153" s="15" t="s">
        <v>265</v>
      </c>
      <c r="H153" s="14" t="s">
        <v>66</v>
      </c>
      <c r="I153" s="16">
        <v>5</v>
      </c>
      <c r="J153" s="17">
        <v>12</v>
      </c>
      <c r="K153" s="14" t="s">
        <v>141</v>
      </c>
      <c r="L153" s="14" t="s">
        <v>68</v>
      </c>
      <c r="M153" s="14"/>
      <c r="N153" s="14"/>
      <c r="O153" s="15"/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4" t="s">
        <v>33</v>
      </c>
      <c r="V153" s="14" t="s">
        <v>33</v>
      </c>
      <c r="W153" s="14" t="s">
        <v>33</v>
      </c>
      <c r="X153" s="14" t="s">
        <v>33</v>
      </c>
      <c r="Y153" s="14" t="s">
        <v>33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222</v>
      </c>
      <c r="AY153" t="s">
        <v>266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71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33</v>
      </c>
      <c r="V154" s="21" t="s">
        <v>33</v>
      </c>
      <c r="W154" s="21" t="s">
        <v>33</v>
      </c>
      <c r="X154" s="21" t="s">
        <v>33</v>
      </c>
      <c r="Y154" s="21" t="s">
        <v>33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222</v>
      </c>
      <c r="AY154" t="s">
        <v>266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267</v>
      </c>
      <c r="G155" s="15" t="s">
        <v>268</v>
      </c>
      <c r="H155" s="14" t="s">
        <v>66</v>
      </c>
      <c r="I155" s="16">
        <v>5</v>
      </c>
      <c r="J155" s="17">
        <v>12</v>
      </c>
      <c r="K155" s="14" t="s">
        <v>141</v>
      </c>
      <c r="L155" s="14" t="s">
        <v>68</v>
      </c>
      <c r="M155" s="14"/>
      <c r="N155" s="14"/>
      <c r="O155" s="15"/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4" t="s">
        <v>33</v>
      </c>
      <c r="V155" s="14" t="s">
        <v>33</v>
      </c>
      <c r="W155" s="14" t="s">
        <v>33</v>
      </c>
      <c r="X155" s="14" t="s">
        <v>33</v>
      </c>
      <c r="Y155" s="14" t="s">
        <v>33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222</v>
      </c>
      <c r="AY155" t="s">
        <v>269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71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33</v>
      </c>
      <c r="V156" s="21" t="s">
        <v>33</v>
      </c>
      <c r="W156" s="21" t="s">
        <v>33</v>
      </c>
      <c r="X156" s="21" t="s">
        <v>33</v>
      </c>
      <c r="Y156" s="21" t="s">
        <v>33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222</v>
      </c>
      <c r="AY156" t="s">
        <v>269</v>
      </c>
    </row>
    <row r="157" ht="28" customHeight="1" spans="1:51" x14ac:dyDescent="0.25">
      <c r="A157" s="14"/>
      <c r="B157" s="14" t="s">
        <v>270</v>
      </c>
      <c r="C157" s="14" t="s">
        <v>271</v>
      </c>
      <c r="D157" s="14" t="s">
        <v>272</v>
      </c>
      <c r="E157" s="14" t="s">
        <v>168</v>
      </c>
      <c r="F157" s="15" t="s">
        <v>123</v>
      </c>
      <c r="G157" s="15" t="s">
        <v>273</v>
      </c>
      <c r="H157" s="14" t="s">
        <v>66</v>
      </c>
      <c r="I157" s="16">
        <v>3</v>
      </c>
      <c r="J157" s="17">
        <v>3</v>
      </c>
      <c r="K157" s="14" t="s">
        <v>157</v>
      </c>
      <c r="L157" s="14" t="s">
        <v>68</v>
      </c>
      <c r="M157" s="14"/>
      <c r="N157" s="14"/>
      <c r="O157" s="15"/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4" t="s">
        <v>33</v>
      </c>
      <c r="V157" s="14" t="s">
        <v>33</v>
      </c>
      <c r="W157" s="14" t="s">
        <v>33</v>
      </c>
      <c r="X157" s="14" t="s">
        <v>33</v>
      </c>
      <c r="Y157" s="14" t="s">
        <v>33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270</v>
      </c>
      <c r="AY157" t="s">
        <v>274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71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33</v>
      </c>
      <c r="V158" s="21" t="s">
        <v>33</v>
      </c>
      <c r="W158" s="21" t="s">
        <v>33</v>
      </c>
      <c r="X158" s="21" t="s">
        <v>33</v>
      </c>
      <c r="Y158" s="21" t="s">
        <v>33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270</v>
      </c>
      <c r="AY158" t="s">
        <v>274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275</v>
      </c>
      <c r="G159" s="15" t="s">
        <v>276</v>
      </c>
      <c r="H159" s="14" t="s">
        <v>66</v>
      </c>
      <c r="I159" s="16">
        <v>4</v>
      </c>
      <c r="J159" s="17">
        <v>6</v>
      </c>
      <c r="K159" s="14" t="s">
        <v>138</v>
      </c>
      <c r="L159" s="14" t="s">
        <v>68</v>
      </c>
      <c r="M159" s="14"/>
      <c r="N159" s="14"/>
      <c r="O159" s="15"/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4" t="s">
        <v>33</v>
      </c>
      <c r="V159" s="14" t="s">
        <v>33</v>
      </c>
      <c r="W159" s="14" t="s">
        <v>33</v>
      </c>
      <c r="X159" s="14" t="s">
        <v>33</v>
      </c>
      <c r="Y159" s="14" t="s">
        <v>33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270</v>
      </c>
      <c r="AY159" t="s">
        <v>277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71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33</v>
      </c>
      <c r="V160" s="21" t="s">
        <v>33</v>
      </c>
      <c r="W160" s="21" t="s">
        <v>33</v>
      </c>
      <c r="X160" s="21" t="s">
        <v>33</v>
      </c>
      <c r="Y160" s="21" t="s">
        <v>33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270</v>
      </c>
      <c r="AY160" t="s">
        <v>277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278</v>
      </c>
      <c r="G161" s="15" t="s">
        <v>279</v>
      </c>
      <c r="H161" s="14" t="s">
        <v>66</v>
      </c>
      <c r="I161" s="16">
        <v>4</v>
      </c>
      <c r="J161" s="17">
        <v>6</v>
      </c>
      <c r="K161" s="14" t="s">
        <v>138</v>
      </c>
      <c r="L161" s="14" t="s">
        <v>68</v>
      </c>
      <c r="M161" s="14"/>
      <c r="N161" s="14"/>
      <c r="O161" s="15"/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4" t="s">
        <v>33</v>
      </c>
      <c r="V161" s="14" t="s">
        <v>33</v>
      </c>
      <c r="W161" s="14" t="s">
        <v>33</v>
      </c>
      <c r="X161" s="14" t="s">
        <v>33</v>
      </c>
      <c r="Y161" s="14" t="s">
        <v>33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270</v>
      </c>
      <c r="AY161" t="s">
        <v>280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71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33</v>
      </c>
      <c r="V162" s="21" t="s">
        <v>33</v>
      </c>
      <c r="W162" s="21" t="s">
        <v>33</v>
      </c>
      <c r="X162" s="21" t="s">
        <v>33</v>
      </c>
      <c r="Y162" s="21" t="s">
        <v>33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270</v>
      </c>
      <c r="AY162" t="s">
        <v>280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151</v>
      </c>
      <c r="G163" s="15" t="s">
        <v>133</v>
      </c>
      <c r="H163" s="14" t="s">
        <v>66</v>
      </c>
      <c r="I163" s="16">
        <v>4</v>
      </c>
      <c r="J163" s="17">
        <v>6</v>
      </c>
      <c r="K163" s="14" t="s">
        <v>138</v>
      </c>
      <c r="L163" s="14" t="s">
        <v>68</v>
      </c>
      <c r="M163" s="14"/>
      <c r="N163" s="14"/>
      <c r="O163" s="15"/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4" t="s">
        <v>33</v>
      </c>
      <c r="V163" s="14" t="s">
        <v>33</v>
      </c>
      <c r="W163" s="14" t="s">
        <v>33</v>
      </c>
      <c r="X163" s="14" t="s">
        <v>33</v>
      </c>
      <c r="Y163" s="14" t="s">
        <v>33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270</v>
      </c>
      <c r="AY163" t="s">
        <v>281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71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33</v>
      </c>
      <c r="V164" s="21" t="s">
        <v>33</v>
      </c>
      <c r="W164" s="21" t="s">
        <v>33</v>
      </c>
      <c r="X164" s="21" t="s">
        <v>33</v>
      </c>
      <c r="Y164" s="21" t="s">
        <v>33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270</v>
      </c>
      <c r="AY164" t="s">
        <v>281</v>
      </c>
    </row>
    <row r="165" ht="28" customHeight="1" spans="1:51" x14ac:dyDescent="0.25">
      <c r="A165" s="14"/>
      <c r="B165" s="14"/>
      <c r="C165" s="14"/>
      <c r="D165" s="14"/>
      <c r="E165" s="14"/>
      <c r="F165" s="15" t="s">
        <v>123</v>
      </c>
      <c r="G165" s="15" t="s">
        <v>273</v>
      </c>
      <c r="H165" s="14" t="s">
        <v>66</v>
      </c>
      <c r="I165" s="16">
        <v>4</v>
      </c>
      <c r="J165" s="17">
        <v>6</v>
      </c>
      <c r="K165" s="14" t="s">
        <v>138</v>
      </c>
      <c r="L165" s="14" t="s">
        <v>68</v>
      </c>
      <c r="M165" s="14"/>
      <c r="N165" s="14"/>
      <c r="O165" s="15"/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4" t="s">
        <v>33</v>
      </c>
      <c r="V165" s="14" t="s">
        <v>33</v>
      </c>
      <c r="W165" s="14" t="s">
        <v>33</v>
      </c>
      <c r="X165" s="14" t="s">
        <v>33</v>
      </c>
      <c r="Y165" s="14" t="s">
        <v>33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270</v>
      </c>
      <c r="AY165" t="s">
        <v>282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71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33</v>
      </c>
      <c r="V166" s="21" t="s">
        <v>33</v>
      </c>
      <c r="W166" s="21" t="s">
        <v>33</v>
      </c>
      <c r="X166" s="21" t="s">
        <v>33</v>
      </c>
      <c r="Y166" s="21" t="s">
        <v>33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270</v>
      </c>
      <c r="AY166" t="s">
        <v>282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283</v>
      </c>
      <c r="G167" s="15" t="s">
        <v>284</v>
      </c>
      <c r="H167" s="14" t="s">
        <v>66</v>
      </c>
      <c r="I167" s="16">
        <v>5</v>
      </c>
      <c r="J167" s="17">
        <v>12</v>
      </c>
      <c r="K167" s="14" t="s">
        <v>141</v>
      </c>
      <c r="L167" s="14" t="s">
        <v>68</v>
      </c>
      <c r="M167" s="14"/>
      <c r="N167" s="14"/>
      <c r="O167" s="15"/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4" t="s">
        <v>33</v>
      </c>
      <c r="V167" s="14" t="s">
        <v>33</v>
      </c>
      <c r="W167" s="14" t="s">
        <v>33</v>
      </c>
      <c r="X167" s="14" t="s">
        <v>33</v>
      </c>
      <c r="Y167" s="14" t="s">
        <v>33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270</v>
      </c>
      <c r="AY167" t="s">
        <v>285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71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33</v>
      </c>
      <c r="V168" s="21" t="s">
        <v>33</v>
      </c>
      <c r="W168" s="21" t="s">
        <v>33</v>
      </c>
      <c r="X168" s="21" t="s">
        <v>33</v>
      </c>
      <c r="Y168" s="21" t="s">
        <v>33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270</v>
      </c>
      <c r="AY168" t="s">
        <v>285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123</v>
      </c>
      <c r="G169" s="15" t="s">
        <v>286</v>
      </c>
      <c r="H169" s="14" t="s">
        <v>66</v>
      </c>
      <c r="I169" s="16">
        <v>5</v>
      </c>
      <c r="J169" s="17">
        <v>12</v>
      </c>
      <c r="K169" s="14" t="s">
        <v>141</v>
      </c>
      <c r="L169" s="14" t="s">
        <v>68</v>
      </c>
      <c r="M169" s="14"/>
      <c r="N169" s="14"/>
      <c r="O169" s="15"/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4" t="s">
        <v>33</v>
      </c>
      <c r="V169" s="14" t="s">
        <v>33</v>
      </c>
      <c r="W169" s="14" t="s">
        <v>33</v>
      </c>
      <c r="X169" s="14" t="s">
        <v>33</v>
      </c>
      <c r="Y169" s="14" t="s">
        <v>33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270</v>
      </c>
      <c r="AY169" t="s">
        <v>287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71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33</v>
      </c>
      <c r="V170" s="21" t="s">
        <v>33</v>
      </c>
      <c r="W170" s="21" t="s">
        <v>33</v>
      </c>
      <c r="X170" s="21" t="s">
        <v>33</v>
      </c>
      <c r="Y170" s="21" t="s">
        <v>33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270</v>
      </c>
      <c r="AY170" t="s">
        <v>287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151</v>
      </c>
      <c r="G171" s="15" t="s">
        <v>140</v>
      </c>
      <c r="H171" s="14" t="s">
        <v>66</v>
      </c>
      <c r="I171" s="16">
        <v>5</v>
      </c>
      <c r="J171" s="17">
        <v>12</v>
      </c>
      <c r="K171" s="14" t="s">
        <v>141</v>
      </c>
      <c r="L171" s="14" t="s">
        <v>68</v>
      </c>
      <c r="M171" s="14"/>
      <c r="N171" s="14"/>
      <c r="O171" s="15"/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4" t="s">
        <v>33</v>
      </c>
      <c r="V171" s="14" t="s">
        <v>33</v>
      </c>
      <c r="W171" s="14" t="s">
        <v>33</v>
      </c>
      <c r="X171" s="14" t="s">
        <v>33</v>
      </c>
      <c r="Y171" s="14" t="s">
        <v>33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270</v>
      </c>
      <c r="AY171" t="s">
        <v>288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71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33</v>
      </c>
      <c r="V172" s="21" t="s">
        <v>33</v>
      </c>
      <c r="W172" s="21" t="s">
        <v>33</v>
      </c>
      <c r="X172" s="21" t="s">
        <v>33</v>
      </c>
      <c r="Y172" s="21" t="s">
        <v>33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270</v>
      </c>
      <c r="AY172" t="s">
        <v>288</v>
      </c>
    </row>
    <row r="173" ht="28" customHeight="1" spans="1:51" x14ac:dyDescent="0.25">
      <c r="A173" s="14"/>
      <c r="B173" s="14"/>
      <c r="C173" s="14"/>
      <c r="D173" s="14"/>
      <c r="E173" s="14"/>
      <c r="F173" s="15" t="s">
        <v>123</v>
      </c>
      <c r="G173" s="15" t="s">
        <v>273</v>
      </c>
      <c r="H173" s="14" t="s">
        <v>66</v>
      </c>
      <c r="I173" s="16">
        <v>5</v>
      </c>
      <c r="J173" s="17">
        <v>12</v>
      </c>
      <c r="K173" s="14" t="s">
        <v>141</v>
      </c>
      <c r="L173" s="14" t="s">
        <v>68</v>
      </c>
      <c r="M173" s="14"/>
      <c r="N173" s="14"/>
      <c r="O173" s="15"/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4" t="s">
        <v>33</v>
      </c>
      <c r="V173" s="14" t="s">
        <v>33</v>
      </c>
      <c r="W173" s="14" t="s">
        <v>33</v>
      </c>
      <c r="X173" s="14" t="s">
        <v>33</v>
      </c>
      <c r="Y173" s="14" t="s">
        <v>33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270</v>
      </c>
      <c r="AY173" t="s">
        <v>289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71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33</v>
      </c>
      <c r="V174" s="21" t="s">
        <v>33</v>
      </c>
      <c r="W174" s="21" t="s">
        <v>33</v>
      </c>
      <c r="X174" s="21" t="s">
        <v>33</v>
      </c>
      <c r="Y174" s="21" t="s">
        <v>33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270</v>
      </c>
      <c r="AY174" t="s">
        <v>289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275</v>
      </c>
      <c r="G175" s="15" t="s">
        <v>276</v>
      </c>
      <c r="H175" s="14" t="s">
        <v>66</v>
      </c>
      <c r="I175" s="16">
        <v>5</v>
      </c>
      <c r="J175" s="17">
        <v>12</v>
      </c>
      <c r="K175" s="14" t="s">
        <v>141</v>
      </c>
      <c r="L175" s="14" t="s">
        <v>68</v>
      </c>
      <c r="M175" s="14"/>
      <c r="N175" s="14"/>
      <c r="O175" s="15"/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4" t="s">
        <v>33</v>
      </c>
      <c r="V175" s="14" t="s">
        <v>33</v>
      </c>
      <c r="W175" s="14" t="s">
        <v>33</v>
      </c>
      <c r="X175" s="14" t="s">
        <v>33</v>
      </c>
      <c r="Y175" s="14" t="s">
        <v>33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270</v>
      </c>
      <c r="AY175" t="s">
        <v>290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71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33</v>
      </c>
      <c r="V176" s="21" t="s">
        <v>33</v>
      </c>
      <c r="W176" s="21" t="s">
        <v>33</v>
      </c>
      <c r="X176" s="21" t="s">
        <v>33</v>
      </c>
      <c r="Y176" s="21" t="s">
        <v>33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270</v>
      </c>
      <c r="AY176" t="s">
        <v>290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278</v>
      </c>
      <c r="G177" s="15" t="s">
        <v>279</v>
      </c>
      <c r="H177" s="14" t="s">
        <v>66</v>
      </c>
      <c r="I177" s="16">
        <v>5</v>
      </c>
      <c r="J177" s="17">
        <v>12</v>
      </c>
      <c r="K177" s="14" t="s">
        <v>141</v>
      </c>
      <c r="L177" s="14" t="s">
        <v>68</v>
      </c>
      <c r="M177" s="14"/>
      <c r="N177" s="14"/>
      <c r="O177" s="15"/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4" t="s">
        <v>33</v>
      </c>
      <c r="V177" s="14" t="s">
        <v>33</v>
      </c>
      <c r="W177" s="14" t="s">
        <v>33</v>
      </c>
      <c r="X177" s="14" t="s">
        <v>33</v>
      </c>
      <c r="Y177" s="14" t="s">
        <v>33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270</v>
      </c>
      <c r="AY177" t="s">
        <v>291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71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33</v>
      </c>
      <c r="V178" s="21" t="s">
        <v>33</v>
      </c>
      <c r="W178" s="21" t="s">
        <v>33</v>
      </c>
      <c r="X178" s="21" t="s">
        <v>33</v>
      </c>
      <c r="Y178" s="21" t="s">
        <v>33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270</v>
      </c>
      <c r="AY178" t="s">
        <v>291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151</v>
      </c>
      <c r="G179" s="15" t="s">
        <v>133</v>
      </c>
      <c r="H179" s="14" t="s">
        <v>66</v>
      </c>
      <c r="I179" s="16">
        <v>5</v>
      </c>
      <c r="J179" s="17">
        <v>12</v>
      </c>
      <c r="K179" s="14" t="s">
        <v>141</v>
      </c>
      <c r="L179" s="14" t="s">
        <v>68</v>
      </c>
      <c r="M179" s="14"/>
      <c r="N179" s="14"/>
      <c r="O179" s="15"/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4" t="s">
        <v>33</v>
      </c>
      <c r="V179" s="14" t="s">
        <v>33</v>
      </c>
      <c r="W179" s="14" t="s">
        <v>33</v>
      </c>
      <c r="X179" s="14" t="s">
        <v>33</v>
      </c>
      <c r="Y179" s="14" t="s">
        <v>33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270</v>
      </c>
      <c r="AY179" t="s">
        <v>292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71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33</v>
      </c>
      <c r="V180" s="21" t="s">
        <v>33</v>
      </c>
      <c r="W180" s="21" t="s">
        <v>33</v>
      </c>
      <c r="X180" s="21" t="s">
        <v>33</v>
      </c>
      <c r="Y180" s="21" t="s">
        <v>33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270</v>
      </c>
      <c r="AY180" t="s">
        <v>292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123</v>
      </c>
      <c r="G181" s="15" t="s">
        <v>273</v>
      </c>
      <c r="H181" s="14" t="s">
        <v>66</v>
      </c>
      <c r="I181" s="16">
        <v>5</v>
      </c>
      <c r="J181" s="17">
        <v>12</v>
      </c>
      <c r="K181" s="14" t="s">
        <v>141</v>
      </c>
      <c r="L181" s="14" t="s">
        <v>68</v>
      </c>
      <c r="M181" s="14"/>
      <c r="N181" s="14"/>
      <c r="O181" s="15"/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4" t="s">
        <v>33</v>
      </c>
      <c r="V181" s="14" t="s">
        <v>33</v>
      </c>
      <c r="W181" s="14" t="s">
        <v>33</v>
      </c>
      <c r="X181" s="14" t="s">
        <v>33</v>
      </c>
      <c r="Y181" s="14" t="s">
        <v>33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270</v>
      </c>
      <c r="AY181" t="s">
        <v>293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71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33</v>
      </c>
      <c r="V182" s="21" t="s">
        <v>33</v>
      </c>
      <c r="W182" s="21" t="s">
        <v>33</v>
      </c>
      <c r="X182" s="21" t="s">
        <v>33</v>
      </c>
      <c r="Y182" s="21" t="s">
        <v>33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270</v>
      </c>
      <c r="AY182" t="s">
        <v>293</v>
      </c>
    </row>
    <row r="183" ht="28" customHeight="1" spans="1:51" x14ac:dyDescent="0.25">
      <c r="A183" s="14"/>
      <c r="B183" s="14" t="s">
        <v>294</v>
      </c>
      <c r="C183" s="14" t="s">
        <v>295</v>
      </c>
      <c r="D183" s="14" t="s">
        <v>296</v>
      </c>
      <c r="E183" s="14" t="s">
        <v>168</v>
      </c>
      <c r="F183" s="15" t="s">
        <v>225</v>
      </c>
      <c r="G183" s="15" t="s">
        <v>297</v>
      </c>
      <c r="H183" s="14" t="s">
        <v>66</v>
      </c>
      <c r="I183" s="16">
        <v>2</v>
      </c>
      <c r="J183" s="17">
        <v>1</v>
      </c>
      <c r="K183" s="14" t="s">
        <v>67</v>
      </c>
      <c r="L183" s="14" t="s">
        <v>68</v>
      </c>
      <c r="M183" s="14"/>
      <c r="N183" s="14"/>
      <c r="O183" s="15"/>
      <c r="P183" s="19">
        <v>0</v>
      </c>
      <c r="Q183" s="19">
        <v>0</v>
      </c>
      <c r="R183" s="18">
        <v>2</v>
      </c>
      <c r="S183" s="19">
        <v>0</v>
      </c>
      <c r="T183" s="19">
        <v>0</v>
      </c>
      <c r="U183" s="14" t="s">
        <v>33</v>
      </c>
      <c r="V183" s="14" t="s">
        <v>33</v>
      </c>
      <c r="W183" s="14" t="s">
        <v>33</v>
      </c>
      <c r="X183" s="14" t="s">
        <v>33</v>
      </c>
      <c r="Y183" s="14" t="s">
        <v>33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294</v>
      </c>
      <c r="AY183" t="s">
        <v>298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71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33</v>
      </c>
      <c r="V184" s="21" t="s">
        <v>33</v>
      </c>
      <c r="W184" s="21" t="s">
        <v>33</v>
      </c>
      <c r="X184" s="21" t="s">
        <v>33</v>
      </c>
      <c r="Y184" s="21" t="s">
        <v>33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294</v>
      </c>
      <c r="AY184" t="s">
        <v>298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225</v>
      </c>
      <c r="G185" s="15" t="s">
        <v>299</v>
      </c>
      <c r="H185" s="14" t="s">
        <v>66</v>
      </c>
      <c r="I185" s="16">
        <v>2</v>
      </c>
      <c r="J185" s="17">
        <v>1</v>
      </c>
      <c r="K185" s="14" t="s">
        <v>67</v>
      </c>
      <c r="L185" s="14" t="s">
        <v>68</v>
      </c>
      <c r="M185" s="14"/>
      <c r="N185" s="14"/>
      <c r="O185" s="15"/>
      <c r="P185" s="19">
        <v>0</v>
      </c>
      <c r="Q185" s="19">
        <v>0</v>
      </c>
      <c r="R185" s="19">
        <v>0</v>
      </c>
      <c r="S185" s="18">
        <v>2</v>
      </c>
      <c r="T185" s="19">
        <v>0</v>
      </c>
      <c r="U185" s="14" t="s">
        <v>33</v>
      </c>
      <c r="V185" s="14" t="s">
        <v>33</v>
      </c>
      <c r="W185" s="14" t="s">
        <v>33</v>
      </c>
      <c r="X185" s="14" t="s">
        <v>33</v>
      </c>
      <c r="Y185" s="14" t="s">
        <v>33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294</v>
      </c>
      <c r="AY185" t="s">
        <v>300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71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33</v>
      </c>
      <c r="V186" s="21" t="s">
        <v>33</v>
      </c>
      <c r="W186" s="21" t="s">
        <v>33</v>
      </c>
      <c r="X186" s="21" t="s">
        <v>33</v>
      </c>
      <c r="Y186" s="21" t="s">
        <v>33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294</v>
      </c>
      <c r="AY186" t="s">
        <v>300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301</v>
      </c>
      <c r="G187" s="15" t="s">
        <v>302</v>
      </c>
      <c r="H187" s="14" t="s">
        <v>66</v>
      </c>
      <c r="I187" s="16">
        <v>2</v>
      </c>
      <c r="J187" s="17">
        <v>1</v>
      </c>
      <c r="K187" s="14" t="s">
        <v>67</v>
      </c>
      <c r="L187" s="14" t="s">
        <v>68</v>
      </c>
      <c r="M187" s="14"/>
      <c r="N187" s="14"/>
      <c r="O187" s="15"/>
      <c r="P187" s="18">
        <v>2</v>
      </c>
      <c r="Q187" s="19">
        <v>0</v>
      </c>
      <c r="R187" s="19">
        <v>0</v>
      </c>
      <c r="S187" s="19">
        <v>0</v>
      </c>
      <c r="T187" s="19">
        <v>0</v>
      </c>
      <c r="U187" s="14" t="s">
        <v>33</v>
      </c>
      <c r="V187" s="14" t="s">
        <v>33</v>
      </c>
      <c r="W187" s="14" t="s">
        <v>33</v>
      </c>
      <c r="X187" s="14" t="s">
        <v>33</v>
      </c>
      <c r="Y187" s="14" t="s">
        <v>33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294</v>
      </c>
      <c r="AY187" t="s">
        <v>303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71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33</v>
      </c>
      <c r="V188" s="21" t="s">
        <v>33</v>
      </c>
      <c r="W188" s="21" t="s">
        <v>33</v>
      </c>
      <c r="X188" s="21" t="s">
        <v>33</v>
      </c>
      <c r="Y188" s="21" t="s">
        <v>33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294</v>
      </c>
      <c r="AY188" t="s">
        <v>303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304</v>
      </c>
      <c r="G189" s="15" t="s">
        <v>305</v>
      </c>
      <c r="H189" s="14" t="s">
        <v>66</v>
      </c>
      <c r="I189" s="16">
        <v>2</v>
      </c>
      <c r="J189" s="17">
        <v>1</v>
      </c>
      <c r="K189" s="14" t="s">
        <v>67</v>
      </c>
      <c r="L189" s="14" t="s">
        <v>68</v>
      </c>
      <c r="M189" s="14"/>
      <c r="N189" s="14"/>
      <c r="O189" s="15"/>
      <c r="P189" s="19">
        <v>0</v>
      </c>
      <c r="Q189" s="18">
        <v>2</v>
      </c>
      <c r="R189" s="19">
        <v>0</v>
      </c>
      <c r="S189" s="19">
        <v>0</v>
      </c>
      <c r="T189" s="19">
        <v>0</v>
      </c>
      <c r="U189" s="14" t="s">
        <v>33</v>
      </c>
      <c r="V189" s="14" t="s">
        <v>33</v>
      </c>
      <c r="W189" s="14" t="s">
        <v>33</v>
      </c>
      <c r="X189" s="14" t="s">
        <v>33</v>
      </c>
      <c r="Y189" s="14" t="s">
        <v>33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294</v>
      </c>
      <c r="AY189" t="s">
        <v>306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71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33</v>
      </c>
      <c r="V190" s="21" t="s">
        <v>33</v>
      </c>
      <c r="W190" s="21" t="s">
        <v>33</v>
      </c>
      <c r="X190" s="21" t="s">
        <v>33</v>
      </c>
      <c r="Y190" s="21" t="s">
        <v>33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294</v>
      </c>
      <c r="AY190" t="s">
        <v>306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307</v>
      </c>
      <c r="G191" s="15" t="s">
        <v>308</v>
      </c>
      <c r="H191" s="14" t="s">
        <v>66</v>
      </c>
      <c r="I191" s="16">
        <v>2</v>
      </c>
      <c r="J191" s="17">
        <v>1</v>
      </c>
      <c r="K191" s="14" t="s">
        <v>67</v>
      </c>
      <c r="L191" s="14" t="s">
        <v>68</v>
      </c>
      <c r="M191" s="14"/>
      <c r="N191" s="14"/>
      <c r="O191" s="15"/>
      <c r="P191" s="19">
        <v>0</v>
      </c>
      <c r="Q191" s="19">
        <v>0</v>
      </c>
      <c r="R191" s="18">
        <v>2</v>
      </c>
      <c r="S191" s="19">
        <v>0</v>
      </c>
      <c r="T191" s="19">
        <v>0</v>
      </c>
      <c r="U191" s="14" t="s">
        <v>33</v>
      </c>
      <c r="V191" s="14" t="s">
        <v>33</v>
      </c>
      <c r="W191" s="14" t="s">
        <v>33</v>
      </c>
      <c r="X191" s="14" t="s">
        <v>33</v>
      </c>
      <c r="Y191" s="14" t="s">
        <v>33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294</v>
      </c>
      <c r="AY191" t="s">
        <v>309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71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33</v>
      </c>
      <c r="V192" s="21" t="s">
        <v>33</v>
      </c>
      <c r="W192" s="21" t="s">
        <v>33</v>
      </c>
      <c r="X192" s="21" t="s">
        <v>33</v>
      </c>
      <c r="Y192" s="21" t="s">
        <v>33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294</v>
      </c>
      <c r="AY192" t="s">
        <v>309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225</v>
      </c>
      <c r="G193" s="15" t="s">
        <v>310</v>
      </c>
      <c r="H193" s="14" t="s">
        <v>66</v>
      </c>
      <c r="I193" s="16">
        <v>2</v>
      </c>
      <c r="J193" s="17">
        <v>1</v>
      </c>
      <c r="K193" s="14" t="s">
        <v>67</v>
      </c>
      <c r="L193" s="14" t="s">
        <v>68</v>
      </c>
      <c r="M193" s="14"/>
      <c r="N193" s="14"/>
      <c r="O193" s="15"/>
      <c r="P193" s="19">
        <v>0</v>
      </c>
      <c r="Q193" s="19">
        <v>0</v>
      </c>
      <c r="R193" s="19">
        <v>0</v>
      </c>
      <c r="S193" s="18">
        <v>2</v>
      </c>
      <c r="T193" s="19">
        <v>0</v>
      </c>
      <c r="U193" s="14" t="s">
        <v>33</v>
      </c>
      <c r="V193" s="14" t="s">
        <v>33</v>
      </c>
      <c r="W193" s="14" t="s">
        <v>33</v>
      </c>
      <c r="X193" s="14" t="s">
        <v>33</v>
      </c>
      <c r="Y193" s="14" t="s">
        <v>33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294</v>
      </c>
      <c r="AY193" t="s">
        <v>311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71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33</v>
      </c>
      <c r="V194" s="21" t="s">
        <v>33</v>
      </c>
      <c r="W194" s="21" t="s">
        <v>33</v>
      </c>
      <c r="X194" s="21" t="s">
        <v>33</v>
      </c>
      <c r="Y194" s="21" t="s">
        <v>33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294</v>
      </c>
      <c r="AY194" t="s">
        <v>311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233</v>
      </c>
      <c r="G195" s="15" t="s">
        <v>312</v>
      </c>
      <c r="H195" s="14" t="s">
        <v>66</v>
      </c>
      <c r="I195" s="16">
        <v>2</v>
      </c>
      <c r="J195" s="17">
        <v>1</v>
      </c>
      <c r="K195" s="14" t="s">
        <v>67</v>
      </c>
      <c r="L195" s="14" t="s">
        <v>68</v>
      </c>
      <c r="M195" s="14"/>
      <c r="N195" s="14"/>
      <c r="O195" s="15"/>
      <c r="P195" s="18">
        <v>2</v>
      </c>
      <c r="Q195" s="19">
        <v>0</v>
      </c>
      <c r="R195" s="19">
        <v>0</v>
      </c>
      <c r="S195" s="19">
        <v>0</v>
      </c>
      <c r="T195" s="19">
        <v>0</v>
      </c>
      <c r="U195" s="14" t="s">
        <v>33</v>
      </c>
      <c r="V195" s="14" t="s">
        <v>33</v>
      </c>
      <c r="W195" s="14" t="s">
        <v>33</v>
      </c>
      <c r="X195" s="14" t="s">
        <v>33</v>
      </c>
      <c r="Y195" s="14" t="s">
        <v>33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294</v>
      </c>
      <c r="AY195" t="s">
        <v>313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71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33</v>
      </c>
      <c r="V196" s="21" t="s">
        <v>33</v>
      </c>
      <c r="W196" s="21" t="s">
        <v>33</v>
      </c>
      <c r="X196" s="21" t="s">
        <v>33</v>
      </c>
      <c r="Y196" s="21" t="s">
        <v>33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294</v>
      </c>
      <c r="AY196" t="s">
        <v>313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236</v>
      </c>
      <c r="G197" s="15" t="s">
        <v>237</v>
      </c>
      <c r="H197" s="14" t="s">
        <v>66</v>
      </c>
      <c r="I197" s="16">
        <v>2</v>
      </c>
      <c r="J197" s="17">
        <v>1</v>
      </c>
      <c r="K197" s="14" t="s">
        <v>67</v>
      </c>
      <c r="L197" s="14" t="s">
        <v>68</v>
      </c>
      <c r="M197" s="14"/>
      <c r="N197" s="14"/>
      <c r="O197" s="15"/>
      <c r="P197" s="19">
        <v>0</v>
      </c>
      <c r="Q197" s="18">
        <v>2</v>
      </c>
      <c r="R197" s="19">
        <v>0</v>
      </c>
      <c r="S197" s="19">
        <v>0</v>
      </c>
      <c r="T197" s="19">
        <v>0</v>
      </c>
      <c r="U197" s="14" t="s">
        <v>33</v>
      </c>
      <c r="V197" s="14" t="s">
        <v>33</v>
      </c>
      <c r="W197" s="14" t="s">
        <v>33</v>
      </c>
      <c r="X197" s="14" t="s">
        <v>33</v>
      </c>
      <c r="Y197" s="14" t="s">
        <v>33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294</v>
      </c>
      <c r="AY197" t="s">
        <v>314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71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33</v>
      </c>
      <c r="V198" s="21" t="s">
        <v>33</v>
      </c>
      <c r="W198" s="21" t="s">
        <v>33</v>
      </c>
      <c r="X198" s="21" t="s">
        <v>33</v>
      </c>
      <c r="Y198" s="21" t="s">
        <v>33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294</v>
      </c>
      <c r="AY198" t="s">
        <v>314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315</v>
      </c>
      <c r="G199" s="15" t="s">
        <v>316</v>
      </c>
      <c r="H199" s="14" t="s">
        <v>66</v>
      </c>
      <c r="I199" s="16">
        <v>2</v>
      </c>
      <c r="J199" s="17">
        <v>1</v>
      </c>
      <c r="K199" s="14" t="s">
        <v>67</v>
      </c>
      <c r="L199" s="14" t="s">
        <v>68</v>
      </c>
      <c r="M199" s="14"/>
      <c r="N199" s="14"/>
      <c r="O199" s="15"/>
      <c r="P199" s="19">
        <v>0</v>
      </c>
      <c r="Q199" s="19">
        <v>0</v>
      </c>
      <c r="R199" s="18">
        <v>2</v>
      </c>
      <c r="S199" s="19">
        <v>0</v>
      </c>
      <c r="T199" s="19">
        <v>0</v>
      </c>
      <c r="U199" s="14" t="s">
        <v>33</v>
      </c>
      <c r="V199" s="14" t="s">
        <v>33</v>
      </c>
      <c r="W199" s="14" t="s">
        <v>33</v>
      </c>
      <c r="X199" s="14" t="s">
        <v>33</v>
      </c>
      <c r="Y199" s="14" t="s">
        <v>33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294</v>
      </c>
      <c r="AY199" t="s">
        <v>317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71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33</v>
      </c>
      <c r="V200" s="21" t="s">
        <v>33</v>
      </c>
      <c r="W200" s="21" t="s">
        <v>33</v>
      </c>
      <c r="X200" s="21" t="s">
        <v>33</v>
      </c>
      <c r="Y200" s="21" t="s">
        <v>33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294</v>
      </c>
      <c r="AY200" t="s">
        <v>317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318</v>
      </c>
      <c r="G201" s="15" t="s">
        <v>319</v>
      </c>
      <c r="H201" s="14" t="s">
        <v>66</v>
      </c>
      <c r="I201" s="16">
        <v>3</v>
      </c>
      <c r="J201" s="17">
        <v>3</v>
      </c>
      <c r="K201" s="14" t="s">
        <v>157</v>
      </c>
      <c r="L201" s="14" t="s">
        <v>68</v>
      </c>
      <c r="M201" s="14"/>
      <c r="N201" s="14"/>
      <c r="O201" s="15"/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4" t="s">
        <v>33</v>
      </c>
      <c r="V201" s="14" t="s">
        <v>33</v>
      </c>
      <c r="W201" s="14" t="s">
        <v>33</v>
      </c>
      <c r="X201" s="14" t="s">
        <v>33</v>
      </c>
      <c r="Y201" s="14" t="s">
        <v>33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294</v>
      </c>
      <c r="AY201" t="s">
        <v>320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71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33</v>
      </c>
      <c r="V202" s="21" t="s">
        <v>33</v>
      </c>
      <c r="W202" s="21" t="s">
        <v>33</v>
      </c>
      <c r="X202" s="21" t="s">
        <v>33</v>
      </c>
      <c r="Y202" s="21" t="s">
        <v>33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294</v>
      </c>
      <c r="AY202" t="s">
        <v>320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321</v>
      </c>
      <c r="G203" s="15" t="s">
        <v>322</v>
      </c>
      <c r="H203" s="14" t="s">
        <v>66</v>
      </c>
      <c r="I203" s="16">
        <v>3</v>
      </c>
      <c r="J203" s="17">
        <v>3</v>
      </c>
      <c r="K203" s="14" t="s">
        <v>157</v>
      </c>
      <c r="L203" s="14" t="s">
        <v>68</v>
      </c>
      <c r="M203" s="14"/>
      <c r="N203" s="14"/>
      <c r="O203" s="15"/>
      <c r="P203" s="19">
        <v>0</v>
      </c>
      <c r="Q203" s="19">
        <v>0</v>
      </c>
      <c r="R203" s="23">
        <v>3</v>
      </c>
      <c r="S203" s="19">
        <v>0</v>
      </c>
      <c r="T203" s="19">
        <v>0</v>
      </c>
      <c r="U203" s="14" t="s">
        <v>33</v>
      </c>
      <c r="V203" s="14" t="s">
        <v>33</v>
      </c>
      <c r="W203" s="14" t="s">
        <v>33</v>
      </c>
      <c r="X203" s="14" t="s">
        <v>33</v>
      </c>
      <c r="Y203" s="14" t="s">
        <v>33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294</v>
      </c>
      <c r="AY203" t="s">
        <v>323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71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33</v>
      </c>
      <c r="V204" s="21" t="s">
        <v>33</v>
      </c>
      <c r="W204" s="21" t="s">
        <v>33</v>
      </c>
      <c r="X204" s="21" t="s">
        <v>33</v>
      </c>
      <c r="Y204" s="21" t="s">
        <v>33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294</v>
      </c>
      <c r="AY204" t="s">
        <v>323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324</v>
      </c>
      <c r="G205" s="15" t="s">
        <v>249</v>
      </c>
      <c r="H205" s="14" t="s">
        <v>66</v>
      </c>
      <c r="I205" s="16">
        <v>3</v>
      </c>
      <c r="J205" s="17">
        <v>3</v>
      </c>
      <c r="K205" s="14" t="s">
        <v>157</v>
      </c>
      <c r="L205" s="14" t="s">
        <v>68</v>
      </c>
      <c r="M205" s="14"/>
      <c r="N205" s="14"/>
      <c r="O205" s="15"/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4" t="s">
        <v>33</v>
      </c>
      <c r="V205" s="14" t="s">
        <v>33</v>
      </c>
      <c r="W205" s="14" t="s">
        <v>33</v>
      </c>
      <c r="X205" s="14" t="s">
        <v>33</v>
      </c>
      <c r="Y205" s="14" t="s">
        <v>33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294</v>
      </c>
      <c r="AY205" t="s">
        <v>325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71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33</v>
      </c>
      <c r="V206" s="21" t="s">
        <v>33</v>
      </c>
      <c r="W206" s="21" t="s">
        <v>33</v>
      </c>
      <c r="X206" s="21" t="s">
        <v>33</v>
      </c>
      <c r="Y206" s="21" t="s">
        <v>33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294</v>
      </c>
      <c r="AY206" t="s">
        <v>325</v>
      </c>
    </row>
    <row r="207" ht="28" customHeight="1" spans="1:51" x14ac:dyDescent="0.25">
      <c r="A207" s="14"/>
      <c r="B207" s="14"/>
      <c r="C207" s="14"/>
      <c r="D207" s="14"/>
      <c r="E207" s="14"/>
      <c r="F207" s="15" t="s">
        <v>261</v>
      </c>
      <c r="G207" s="15" t="s">
        <v>326</v>
      </c>
      <c r="H207" s="14" t="s">
        <v>66</v>
      </c>
      <c r="I207" s="16">
        <v>3</v>
      </c>
      <c r="J207" s="17">
        <v>3</v>
      </c>
      <c r="K207" s="14" t="s">
        <v>157</v>
      </c>
      <c r="L207" s="14" t="s">
        <v>68</v>
      </c>
      <c r="M207" s="14"/>
      <c r="N207" s="14"/>
      <c r="O207" s="15"/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4" t="s">
        <v>33</v>
      </c>
      <c r="V207" s="14" t="s">
        <v>33</v>
      </c>
      <c r="W207" s="14" t="s">
        <v>33</v>
      </c>
      <c r="X207" s="14" t="s">
        <v>33</v>
      </c>
      <c r="Y207" s="14" t="s">
        <v>33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294</v>
      </c>
      <c r="AY207" t="s">
        <v>327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71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33</v>
      </c>
      <c r="V208" s="21" t="s">
        <v>33</v>
      </c>
      <c r="W208" s="21" t="s">
        <v>33</v>
      </c>
      <c r="X208" s="21" t="s">
        <v>33</v>
      </c>
      <c r="Y208" s="21" t="s">
        <v>33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294</v>
      </c>
      <c r="AY208" t="s">
        <v>327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328</v>
      </c>
      <c r="G209" s="15" t="s">
        <v>329</v>
      </c>
      <c r="H209" s="14" t="s">
        <v>66</v>
      </c>
      <c r="I209" s="16">
        <v>3</v>
      </c>
      <c r="J209" s="17">
        <v>3</v>
      </c>
      <c r="K209" s="14" t="s">
        <v>157</v>
      </c>
      <c r="L209" s="14" t="s">
        <v>68</v>
      </c>
      <c r="M209" s="14"/>
      <c r="N209" s="14"/>
      <c r="O209" s="15"/>
      <c r="P209" s="19">
        <v>0</v>
      </c>
      <c r="Q209" s="19">
        <v>0</v>
      </c>
      <c r="R209" s="19">
        <v>0</v>
      </c>
      <c r="S209" s="23">
        <v>3</v>
      </c>
      <c r="T209" s="19">
        <v>0</v>
      </c>
      <c r="U209" s="14" t="s">
        <v>33</v>
      </c>
      <c r="V209" s="14" t="s">
        <v>33</v>
      </c>
      <c r="W209" s="14" t="s">
        <v>33</v>
      </c>
      <c r="X209" s="14" t="s">
        <v>33</v>
      </c>
      <c r="Y209" s="14" t="s">
        <v>33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294</v>
      </c>
      <c r="AY209" t="s">
        <v>330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71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33</v>
      </c>
      <c r="V210" s="21" t="s">
        <v>33</v>
      </c>
      <c r="W210" s="21" t="s">
        <v>33</v>
      </c>
      <c r="X210" s="21" t="s">
        <v>33</v>
      </c>
      <c r="Y210" s="21" t="s">
        <v>33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294</v>
      </c>
      <c r="AY210" t="s">
        <v>330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100</v>
      </c>
      <c r="G211" s="15" t="s">
        <v>251</v>
      </c>
      <c r="H211" s="14" t="s">
        <v>66</v>
      </c>
      <c r="I211" s="16">
        <v>3</v>
      </c>
      <c r="J211" s="17">
        <v>3</v>
      </c>
      <c r="K211" s="14" t="s">
        <v>157</v>
      </c>
      <c r="L211" s="14" t="s">
        <v>68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4" t="s">
        <v>33</v>
      </c>
      <c r="V211" s="14" t="s">
        <v>33</v>
      </c>
      <c r="W211" s="14" t="s">
        <v>33</v>
      </c>
      <c r="X211" s="14" t="s">
        <v>33</v>
      </c>
      <c r="Y211" s="14" t="s">
        <v>33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294</v>
      </c>
      <c r="AY211" t="s">
        <v>331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71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33</v>
      </c>
      <c r="V212" s="21" t="s">
        <v>33</v>
      </c>
      <c r="W212" s="21" t="s">
        <v>33</v>
      </c>
      <c r="X212" s="21" t="s">
        <v>33</v>
      </c>
      <c r="Y212" s="21" t="s">
        <v>33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294</v>
      </c>
      <c r="AY212" t="s">
        <v>331</v>
      </c>
    </row>
    <row r="213" ht="28" customHeight="1" spans="1:51" x14ac:dyDescent="0.25">
      <c r="A213" s="14"/>
      <c r="B213" s="14" t="s">
        <v>332</v>
      </c>
      <c r="C213" s="14" t="s">
        <v>174</v>
      </c>
      <c r="D213" s="14" t="s">
        <v>333</v>
      </c>
      <c r="E213" s="14" t="s">
        <v>118</v>
      </c>
      <c r="F213" s="15" t="s">
        <v>176</v>
      </c>
      <c r="G213" s="15" t="s">
        <v>177</v>
      </c>
      <c r="H213" s="14" t="s">
        <v>66</v>
      </c>
      <c r="I213" s="16">
        <v>2</v>
      </c>
      <c r="J213" s="17">
        <v>1</v>
      </c>
      <c r="K213" s="14" t="s">
        <v>67</v>
      </c>
      <c r="L213" s="14" t="s">
        <v>68</v>
      </c>
      <c r="M213" s="14"/>
      <c r="N213" s="14"/>
      <c r="O213" s="15"/>
      <c r="P213" s="19">
        <v>0</v>
      </c>
      <c r="Q213" s="19">
        <v>0</v>
      </c>
      <c r="R213" s="19">
        <v>0</v>
      </c>
      <c r="S213" s="18">
        <v>2</v>
      </c>
      <c r="T213" s="19">
        <v>0</v>
      </c>
      <c r="U213" s="14" t="s">
        <v>33</v>
      </c>
      <c r="V213" s="14" t="s">
        <v>33</v>
      </c>
      <c r="W213" s="14" t="s">
        <v>33</v>
      </c>
      <c r="X213" s="14" t="s">
        <v>33</v>
      </c>
      <c r="Y213" s="14" t="s">
        <v>33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332</v>
      </c>
      <c r="AY213" t="s">
        <v>334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71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33</v>
      </c>
      <c r="V214" s="21" t="s">
        <v>33</v>
      </c>
      <c r="W214" s="21" t="s">
        <v>33</v>
      </c>
      <c r="X214" s="21" t="s">
        <v>33</v>
      </c>
      <c r="Y214" s="21" t="s">
        <v>33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332</v>
      </c>
      <c r="AY214" t="s">
        <v>334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179</v>
      </c>
      <c r="G215" s="15" t="s">
        <v>180</v>
      </c>
      <c r="H215" s="14" t="s">
        <v>66</v>
      </c>
      <c r="I215" s="16">
        <v>2</v>
      </c>
      <c r="J215" s="17">
        <v>1</v>
      </c>
      <c r="K215" s="14" t="s">
        <v>67</v>
      </c>
      <c r="L215" s="14" t="s">
        <v>68</v>
      </c>
      <c r="M215" s="14"/>
      <c r="N215" s="14"/>
      <c r="O215" s="15"/>
      <c r="P215" s="18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33</v>
      </c>
      <c r="V215" s="14" t="s">
        <v>33</v>
      </c>
      <c r="W215" s="14" t="s">
        <v>33</v>
      </c>
      <c r="X215" s="14" t="s">
        <v>33</v>
      </c>
      <c r="Y215" s="14" t="s">
        <v>33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332</v>
      </c>
      <c r="AY215" t="s">
        <v>335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71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33</v>
      </c>
      <c r="V216" s="21" t="s">
        <v>33</v>
      </c>
      <c r="W216" s="21" t="s">
        <v>33</v>
      </c>
      <c r="X216" s="21" t="s">
        <v>33</v>
      </c>
      <c r="Y216" s="21" t="s">
        <v>33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332</v>
      </c>
      <c r="AY216" t="s">
        <v>335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182</v>
      </c>
      <c r="G217" s="15" t="s">
        <v>183</v>
      </c>
      <c r="H217" s="14" t="s">
        <v>66</v>
      </c>
      <c r="I217" s="16">
        <v>2</v>
      </c>
      <c r="J217" s="17">
        <v>1</v>
      </c>
      <c r="K217" s="14" t="s">
        <v>67</v>
      </c>
      <c r="L217" s="14" t="s">
        <v>68</v>
      </c>
      <c r="M217" s="14"/>
      <c r="N217" s="14"/>
      <c r="O217" s="15"/>
      <c r="P217" s="19">
        <v>0</v>
      </c>
      <c r="Q217" s="18">
        <v>2</v>
      </c>
      <c r="R217" s="19">
        <v>0</v>
      </c>
      <c r="S217" s="19">
        <v>0</v>
      </c>
      <c r="T217" s="19">
        <v>0</v>
      </c>
      <c r="U217" s="14" t="s">
        <v>33</v>
      </c>
      <c r="V217" s="14" t="s">
        <v>33</v>
      </c>
      <c r="W217" s="14" t="s">
        <v>33</v>
      </c>
      <c r="X217" s="14" t="s">
        <v>33</v>
      </c>
      <c r="Y217" s="14" t="s">
        <v>33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332</v>
      </c>
      <c r="AY217" t="s">
        <v>336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71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33</v>
      </c>
      <c r="V218" s="21" t="s">
        <v>33</v>
      </c>
      <c r="W218" s="21" t="s">
        <v>33</v>
      </c>
      <c r="X218" s="21" t="s">
        <v>33</v>
      </c>
      <c r="Y218" s="21" t="s">
        <v>33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332</v>
      </c>
      <c r="AY218" t="s">
        <v>336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185</v>
      </c>
      <c r="G219" s="15" t="s">
        <v>186</v>
      </c>
      <c r="H219" s="14" t="s">
        <v>66</v>
      </c>
      <c r="I219" s="16">
        <v>2</v>
      </c>
      <c r="J219" s="17">
        <v>1</v>
      </c>
      <c r="K219" s="14" t="s">
        <v>67</v>
      </c>
      <c r="L219" s="14" t="s">
        <v>68</v>
      </c>
      <c r="M219" s="14"/>
      <c r="N219" s="14"/>
      <c r="O219" s="15"/>
      <c r="P219" s="19">
        <v>0</v>
      </c>
      <c r="Q219" s="19">
        <v>0</v>
      </c>
      <c r="R219" s="18">
        <v>2</v>
      </c>
      <c r="S219" s="19">
        <v>0</v>
      </c>
      <c r="T219" s="19">
        <v>0</v>
      </c>
      <c r="U219" s="14" t="s">
        <v>33</v>
      </c>
      <c r="V219" s="14" t="s">
        <v>33</v>
      </c>
      <c r="W219" s="14" t="s">
        <v>33</v>
      </c>
      <c r="X219" s="14" t="s">
        <v>33</v>
      </c>
      <c r="Y219" s="14" t="s">
        <v>33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332</v>
      </c>
      <c r="AY219" t="s">
        <v>337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71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33</v>
      </c>
      <c r="V220" s="21" t="s">
        <v>33</v>
      </c>
      <c r="W220" s="21" t="s">
        <v>33</v>
      </c>
      <c r="X220" s="21" t="s">
        <v>33</v>
      </c>
      <c r="Y220" s="21" t="s">
        <v>33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332</v>
      </c>
      <c r="AY220" t="s">
        <v>337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188</v>
      </c>
      <c r="G221" s="15" t="s">
        <v>189</v>
      </c>
      <c r="H221" s="14" t="s">
        <v>66</v>
      </c>
      <c r="I221" s="16">
        <v>2</v>
      </c>
      <c r="J221" s="17">
        <v>1</v>
      </c>
      <c r="K221" s="14" t="s">
        <v>67</v>
      </c>
      <c r="L221" s="14" t="s">
        <v>68</v>
      </c>
      <c r="M221" s="14"/>
      <c r="N221" s="14"/>
      <c r="O221" s="15"/>
      <c r="P221" s="19">
        <v>0</v>
      </c>
      <c r="Q221" s="19">
        <v>0</v>
      </c>
      <c r="R221" s="19">
        <v>0</v>
      </c>
      <c r="S221" s="18">
        <v>2</v>
      </c>
      <c r="T221" s="19">
        <v>0</v>
      </c>
      <c r="U221" s="14" t="s">
        <v>33</v>
      </c>
      <c r="V221" s="14" t="s">
        <v>33</v>
      </c>
      <c r="W221" s="14" t="s">
        <v>33</v>
      </c>
      <c r="X221" s="14" t="s">
        <v>33</v>
      </c>
      <c r="Y221" s="14" t="s">
        <v>33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332</v>
      </c>
      <c r="AY221" t="s">
        <v>338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71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33</v>
      </c>
      <c r="V222" s="21" t="s">
        <v>33</v>
      </c>
      <c r="W222" s="21" t="s">
        <v>33</v>
      </c>
      <c r="X222" s="21" t="s">
        <v>33</v>
      </c>
      <c r="Y222" s="21" t="s">
        <v>33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332</v>
      </c>
      <c r="AY222" t="s">
        <v>338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188</v>
      </c>
      <c r="G223" s="15" t="s">
        <v>191</v>
      </c>
      <c r="H223" s="14" t="s">
        <v>66</v>
      </c>
      <c r="I223" s="16">
        <v>2</v>
      </c>
      <c r="J223" s="17">
        <v>1</v>
      </c>
      <c r="K223" s="14" t="s">
        <v>67</v>
      </c>
      <c r="L223" s="14" t="s">
        <v>68</v>
      </c>
      <c r="M223" s="14"/>
      <c r="N223" s="14"/>
      <c r="O223" s="15"/>
      <c r="P223" s="18">
        <v>2</v>
      </c>
      <c r="Q223" s="19">
        <v>0</v>
      </c>
      <c r="R223" s="19">
        <v>0</v>
      </c>
      <c r="S223" s="19">
        <v>0</v>
      </c>
      <c r="T223" s="19">
        <v>0</v>
      </c>
      <c r="U223" s="14" t="s">
        <v>33</v>
      </c>
      <c r="V223" s="14" t="s">
        <v>33</v>
      </c>
      <c r="W223" s="14" t="s">
        <v>33</v>
      </c>
      <c r="X223" s="14" t="s">
        <v>33</v>
      </c>
      <c r="Y223" s="14" t="s">
        <v>33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332</v>
      </c>
      <c r="AY223" t="s">
        <v>339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71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33</v>
      </c>
      <c r="V224" s="21" t="s">
        <v>33</v>
      </c>
      <c r="W224" s="21" t="s">
        <v>33</v>
      </c>
      <c r="X224" s="21" t="s">
        <v>33</v>
      </c>
      <c r="Y224" s="21" t="s">
        <v>33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332</v>
      </c>
      <c r="AY224" t="s">
        <v>339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123</v>
      </c>
      <c r="G225" s="15" t="s">
        <v>193</v>
      </c>
      <c r="H225" s="14" t="s">
        <v>66</v>
      </c>
      <c r="I225" s="16">
        <v>2</v>
      </c>
      <c r="J225" s="17">
        <v>1</v>
      </c>
      <c r="K225" s="14" t="s">
        <v>67</v>
      </c>
      <c r="L225" s="14" t="s">
        <v>68</v>
      </c>
      <c r="M225" s="14"/>
      <c r="N225" s="14"/>
      <c r="O225" s="15"/>
      <c r="P225" s="19">
        <v>0</v>
      </c>
      <c r="Q225" s="18">
        <v>2</v>
      </c>
      <c r="R225" s="19">
        <v>0</v>
      </c>
      <c r="S225" s="19">
        <v>0</v>
      </c>
      <c r="T225" s="19">
        <v>0</v>
      </c>
      <c r="U225" s="14" t="s">
        <v>33</v>
      </c>
      <c r="V225" s="14" t="s">
        <v>33</v>
      </c>
      <c r="W225" s="14" t="s">
        <v>33</v>
      </c>
      <c r="X225" s="14" t="s">
        <v>33</v>
      </c>
      <c r="Y225" s="14" t="s">
        <v>33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332</v>
      </c>
      <c r="AY225" t="s">
        <v>340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71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33</v>
      </c>
      <c r="V226" s="21" t="s">
        <v>33</v>
      </c>
      <c r="W226" s="21" t="s">
        <v>33</v>
      </c>
      <c r="X226" s="21" t="s">
        <v>33</v>
      </c>
      <c r="Y226" s="21" t="s">
        <v>33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332</v>
      </c>
      <c r="AY226" t="s">
        <v>340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195</v>
      </c>
      <c r="G227" s="15" t="s">
        <v>196</v>
      </c>
      <c r="H227" s="14" t="s">
        <v>66</v>
      </c>
      <c r="I227" s="16">
        <v>2</v>
      </c>
      <c r="J227" s="17">
        <v>1</v>
      </c>
      <c r="K227" s="14" t="s">
        <v>67</v>
      </c>
      <c r="L227" s="14" t="s">
        <v>68</v>
      </c>
      <c r="M227" s="14"/>
      <c r="N227" s="14"/>
      <c r="O227" s="15"/>
      <c r="P227" s="19">
        <v>0</v>
      </c>
      <c r="Q227" s="19">
        <v>0</v>
      </c>
      <c r="R227" s="18">
        <v>2</v>
      </c>
      <c r="S227" s="19">
        <v>0</v>
      </c>
      <c r="T227" s="19">
        <v>0</v>
      </c>
      <c r="U227" s="14" t="s">
        <v>33</v>
      </c>
      <c r="V227" s="14" t="s">
        <v>33</v>
      </c>
      <c r="W227" s="14" t="s">
        <v>33</v>
      </c>
      <c r="X227" s="14" t="s">
        <v>33</v>
      </c>
      <c r="Y227" s="14" t="s">
        <v>33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332</v>
      </c>
      <c r="AY227" t="s">
        <v>341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71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33</v>
      </c>
      <c r="V228" s="21" t="s">
        <v>33</v>
      </c>
      <c r="W228" s="21" t="s">
        <v>33</v>
      </c>
      <c r="X228" s="21" t="s">
        <v>33</v>
      </c>
      <c r="Y228" s="21" t="s">
        <v>33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332</v>
      </c>
      <c r="AY228" t="s">
        <v>341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342</v>
      </c>
      <c r="G229" s="15" t="s">
        <v>343</v>
      </c>
      <c r="H229" s="14" t="s">
        <v>66</v>
      </c>
      <c r="I229" s="16">
        <v>2</v>
      </c>
      <c r="J229" s="17">
        <v>1</v>
      </c>
      <c r="K229" s="14" t="s">
        <v>67</v>
      </c>
      <c r="L229" s="14" t="s">
        <v>68</v>
      </c>
      <c r="M229" s="14"/>
      <c r="N229" s="14"/>
      <c r="O229" s="15"/>
      <c r="P229" s="19">
        <v>0</v>
      </c>
      <c r="Q229" s="19">
        <v>0</v>
      </c>
      <c r="R229" s="19">
        <v>0</v>
      </c>
      <c r="S229" s="18">
        <v>2</v>
      </c>
      <c r="T229" s="19">
        <v>0</v>
      </c>
      <c r="U229" s="14" t="s">
        <v>33</v>
      </c>
      <c r="V229" s="14" t="s">
        <v>33</v>
      </c>
      <c r="W229" s="14" t="s">
        <v>33</v>
      </c>
      <c r="X229" s="14" t="s">
        <v>33</v>
      </c>
      <c r="Y229" s="14" t="s">
        <v>33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332</v>
      </c>
      <c r="AY229" t="s">
        <v>344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71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33</v>
      </c>
      <c r="V230" s="21" t="s">
        <v>33</v>
      </c>
      <c r="W230" s="21" t="s">
        <v>33</v>
      </c>
      <c r="X230" s="21" t="s">
        <v>33</v>
      </c>
      <c r="Y230" s="21" t="s">
        <v>33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332</v>
      </c>
      <c r="AY230" t="s">
        <v>344</v>
      </c>
    </row>
    <row r="231" ht="28" customHeight="1" spans="1:51" x14ac:dyDescent="0.25">
      <c r="A231" s="14"/>
      <c r="B231" s="14"/>
      <c r="C231" s="14"/>
      <c r="D231" s="14"/>
      <c r="E231" s="14"/>
      <c r="F231" s="15" t="s">
        <v>201</v>
      </c>
      <c r="G231" s="15" t="s">
        <v>202</v>
      </c>
      <c r="H231" s="14" t="s">
        <v>66</v>
      </c>
      <c r="I231" s="16">
        <v>2</v>
      </c>
      <c r="J231" s="17">
        <v>1</v>
      </c>
      <c r="K231" s="14" t="s">
        <v>67</v>
      </c>
      <c r="L231" s="14" t="s">
        <v>68</v>
      </c>
      <c r="M231" s="14"/>
      <c r="N231" s="14"/>
      <c r="O231" s="15"/>
      <c r="P231" s="18">
        <v>2</v>
      </c>
      <c r="Q231" s="19">
        <v>0</v>
      </c>
      <c r="R231" s="19">
        <v>0</v>
      </c>
      <c r="S231" s="19">
        <v>0</v>
      </c>
      <c r="T231" s="19">
        <v>0</v>
      </c>
      <c r="U231" s="14" t="s">
        <v>33</v>
      </c>
      <c r="V231" s="14" t="s">
        <v>33</v>
      </c>
      <c r="W231" s="14" t="s">
        <v>33</v>
      </c>
      <c r="X231" s="14" t="s">
        <v>33</v>
      </c>
      <c r="Y231" s="14" t="s">
        <v>33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332</v>
      </c>
      <c r="AY231" t="s">
        <v>345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71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33</v>
      </c>
      <c r="V232" s="21" t="s">
        <v>33</v>
      </c>
      <c r="W232" s="21" t="s">
        <v>33</v>
      </c>
      <c r="X232" s="21" t="s">
        <v>33</v>
      </c>
      <c r="Y232" s="21" t="s">
        <v>33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332</v>
      </c>
      <c r="AY232" t="s">
        <v>345</v>
      </c>
    </row>
    <row r="233" ht="28" customHeight="1" spans="1:51" x14ac:dyDescent="0.25">
      <c r="A233" s="14"/>
      <c r="B233" s="14" t="s">
        <v>346</v>
      </c>
      <c r="C233" s="14" t="s">
        <v>347</v>
      </c>
      <c r="D233" s="14" t="s">
        <v>348</v>
      </c>
      <c r="E233" s="14" t="s">
        <v>118</v>
      </c>
      <c r="F233" s="15" t="s">
        <v>176</v>
      </c>
      <c r="G233" s="15" t="s">
        <v>177</v>
      </c>
      <c r="H233" s="14" t="s">
        <v>66</v>
      </c>
      <c r="I233" s="16">
        <v>2</v>
      </c>
      <c r="J233" s="17">
        <v>1</v>
      </c>
      <c r="K233" s="14" t="s">
        <v>67</v>
      </c>
      <c r="L233" s="14" t="s">
        <v>68</v>
      </c>
      <c r="M233" s="14"/>
      <c r="N233" s="14"/>
      <c r="O233" s="15"/>
      <c r="P233" s="19">
        <v>0</v>
      </c>
      <c r="Q233" s="18">
        <v>2</v>
      </c>
      <c r="R233" s="19">
        <v>0</v>
      </c>
      <c r="S233" s="19">
        <v>0</v>
      </c>
      <c r="T233" s="19">
        <v>0</v>
      </c>
      <c r="U233" s="14" t="s">
        <v>33</v>
      </c>
      <c r="V233" s="14" t="s">
        <v>33</v>
      </c>
      <c r="W233" s="14" t="s">
        <v>33</v>
      </c>
      <c r="X233" s="14" t="s">
        <v>33</v>
      </c>
      <c r="Y233" s="14" t="s">
        <v>33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346</v>
      </c>
      <c r="AY233" t="s">
        <v>349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71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33</v>
      </c>
      <c r="V234" s="21" t="s">
        <v>33</v>
      </c>
      <c r="W234" s="21" t="s">
        <v>33</v>
      </c>
      <c r="X234" s="21" t="s">
        <v>33</v>
      </c>
      <c r="Y234" s="21" t="s">
        <v>33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346</v>
      </c>
      <c r="AY234" t="s">
        <v>349</v>
      </c>
    </row>
    <row r="235" ht="28" customHeight="1" spans="1:51" x14ac:dyDescent="0.25">
      <c r="A235" s="14"/>
      <c r="B235" s="14"/>
      <c r="C235" s="14"/>
      <c r="D235" s="14"/>
      <c r="E235" s="14"/>
      <c r="F235" s="15" t="s">
        <v>179</v>
      </c>
      <c r="G235" s="15" t="s">
        <v>180</v>
      </c>
      <c r="H235" s="14" t="s">
        <v>66</v>
      </c>
      <c r="I235" s="16">
        <v>2</v>
      </c>
      <c r="J235" s="17">
        <v>1</v>
      </c>
      <c r="K235" s="14" t="s">
        <v>67</v>
      </c>
      <c r="L235" s="14" t="s">
        <v>68</v>
      </c>
      <c r="M235" s="14"/>
      <c r="N235" s="14"/>
      <c r="O235" s="15"/>
      <c r="P235" s="19">
        <v>0</v>
      </c>
      <c r="Q235" s="19">
        <v>0</v>
      </c>
      <c r="R235" s="18">
        <v>2</v>
      </c>
      <c r="S235" s="19">
        <v>0</v>
      </c>
      <c r="T235" s="19">
        <v>0</v>
      </c>
      <c r="U235" s="14" t="s">
        <v>33</v>
      </c>
      <c r="V235" s="14" t="s">
        <v>33</v>
      </c>
      <c r="W235" s="14" t="s">
        <v>33</v>
      </c>
      <c r="X235" s="14" t="s">
        <v>33</v>
      </c>
      <c r="Y235" s="14" t="s">
        <v>33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346</v>
      </c>
      <c r="AY235" t="s">
        <v>350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71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33</v>
      </c>
      <c r="V236" s="21" t="s">
        <v>33</v>
      </c>
      <c r="W236" s="21" t="s">
        <v>33</v>
      </c>
      <c r="X236" s="21" t="s">
        <v>33</v>
      </c>
      <c r="Y236" s="21" t="s">
        <v>33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346</v>
      </c>
      <c r="AY236" t="s">
        <v>350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182</v>
      </c>
      <c r="G237" s="15" t="s">
        <v>183</v>
      </c>
      <c r="H237" s="14" t="s">
        <v>66</v>
      </c>
      <c r="I237" s="16">
        <v>2</v>
      </c>
      <c r="J237" s="17">
        <v>1</v>
      </c>
      <c r="K237" s="14" t="s">
        <v>67</v>
      </c>
      <c r="L237" s="14" t="s">
        <v>68</v>
      </c>
      <c r="M237" s="14"/>
      <c r="N237" s="14"/>
      <c r="O237" s="15"/>
      <c r="P237" s="19">
        <v>0</v>
      </c>
      <c r="Q237" s="19">
        <v>0</v>
      </c>
      <c r="R237" s="19">
        <v>0</v>
      </c>
      <c r="S237" s="18">
        <v>2</v>
      </c>
      <c r="T237" s="19">
        <v>0</v>
      </c>
      <c r="U237" s="14" t="s">
        <v>33</v>
      </c>
      <c r="V237" s="14" t="s">
        <v>33</v>
      </c>
      <c r="W237" s="14" t="s">
        <v>33</v>
      </c>
      <c r="X237" s="14" t="s">
        <v>33</v>
      </c>
      <c r="Y237" s="14" t="s">
        <v>33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346</v>
      </c>
      <c r="AY237" t="s">
        <v>351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71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33</v>
      </c>
      <c r="V238" s="21" t="s">
        <v>33</v>
      </c>
      <c r="W238" s="21" t="s">
        <v>33</v>
      </c>
      <c r="X238" s="21" t="s">
        <v>33</v>
      </c>
      <c r="Y238" s="21" t="s">
        <v>33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346</v>
      </c>
      <c r="AY238" t="s">
        <v>351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185</v>
      </c>
      <c r="G239" s="15" t="s">
        <v>186</v>
      </c>
      <c r="H239" s="14" t="s">
        <v>66</v>
      </c>
      <c r="I239" s="16">
        <v>2</v>
      </c>
      <c r="J239" s="17">
        <v>1</v>
      </c>
      <c r="K239" s="14" t="s">
        <v>67</v>
      </c>
      <c r="L239" s="14" t="s">
        <v>68</v>
      </c>
      <c r="M239" s="14"/>
      <c r="N239" s="14"/>
      <c r="O239" s="15"/>
      <c r="P239" s="18">
        <v>2</v>
      </c>
      <c r="Q239" s="19">
        <v>0</v>
      </c>
      <c r="R239" s="19">
        <v>0</v>
      </c>
      <c r="S239" s="19">
        <v>0</v>
      </c>
      <c r="T239" s="19">
        <v>0</v>
      </c>
      <c r="U239" s="14" t="s">
        <v>33</v>
      </c>
      <c r="V239" s="14" t="s">
        <v>33</v>
      </c>
      <c r="W239" s="14" t="s">
        <v>33</v>
      </c>
      <c r="X239" s="14" t="s">
        <v>33</v>
      </c>
      <c r="Y239" s="14" t="s">
        <v>33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346</v>
      </c>
      <c r="AY239" t="s">
        <v>352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71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33</v>
      </c>
      <c r="V240" s="21" t="s">
        <v>33</v>
      </c>
      <c r="W240" s="21" t="s">
        <v>33</v>
      </c>
      <c r="X240" s="21" t="s">
        <v>33</v>
      </c>
      <c r="Y240" s="21" t="s">
        <v>33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346</v>
      </c>
      <c r="AY240" t="s">
        <v>352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188</v>
      </c>
      <c r="G241" s="15" t="s">
        <v>189</v>
      </c>
      <c r="H241" s="14" t="s">
        <v>66</v>
      </c>
      <c r="I241" s="16">
        <v>2</v>
      </c>
      <c r="J241" s="17">
        <v>1</v>
      </c>
      <c r="K241" s="14" t="s">
        <v>67</v>
      </c>
      <c r="L241" s="14" t="s">
        <v>68</v>
      </c>
      <c r="M241" s="14"/>
      <c r="N241" s="14"/>
      <c r="O241" s="15"/>
      <c r="P241" s="19">
        <v>0</v>
      </c>
      <c r="Q241" s="18">
        <v>2</v>
      </c>
      <c r="R241" s="19">
        <v>0</v>
      </c>
      <c r="S241" s="19">
        <v>0</v>
      </c>
      <c r="T241" s="19">
        <v>0</v>
      </c>
      <c r="U241" s="14" t="s">
        <v>33</v>
      </c>
      <c r="V241" s="14" t="s">
        <v>33</v>
      </c>
      <c r="W241" s="14" t="s">
        <v>33</v>
      </c>
      <c r="X241" s="14" t="s">
        <v>33</v>
      </c>
      <c r="Y241" s="14" t="s">
        <v>33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346</v>
      </c>
      <c r="AY241" t="s">
        <v>353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71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33</v>
      </c>
      <c r="V242" s="21" t="s">
        <v>33</v>
      </c>
      <c r="W242" s="21" t="s">
        <v>33</v>
      </c>
      <c r="X242" s="21" t="s">
        <v>33</v>
      </c>
      <c r="Y242" s="21" t="s">
        <v>33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346</v>
      </c>
      <c r="AY242" t="s">
        <v>353</v>
      </c>
    </row>
    <row r="243" ht="28" customHeight="1" spans="1:51" x14ac:dyDescent="0.25">
      <c r="A243" s="14"/>
      <c r="B243" s="14"/>
      <c r="C243" s="14"/>
      <c r="D243" s="14"/>
      <c r="E243" s="14"/>
      <c r="F243" s="15" t="s">
        <v>188</v>
      </c>
      <c r="G243" s="15" t="s">
        <v>191</v>
      </c>
      <c r="H243" s="14" t="s">
        <v>66</v>
      </c>
      <c r="I243" s="16">
        <v>2</v>
      </c>
      <c r="J243" s="17">
        <v>1</v>
      </c>
      <c r="K243" s="14" t="s">
        <v>67</v>
      </c>
      <c r="L243" s="14" t="s">
        <v>68</v>
      </c>
      <c r="M243" s="14"/>
      <c r="N243" s="14"/>
      <c r="O243" s="15"/>
      <c r="P243" s="19">
        <v>0</v>
      </c>
      <c r="Q243" s="19">
        <v>0</v>
      </c>
      <c r="R243" s="18">
        <v>2</v>
      </c>
      <c r="S243" s="19">
        <v>0</v>
      </c>
      <c r="T243" s="19">
        <v>0</v>
      </c>
      <c r="U243" s="14" t="s">
        <v>33</v>
      </c>
      <c r="V243" s="14" t="s">
        <v>33</v>
      </c>
      <c r="W243" s="14" t="s">
        <v>33</v>
      </c>
      <c r="X243" s="14" t="s">
        <v>33</v>
      </c>
      <c r="Y243" s="14" t="s">
        <v>33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346</v>
      </c>
      <c r="AY243" t="s">
        <v>354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71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33</v>
      </c>
      <c r="V244" s="21" t="s">
        <v>33</v>
      </c>
      <c r="W244" s="21" t="s">
        <v>33</v>
      </c>
      <c r="X244" s="21" t="s">
        <v>33</v>
      </c>
      <c r="Y244" s="21" t="s">
        <v>33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346</v>
      </c>
      <c r="AY244" t="s">
        <v>354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123</v>
      </c>
      <c r="G245" s="15" t="s">
        <v>193</v>
      </c>
      <c r="H245" s="14" t="s">
        <v>66</v>
      </c>
      <c r="I245" s="16">
        <v>2</v>
      </c>
      <c r="J245" s="17">
        <v>1</v>
      </c>
      <c r="K245" s="14" t="s">
        <v>67</v>
      </c>
      <c r="L245" s="14" t="s">
        <v>68</v>
      </c>
      <c r="M245" s="14"/>
      <c r="N245" s="14"/>
      <c r="O245" s="15"/>
      <c r="P245" s="19">
        <v>0</v>
      </c>
      <c r="Q245" s="19">
        <v>0</v>
      </c>
      <c r="R245" s="19">
        <v>0</v>
      </c>
      <c r="S245" s="18">
        <v>2</v>
      </c>
      <c r="T245" s="19">
        <v>0</v>
      </c>
      <c r="U245" s="14" t="s">
        <v>33</v>
      </c>
      <c r="V245" s="14" t="s">
        <v>33</v>
      </c>
      <c r="W245" s="14" t="s">
        <v>33</v>
      </c>
      <c r="X245" s="14" t="s">
        <v>33</v>
      </c>
      <c r="Y245" s="14" t="s">
        <v>33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346</v>
      </c>
      <c r="AY245" t="s">
        <v>355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71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33</v>
      </c>
      <c r="V246" s="21" t="s">
        <v>33</v>
      </c>
      <c r="W246" s="21" t="s">
        <v>33</v>
      </c>
      <c r="X246" s="21" t="s">
        <v>33</v>
      </c>
      <c r="Y246" s="21" t="s">
        <v>33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346</v>
      </c>
      <c r="AY246" t="s">
        <v>355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195</v>
      </c>
      <c r="G247" s="15" t="s">
        <v>196</v>
      </c>
      <c r="H247" s="14" t="s">
        <v>66</v>
      </c>
      <c r="I247" s="16">
        <v>2</v>
      </c>
      <c r="J247" s="17">
        <v>1</v>
      </c>
      <c r="K247" s="14" t="s">
        <v>67</v>
      </c>
      <c r="L247" s="14" t="s">
        <v>68</v>
      </c>
      <c r="M247" s="14"/>
      <c r="N247" s="14"/>
      <c r="O247" s="15"/>
      <c r="P247" s="18">
        <v>2</v>
      </c>
      <c r="Q247" s="19">
        <v>0</v>
      </c>
      <c r="R247" s="19">
        <v>0</v>
      </c>
      <c r="S247" s="19">
        <v>0</v>
      </c>
      <c r="T247" s="19">
        <v>0</v>
      </c>
      <c r="U247" s="14" t="s">
        <v>33</v>
      </c>
      <c r="V247" s="14" t="s">
        <v>33</v>
      </c>
      <c r="W247" s="14" t="s">
        <v>33</v>
      </c>
      <c r="X247" s="14" t="s">
        <v>33</v>
      </c>
      <c r="Y247" s="14" t="s">
        <v>33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346</v>
      </c>
      <c r="AY247" t="s">
        <v>356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71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33</v>
      </c>
      <c r="V248" s="21" t="s">
        <v>33</v>
      </c>
      <c r="W248" s="21" t="s">
        <v>33</v>
      </c>
      <c r="X248" s="21" t="s">
        <v>33</v>
      </c>
      <c r="Y248" s="21" t="s">
        <v>33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346</v>
      </c>
      <c r="AY248" t="s">
        <v>356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342</v>
      </c>
      <c r="G249" s="15" t="s">
        <v>343</v>
      </c>
      <c r="H249" s="14" t="s">
        <v>66</v>
      </c>
      <c r="I249" s="16">
        <v>2</v>
      </c>
      <c r="J249" s="17">
        <v>1</v>
      </c>
      <c r="K249" s="14" t="s">
        <v>67</v>
      </c>
      <c r="L249" s="14" t="s">
        <v>68</v>
      </c>
      <c r="M249" s="14"/>
      <c r="N249" s="14"/>
      <c r="O249" s="15"/>
      <c r="P249" s="19">
        <v>0</v>
      </c>
      <c r="Q249" s="18">
        <v>2</v>
      </c>
      <c r="R249" s="19">
        <v>0</v>
      </c>
      <c r="S249" s="19">
        <v>0</v>
      </c>
      <c r="T249" s="19">
        <v>0</v>
      </c>
      <c r="U249" s="14" t="s">
        <v>33</v>
      </c>
      <c r="V249" s="14" t="s">
        <v>33</v>
      </c>
      <c r="W249" s="14" t="s">
        <v>33</v>
      </c>
      <c r="X249" s="14" t="s">
        <v>33</v>
      </c>
      <c r="Y249" s="14" t="s">
        <v>33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346</v>
      </c>
      <c r="AY249" t="s">
        <v>357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71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33</v>
      </c>
      <c r="V250" s="21" t="s">
        <v>33</v>
      </c>
      <c r="W250" s="21" t="s">
        <v>33</v>
      </c>
      <c r="X250" s="21" t="s">
        <v>33</v>
      </c>
      <c r="Y250" s="21" t="s">
        <v>33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346</v>
      </c>
      <c r="AY250" t="s">
        <v>357</v>
      </c>
    </row>
    <row r="251" ht="28" customHeight="1" spans="1:51" x14ac:dyDescent="0.25">
      <c r="A251" s="14"/>
      <c r="B251" s="14"/>
      <c r="C251" s="14"/>
      <c r="D251" s="14"/>
      <c r="E251" s="14"/>
      <c r="F251" s="15" t="s">
        <v>201</v>
      </c>
      <c r="G251" s="15" t="s">
        <v>202</v>
      </c>
      <c r="H251" s="14" t="s">
        <v>66</v>
      </c>
      <c r="I251" s="16">
        <v>2</v>
      </c>
      <c r="J251" s="17">
        <v>1</v>
      </c>
      <c r="K251" s="14" t="s">
        <v>67</v>
      </c>
      <c r="L251" s="14" t="s">
        <v>68</v>
      </c>
      <c r="M251" s="14"/>
      <c r="N251" s="14"/>
      <c r="O251" s="15"/>
      <c r="P251" s="19">
        <v>0</v>
      </c>
      <c r="Q251" s="19">
        <v>0</v>
      </c>
      <c r="R251" s="18">
        <v>2</v>
      </c>
      <c r="S251" s="19">
        <v>0</v>
      </c>
      <c r="T251" s="19">
        <v>0</v>
      </c>
      <c r="U251" s="14" t="s">
        <v>33</v>
      </c>
      <c r="V251" s="14" t="s">
        <v>33</v>
      </c>
      <c r="W251" s="14" t="s">
        <v>33</v>
      </c>
      <c r="X251" s="14" t="s">
        <v>33</v>
      </c>
      <c r="Y251" s="14" t="s">
        <v>33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346</v>
      </c>
      <c r="AY251" t="s">
        <v>358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71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33</v>
      </c>
      <c r="V252" s="21" t="s">
        <v>33</v>
      </c>
      <c r="W252" s="21" t="s">
        <v>33</v>
      </c>
      <c r="X252" s="21" t="s">
        <v>33</v>
      </c>
      <c r="Y252" s="21" t="s">
        <v>33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346</v>
      </c>
      <c r="AY252" t="s">
        <v>358</v>
      </c>
    </row>
    <row r="253" ht="28" customHeight="1" spans="1:51" x14ac:dyDescent="0.25">
      <c r="A253" s="14"/>
      <c r="B253" s="14" t="s">
        <v>359</v>
      </c>
      <c r="C253" s="14" t="s">
        <v>360</v>
      </c>
      <c r="D253" s="14" t="s">
        <v>361</v>
      </c>
      <c r="E253" s="14" t="s">
        <v>118</v>
      </c>
      <c r="F253" s="15" t="s">
        <v>362</v>
      </c>
      <c r="G253" s="15" t="s">
        <v>363</v>
      </c>
      <c r="H253" s="14" t="s">
        <v>66</v>
      </c>
      <c r="I253" s="16">
        <v>2</v>
      </c>
      <c r="J253" s="17">
        <v>1</v>
      </c>
      <c r="K253" s="14" t="s">
        <v>67</v>
      </c>
      <c r="L253" s="14" t="s">
        <v>68</v>
      </c>
      <c r="M253" s="14"/>
      <c r="N253" s="14"/>
      <c r="O253" s="15"/>
      <c r="P253" s="19">
        <v>0</v>
      </c>
      <c r="Q253" s="19">
        <v>0</v>
      </c>
      <c r="R253" s="19">
        <v>0</v>
      </c>
      <c r="S253" s="18">
        <v>2</v>
      </c>
      <c r="T253" s="19">
        <v>0</v>
      </c>
      <c r="U253" s="14" t="s">
        <v>33</v>
      </c>
      <c r="V253" s="14" t="s">
        <v>33</v>
      </c>
      <c r="W253" s="14" t="s">
        <v>33</v>
      </c>
      <c r="X253" s="14" t="s">
        <v>33</v>
      </c>
      <c r="Y253" s="14" t="s">
        <v>33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359</v>
      </c>
      <c r="AY253" t="s">
        <v>364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71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33</v>
      </c>
      <c r="V254" s="21" t="s">
        <v>33</v>
      </c>
      <c r="W254" s="21" t="s">
        <v>33</v>
      </c>
      <c r="X254" s="21" t="s">
        <v>33</v>
      </c>
      <c r="Y254" s="21" t="s">
        <v>33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359</v>
      </c>
      <c r="AY254" t="s">
        <v>364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365</v>
      </c>
      <c r="G255" s="15" t="s">
        <v>366</v>
      </c>
      <c r="H255" s="14" t="s">
        <v>66</v>
      </c>
      <c r="I255" s="16">
        <v>2</v>
      </c>
      <c r="J255" s="17">
        <v>1</v>
      </c>
      <c r="K255" s="14" t="s">
        <v>67</v>
      </c>
      <c r="L255" s="14" t="s">
        <v>68</v>
      </c>
      <c r="M255" s="14"/>
      <c r="N255" s="14"/>
      <c r="O255" s="15"/>
      <c r="P255" s="18">
        <v>2</v>
      </c>
      <c r="Q255" s="19">
        <v>0</v>
      </c>
      <c r="R255" s="19">
        <v>0</v>
      </c>
      <c r="S255" s="19">
        <v>0</v>
      </c>
      <c r="T255" s="19">
        <v>0</v>
      </c>
      <c r="U255" s="14" t="s">
        <v>33</v>
      </c>
      <c r="V255" s="14" t="s">
        <v>33</v>
      </c>
      <c r="W255" s="14" t="s">
        <v>33</v>
      </c>
      <c r="X255" s="14" t="s">
        <v>33</v>
      </c>
      <c r="Y255" s="14" t="s">
        <v>33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359</v>
      </c>
      <c r="AY255" t="s">
        <v>367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71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33</v>
      </c>
      <c r="V256" s="21" t="s">
        <v>33</v>
      </c>
      <c r="W256" s="21" t="s">
        <v>33</v>
      </c>
      <c r="X256" s="21" t="s">
        <v>33</v>
      </c>
      <c r="Y256" s="21" t="s">
        <v>33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359</v>
      </c>
      <c r="AY256" t="s">
        <v>367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365</v>
      </c>
      <c r="G257" s="15" t="s">
        <v>368</v>
      </c>
      <c r="H257" s="14" t="s">
        <v>66</v>
      </c>
      <c r="I257" s="16">
        <v>2</v>
      </c>
      <c r="J257" s="17">
        <v>1</v>
      </c>
      <c r="K257" s="14" t="s">
        <v>67</v>
      </c>
      <c r="L257" s="14" t="s">
        <v>68</v>
      </c>
      <c r="M257" s="14"/>
      <c r="N257" s="14"/>
      <c r="O257" s="15"/>
      <c r="P257" s="19">
        <v>0</v>
      </c>
      <c r="Q257" s="18">
        <v>2</v>
      </c>
      <c r="R257" s="19">
        <v>0</v>
      </c>
      <c r="S257" s="19">
        <v>0</v>
      </c>
      <c r="T257" s="19">
        <v>0</v>
      </c>
      <c r="U257" s="14" t="s">
        <v>33</v>
      </c>
      <c r="V257" s="14" t="s">
        <v>33</v>
      </c>
      <c r="W257" s="14" t="s">
        <v>33</v>
      </c>
      <c r="X257" s="14" t="s">
        <v>33</v>
      </c>
      <c r="Y257" s="14" t="s">
        <v>33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359</v>
      </c>
      <c r="AY257" t="s">
        <v>369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71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33</v>
      </c>
      <c r="V258" s="21" t="s">
        <v>33</v>
      </c>
      <c r="W258" s="21" t="s">
        <v>33</v>
      </c>
      <c r="X258" s="21" t="s">
        <v>33</v>
      </c>
      <c r="Y258" s="21" t="s">
        <v>33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359</v>
      </c>
      <c r="AY258" t="s">
        <v>369</v>
      </c>
    </row>
    <row r="259" ht="28" customHeight="1" spans="1:51" x14ac:dyDescent="0.25">
      <c r="A259" s="14"/>
      <c r="B259" s="14"/>
      <c r="C259" s="14"/>
      <c r="D259" s="14"/>
      <c r="E259" s="14"/>
      <c r="F259" s="15" t="s">
        <v>370</v>
      </c>
      <c r="G259" s="15" t="s">
        <v>371</v>
      </c>
      <c r="H259" s="14" t="s">
        <v>66</v>
      </c>
      <c r="I259" s="16">
        <v>2</v>
      </c>
      <c r="J259" s="17">
        <v>1</v>
      </c>
      <c r="K259" s="14" t="s">
        <v>67</v>
      </c>
      <c r="L259" s="14" t="s">
        <v>68</v>
      </c>
      <c r="M259" s="14"/>
      <c r="N259" s="14"/>
      <c r="O259" s="15"/>
      <c r="P259" s="19">
        <v>0</v>
      </c>
      <c r="Q259" s="19">
        <v>0</v>
      </c>
      <c r="R259" s="18">
        <v>2</v>
      </c>
      <c r="S259" s="19">
        <v>0</v>
      </c>
      <c r="T259" s="19">
        <v>0</v>
      </c>
      <c r="U259" s="14" t="s">
        <v>33</v>
      </c>
      <c r="V259" s="14" t="s">
        <v>33</v>
      </c>
      <c r="W259" s="14" t="s">
        <v>33</v>
      </c>
      <c r="X259" s="14" t="s">
        <v>33</v>
      </c>
      <c r="Y259" s="14" t="s">
        <v>33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359</v>
      </c>
      <c r="AY259" t="s">
        <v>372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71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33</v>
      </c>
      <c r="V260" s="21" t="s">
        <v>33</v>
      </c>
      <c r="W260" s="21" t="s">
        <v>33</v>
      </c>
      <c r="X260" s="21" t="s">
        <v>33</v>
      </c>
      <c r="Y260" s="21" t="s">
        <v>33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359</v>
      </c>
      <c r="AY260" t="s">
        <v>372</v>
      </c>
    </row>
    <row r="261" ht="28" customHeight="1" spans="1:51" x14ac:dyDescent="0.25">
      <c r="A261" s="14"/>
      <c r="B261" s="14"/>
      <c r="C261" s="14"/>
      <c r="D261" s="14"/>
      <c r="E261" s="14"/>
      <c r="F261" s="15" t="s">
        <v>373</v>
      </c>
      <c r="G261" s="15" t="s">
        <v>374</v>
      </c>
      <c r="H261" s="14" t="s">
        <v>66</v>
      </c>
      <c r="I261" s="16">
        <v>2</v>
      </c>
      <c r="J261" s="17">
        <v>1</v>
      </c>
      <c r="K261" s="14" t="s">
        <v>67</v>
      </c>
      <c r="L261" s="14" t="s">
        <v>68</v>
      </c>
      <c r="M261" s="14"/>
      <c r="N261" s="14"/>
      <c r="O261" s="15"/>
      <c r="P261" s="19">
        <v>0</v>
      </c>
      <c r="Q261" s="19">
        <v>0</v>
      </c>
      <c r="R261" s="19">
        <v>0</v>
      </c>
      <c r="S261" s="18">
        <v>2</v>
      </c>
      <c r="T261" s="19">
        <v>0</v>
      </c>
      <c r="U261" s="14" t="s">
        <v>33</v>
      </c>
      <c r="V261" s="14" t="s">
        <v>33</v>
      </c>
      <c r="W261" s="14" t="s">
        <v>33</v>
      </c>
      <c r="X261" s="14" t="s">
        <v>33</v>
      </c>
      <c r="Y261" s="14" t="s">
        <v>33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359</v>
      </c>
      <c r="AY261" t="s">
        <v>375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71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33</v>
      </c>
      <c r="V262" s="21" t="s">
        <v>33</v>
      </c>
      <c r="W262" s="21" t="s">
        <v>33</v>
      </c>
      <c r="X262" s="21" t="s">
        <v>33</v>
      </c>
      <c r="Y262" s="21" t="s">
        <v>33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359</v>
      </c>
      <c r="AY262" t="s">
        <v>375</v>
      </c>
    </row>
    <row r="263" ht="28" customHeight="1" spans="1:51" x14ac:dyDescent="0.25">
      <c r="A263" s="14"/>
      <c r="B263" s="14"/>
      <c r="C263" s="14"/>
      <c r="D263" s="14"/>
      <c r="E263" s="14"/>
      <c r="F263" s="15" t="s">
        <v>376</v>
      </c>
      <c r="G263" s="15" t="s">
        <v>377</v>
      </c>
      <c r="H263" s="14" t="s">
        <v>66</v>
      </c>
      <c r="I263" s="16">
        <v>2</v>
      </c>
      <c r="J263" s="17">
        <v>1</v>
      </c>
      <c r="K263" s="14" t="s">
        <v>67</v>
      </c>
      <c r="L263" s="14" t="s">
        <v>68</v>
      </c>
      <c r="M263" s="14"/>
      <c r="N263" s="14"/>
      <c r="O263" s="15"/>
      <c r="P263" s="18">
        <v>2</v>
      </c>
      <c r="Q263" s="19">
        <v>0</v>
      </c>
      <c r="R263" s="19">
        <v>0</v>
      </c>
      <c r="S263" s="19">
        <v>0</v>
      </c>
      <c r="T263" s="19">
        <v>0</v>
      </c>
      <c r="U263" s="14" t="s">
        <v>33</v>
      </c>
      <c r="V263" s="14" t="s">
        <v>33</v>
      </c>
      <c r="W263" s="14" t="s">
        <v>33</v>
      </c>
      <c r="X263" s="14" t="s">
        <v>33</v>
      </c>
      <c r="Y263" s="14" t="s">
        <v>33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359</v>
      </c>
      <c r="AY263" t="s">
        <v>378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71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33</v>
      </c>
      <c r="V264" s="21" t="s">
        <v>33</v>
      </c>
      <c r="W264" s="21" t="s">
        <v>33</v>
      </c>
      <c r="X264" s="21" t="s">
        <v>33</v>
      </c>
      <c r="Y264" s="21" t="s">
        <v>33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359</v>
      </c>
      <c r="AY264" t="s">
        <v>378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379</v>
      </c>
      <c r="G265" s="15" t="s">
        <v>380</v>
      </c>
      <c r="H265" s="14" t="s">
        <v>66</v>
      </c>
      <c r="I265" s="16">
        <v>2</v>
      </c>
      <c r="J265" s="17">
        <v>1</v>
      </c>
      <c r="K265" s="14" t="s">
        <v>67</v>
      </c>
      <c r="L265" s="14" t="s">
        <v>68</v>
      </c>
      <c r="M265" s="14"/>
      <c r="N265" s="14"/>
      <c r="O265" s="15"/>
      <c r="P265" s="19">
        <v>0</v>
      </c>
      <c r="Q265" s="18">
        <v>2</v>
      </c>
      <c r="R265" s="19">
        <v>0</v>
      </c>
      <c r="S265" s="19">
        <v>0</v>
      </c>
      <c r="T265" s="19">
        <v>0</v>
      </c>
      <c r="U265" s="14" t="s">
        <v>33</v>
      </c>
      <c r="V265" s="14" t="s">
        <v>33</v>
      </c>
      <c r="W265" s="14" t="s">
        <v>33</v>
      </c>
      <c r="X265" s="14" t="s">
        <v>33</v>
      </c>
      <c r="Y265" s="14" t="s">
        <v>33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359</v>
      </c>
      <c r="AY265" t="s">
        <v>381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71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33</v>
      </c>
      <c r="V266" s="21" t="s">
        <v>33</v>
      </c>
      <c r="W266" s="21" t="s">
        <v>33</v>
      </c>
      <c r="X266" s="21" t="s">
        <v>33</v>
      </c>
      <c r="Y266" s="21" t="s">
        <v>33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359</v>
      </c>
      <c r="AY266" t="s">
        <v>381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382</v>
      </c>
      <c r="G267" s="15" t="s">
        <v>383</v>
      </c>
      <c r="H267" s="14" t="s">
        <v>66</v>
      </c>
      <c r="I267" s="16">
        <v>3</v>
      </c>
      <c r="J267" s="17">
        <v>3</v>
      </c>
      <c r="K267" s="14" t="s">
        <v>157</v>
      </c>
      <c r="L267" s="14" t="s">
        <v>68</v>
      </c>
      <c r="M267" s="14"/>
      <c r="N267" s="14"/>
      <c r="O267" s="15"/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4" t="s">
        <v>33</v>
      </c>
      <c r="V267" s="14" t="s">
        <v>33</v>
      </c>
      <c r="W267" s="14" t="s">
        <v>33</v>
      </c>
      <c r="X267" s="14" t="s">
        <v>33</v>
      </c>
      <c r="Y267" s="14" t="s">
        <v>33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359</v>
      </c>
      <c r="AY267" t="s">
        <v>384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71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33</v>
      </c>
      <c r="V268" s="21" t="s">
        <v>33</v>
      </c>
      <c r="W268" s="21" t="s">
        <v>33</v>
      </c>
      <c r="X268" s="21" t="s">
        <v>33</v>
      </c>
      <c r="Y268" s="21" t="s">
        <v>33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359</v>
      </c>
      <c r="AY268" t="s">
        <v>384</v>
      </c>
    </row>
    <row r="269" ht="28" customHeight="1" spans="1:51" x14ac:dyDescent="0.25">
      <c r="A269" s="14"/>
      <c r="B269" s="14"/>
      <c r="C269" s="14"/>
      <c r="D269" s="14"/>
      <c r="E269" s="14"/>
      <c r="F269" s="15" t="s">
        <v>385</v>
      </c>
      <c r="G269" s="15" t="s">
        <v>386</v>
      </c>
      <c r="H269" s="14" t="s">
        <v>66</v>
      </c>
      <c r="I269" s="16">
        <v>3</v>
      </c>
      <c r="J269" s="17">
        <v>3</v>
      </c>
      <c r="K269" s="14" t="s">
        <v>157</v>
      </c>
      <c r="L269" s="14" t="s">
        <v>68</v>
      </c>
      <c r="M269" s="14"/>
      <c r="N269" s="14"/>
      <c r="O269" s="15"/>
      <c r="P269" s="23">
        <v>3</v>
      </c>
      <c r="Q269" s="19">
        <v>0</v>
      </c>
      <c r="R269" s="19">
        <v>0</v>
      </c>
      <c r="S269" s="19">
        <v>0</v>
      </c>
      <c r="T269" s="19">
        <v>0</v>
      </c>
      <c r="U269" s="14" t="s">
        <v>33</v>
      </c>
      <c r="V269" s="14" t="s">
        <v>33</v>
      </c>
      <c r="W269" s="14" t="s">
        <v>33</v>
      </c>
      <c r="X269" s="14" t="s">
        <v>33</v>
      </c>
      <c r="Y269" s="14" t="s">
        <v>33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359</v>
      </c>
      <c r="AY269" t="s">
        <v>387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71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33</v>
      </c>
      <c r="V270" s="21" t="s">
        <v>33</v>
      </c>
      <c r="W270" s="21" t="s">
        <v>33</v>
      </c>
      <c r="X270" s="21" t="s">
        <v>33</v>
      </c>
      <c r="Y270" s="21" t="s">
        <v>33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359</v>
      </c>
      <c r="AY270" t="s">
        <v>387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385</v>
      </c>
      <c r="G271" s="15" t="s">
        <v>388</v>
      </c>
      <c r="H271" s="14" t="s">
        <v>66</v>
      </c>
      <c r="I271" s="16">
        <v>3</v>
      </c>
      <c r="J271" s="17">
        <v>3</v>
      </c>
      <c r="K271" s="14" t="s">
        <v>157</v>
      </c>
      <c r="L271" s="14" t="s">
        <v>68</v>
      </c>
      <c r="M271" s="14"/>
      <c r="N271" s="14"/>
      <c r="O271" s="15"/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4" t="s">
        <v>33</v>
      </c>
      <c r="V271" s="14" t="s">
        <v>33</v>
      </c>
      <c r="W271" s="14" t="s">
        <v>33</v>
      </c>
      <c r="X271" s="14" t="s">
        <v>33</v>
      </c>
      <c r="Y271" s="14" t="s">
        <v>33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359</v>
      </c>
      <c r="AY271" t="s">
        <v>389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71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33</v>
      </c>
      <c r="V272" s="21" t="s">
        <v>33</v>
      </c>
      <c r="W272" s="21" t="s">
        <v>33</v>
      </c>
      <c r="X272" s="21" t="s">
        <v>33</v>
      </c>
      <c r="Y272" s="21" t="s">
        <v>33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359</v>
      </c>
      <c r="AY272" t="s">
        <v>389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328</v>
      </c>
      <c r="G273" s="15" t="s">
        <v>390</v>
      </c>
      <c r="H273" s="14" t="s">
        <v>66</v>
      </c>
      <c r="I273" s="16">
        <v>3</v>
      </c>
      <c r="J273" s="17">
        <v>3</v>
      </c>
      <c r="K273" s="14" t="s">
        <v>157</v>
      </c>
      <c r="L273" s="14" t="s">
        <v>68</v>
      </c>
      <c r="M273" s="14"/>
      <c r="N273" s="14"/>
      <c r="O273" s="15"/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4" t="s">
        <v>33</v>
      </c>
      <c r="V273" s="14" t="s">
        <v>33</v>
      </c>
      <c r="W273" s="14" t="s">
        <v>33</v>
      </c>
      <c r="X273" s="14" t="s">
        <v>33</v>
      </c>
      <c r="Y273" s="14" t="s">
        <v>33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359</v>
      </c>
      <c r="AY273" t="s">
        <v>391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71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33</v>
      </c>
      <c r="V274" s="21" t="s">
        <v>33</v>
      </c>
      <c r="W274" s="21" t="s">
        <v>33</v>
      </c>
      <c r="X274" s="21" t="s">
        <v>33</v>
      </c>
      <c r="Y274" s="21" t="s">
        <v>33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359</v>
      </c>
      <c r="AY274" t="s">
        <v>391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392</v>
      </c>
      <c r="G275" s="15" t="s">
        <v>393</v>
      </c>
      <c r="H275" s="14" t="s">
        <v>66</v>
      </c>
      <c r="I275" s="16">
        <v>3</v>
      </c>
      <c r="J275" s="17">
        <v>3</v>
      </c>
      <c r="K275" s="14" t="s">
        <v>157</v>
      </c>
      <c r="L275" s="14" t="s">
        <v>68</v>
      </c>
      <c r="M275" s="14"/>
      <c r="N275" s="14"/>
      <c r="O275" s="15"/>
      <c r="P275" s="19">
        <v>0</v>
      </c>
      <c r="Q275" s="23">
        <v>3</v>
      </c>
      <c r="R275" s="19">
        <v>0</v>
      </c>
      <c r="S275" s="19">
        <v>0</v>
      </c>
      <c r="T275" s="19">
        <v>0</v>
      </c>
      <c r="U275" s="14" t="s">
        <v>33</v>
      </c>
      <c r="V275" s="14" t="s">
        <v>33</v>
      </c>
      <c r="W275" s="14" t="s">
        <v>33</v>
      </c>
      <c r="X275" s="14" t="s">
        <v>33</v>
      </c>
      <c r="Y275" s="14" t="s">
        <v>33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359</v>
      </c>
      <c r="AY275" t="s">
        <v>394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71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33</v>
      </c>
      <c r="V276" s="21" t="s">
        <v>33</v>
      </c>
      <c r="W276" s="21" t="s">
        <v>33</v>
      </c>
      <c r="X276" s="21" t="s">
        <v>33</v>
      </c>
      <c r="Y276" s="21" t="s">
        <v>33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359</v>
      </c>
      <c r="AY276" t="s">
        <v>394</v>
      </c>
    </row>
    <row r="277" ht="28" customHeight="1" spans="1:51" x14ac:dyDescent="0.25">
      <c r="A277" s="14"/>
      <c r="B277" s="14"/>
      <c r="C277" s="14"/>
      <c r="D277" s="14"/>
      <c r="E277" s="14"/>
      <c r="F277" s="15" t="s">
        <v>395</v>
      </c>
      <c r="G277" s="15" t="s">
        <v>396</v>
      </c>
      <c r="H277" s="14" t="s">
        <v>66</v>
      </c>
      <c r="I277" s="16">
        <v>5</v>
      </c>
      <c r="J277" s="17">
        <v>12</v>
      </c>
      <c r="K277" s="14" t="s">
        <v>141</v>
      </c>
      <c r="L277" s="14" t="s">
        <v>68</v>
      </c>
      <c r="M277" s="14"/>
      <c r="N277" s="14"/>
      <c r="O277" s="15"/>
      <c r="P277" s="19">
        <v>0</v>
      </c>
      <c r="Q277" s="25">
        <v>5</v>
      </c>
      <c r="R277" s="19">
        <v>0</v>
      </c>
      <c r="S277" s="19">
        <v>0</v>
      </c>
      <c r="T277" s="19">
        <v>0</v>
      </c>
      <c r="U277" s="14" t="s">
        <v>33</v>
      </c>
      <c r="V277" s="14" t="s">
        <v>33</v>
      </c>
      <c r="W277" s="14" t="s">
        <v>33</v>
      </c>
      <c r="X277" s="14" t="s">
        <v>33</v>
      </c>
      <c r="Y277" s="14" t="s">
        <v>33</v>
      </c>
      <c r="AM277">
        <f>COUNTIF(P277:T277,"&gt;0")</f>
      </c>
      <c r="AN277">
        <f>COUNTIF(P277,"&gt;0")</f>
      </c>
      <c r="AO277">
        <f>COUNTIF(Q277,"&gt;0")</f>
      </c>
      <c r="AP277">
        <f>COUNTIF(R277,"&gt;0")</f>
      </c>
      <c r="AQ277">
        <f>COUNTIF(S277,"&gt;0")</f>
      </c>
      <c r="AR277">
        <f>COUNTIF(T277,"&gt;0")</f>
      </c>
      <c r="AX277" t="s">
        <v>359</v>
      </c>
      <c r="AY277" t="s">
        <v>397</v>
      </c>
    </row>
    <row r="278" ht="18" customHeight="1" spans="1:51" x14ac:dyDescent="0.25">
      <c r="A278" s="14"/>
      <c r="B278" s="14"/>
      <c r="C278" s="14"/>
      <c r="D278" s="14"/>
      <c r="E278" s="14"/>
      <c r="F278" s="15"/>
      <c r="G278" s="15"/>
      <c r="H278" s="14" t="s">
        <v>71</v>
      </c>
      <c r="I278" s="16"/>
      <c r="J278" s="17"/>
      <c r="K278" s="14"/>
      <c r="L278" s="14"/>
      <c r="M278" s="14"/>
      <c r="N278" s="14"/>
      <c r="O278" s="15"/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1" t="s">
        <v>33</v>
      </c>
      <c r="V278" s="21" t="s">
        <v>33</v>
      </c>
      <c r="W278" s="21" t="s">
        <v>33</v>
      </c>
      <c r="X278" s="21" t="s">
        <v>33</v>
      </c>
      <c r="Y278" s="21" t="s">
        <v>33</v>
      </c>
      <c r="AL278">
        <f>COUNTIF(P278:T278,"&gt;0")</f>
      </c>
      <c r="AS278">
        <f>COUNTIF(P278,"&gt;0")</f>
      </c>
      <c r="AT278">
        <f>COUNTIF(Q278,"&gt;0")</f>
      </c>
      <c r="AU278">
        <f>COUNTIF(R278,"&gt;0")</f>
      </c>
      <c r="AV278">
        <f>COUNTIF(S278,"&gt;0")</f>
      </c>
      <c r="AW278">
        <f>COUNTIF(T278,"&gt;0")</f>
      </c>
      <c r="AX278" t="s">
        <v>359</v>
      </c>
      <c r="AY278" t="s">
        <v>397</v>
      </c>
    </row>
    <row r="279" ht="28" customHeight="1" spans="1:51" x14ac:dyDescent="0.25">
      <c r="A279" s="14"/>
      <c r="B279" s="14"/>
      <c r="C279" s="14"/>
      <c r="D279" s="14"/>
      <c r="E279" s="14"/>
      <c r="F279" s="15" t="s">
        <v>398</v>
      </c>
      <c r="G279" s="15" t="s">
        <v>399</v>
      </c>
      <c r="H279" s="14" t="s">
        <v>66</v>
      </c>
      <c r="I279" s="16">
        <v>5</v>
      </c>
      <c r="J279" s="17">
        <v>12</v>
      </c>
      <c r="K279" s="14" t="s">
        <v>141</v>
      </c>
      <c r="L279" s="14" t="s">
        <v>68</v>
      </c>
      <c r="M279" s="14"/>
      <c r="N279" s="14"/>
      <c r="O279" s="15"/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4" t="s">
        <v>33</v>
      </c>
      <c r="V279" s="14" t="s">
        <v>33</v>
      </c>
      <c r="W279" s="14" t="s">
        <v>33</v>
      </c>
      <c r="X279" s="14" t="s">
        <v>33</v>
      </c>
      <c r="Y279" s="14" t="s">
        <v>33</v>
      </c>
      <c r="AM279">
        <f>COUNTIF(P279:T279,"&gt;0")</f>
      </c>
      <c r="AN279">
        <f>COUNTIF(P279,"&gt;0")</f>
      </c>
      <c r="AO279">
        <f>COUNTIF(Q279,"&gt;0")</f>
      </c>
      <c r="AP279">
        <f>COUNTIF(R279,"&gt;0")</f>
      </c>
      <c r="AQ279">
        <f>COUNTIF(S279,"&gt;0")</f>
      </c>
      <c r="AR279">
        <f>COUNTIF(T279,"&gt;0")</f>
      </c>
      <c r="AX279" t="s">
        <v>359</v>
      </c>
      <c r="AY279" t="s">
        <v>400</v>
      </c>
    </row>
    <row r="280" ht="18" customHeight="1" spans="1:51" x14ac:dyDescent="0.25">
      <c r="A280" s="14"/>
      <c r="B280" s="14"/>
      <c r="C280" s="14"/>
      <c r="D280" s="14"/>
      <c r="E280" s="14"/>
      <c r="F280" s="15"/>
      <c r="G280" s="15"/>
      <c r="H280" s="14" t="s">
        <v>71</v>
      </c>
      <c r="I280" s="16"/>
      <c r="J280" s="17"/>
      <c r="K280" s="14"/>
      <c r="L280" s="14"/>
      <c r="M280" s="14"/>
      <c r="N280" s="14"/>
      <c r="O280" s="15"/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1" t="s">
        <v>33</v>
      </c>
      <c r="V280" s="21" t="s">
        <v>33</v>
      </c>
      <c r="W280" s="21" t="s">
        <v>33</v>
      </c>
      <c r="X280" s="21" t="s">
        <v>33</v>
      </c>
      <c r="Y280" s="21" t="s">
        <v>33</v>
      </c>
      <c r="AL280">
        <f>COUNTIF(P280:T280,"&gt;0")</f>
      </c>
      <c r="AS280">
        <f>COUNTIF(P280,"&gt;0")</f>
      </c>
      <c r="AT280">
        <f>COUNTIF(Q280,"&gt;0")</f>
      </c>
      <c r="AU280">
        <f>COUNTIF(R280,"&gt;0")</f>
      </c>
      <c r="AV280">
        <f>COUNTIF(S280,"&gt;0")</f>
      </c>
      <c r="AW280">
        <f>COUNTIF(T280,"&gt;0")</f>
      </c>
      <c r="AX280" t="s">
        <v>359</v>
      </c>
      <c r="AY280" t="s">
        <v>400</v>
      </c>
    </row>
    <row r="281" ht="28" customHeight="1" spans="1:51" x14ac:dyDescent="0.25">
      <c r="A281" s="14"/>
      <c r="B281" s="14"/>
      <c r="C281" s="14"/>
      <c r="D281" s="14"/>
      <c r="E281" s="14"/>
      <c r="F281" s="15" t="s">
        <v>401</v>
      </c>
      <c r="G281" s="15" t="s">
        <v>402</v>
      </c>
      <c r="H281" s="14" t="s">
        <v>66</v>
      </c>
      <c r="I281" s="16">
        <v>5</v>
      </c>
      <c r="J281" s="17">
        <v>12</v>
      </c>
      <c r="K281" s="14" t="s">
        <v>141</v>
      </c>
      <c r="L281" s="14" t="s">
        <v>68</v>
      </c>
      <c r="M281" s="14"/>
      <c r="N281" s="14"/>
      <c r="O281" s="15"/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4" t="s">
        <v>33</v>
      </c>
      <c r="V281" s="14" t="s">
        <v>33</v>
      </c>
      <c r="W281" s="14" t="s">
        <v>33</v>
      </c>
      <c r="X281" s="14" t="s">
        <v>33</v>
      </c>
      <c r="Y281" s="14" t="s">
        <v>33</v>
      </c>
      <c r="AM281">
        <f>COUNTIF(P281:T281,"&gt;0")</f>
      </c>
      <c r="AN281">
        <f>COUNTIF(P281,"&gt;0")</f>
      </c>
      <c r="AO281">
        <f>COUNTIF(Q281,"&gt;0")</f>
      </c>
      <c r="AP281">
        <f>COUNTIF(R281,"&gt;0")</f>
      </c>
      <c r="AQ281">
        <f>COUNTIF(S281,"&gt;0")</f>
      </c>
      <c r="AR281">
        <f>COUNTIF(T281,"&gt;0")</f>
      </c>
      <c r="AX281" t="s">
        <v>359</v>
      </c>
      <c r="AY281" t="s">
        <v>403</v>
      </c>
    </row>
    <row r="282" ht="18" customHeight="1" spans="1:51" x14ac:dyDescent="0.25">
      <c r="A282" s="14"/>
      <c r="B282" s="14"/>
      <c r="C282" s="14"/>
      <c r="D282" s="14"/>
      <c r="E282" s="14"/>
      <c r="F282" s="15"/>
      <c r="G282" s="15"/>
      <c r="H282" s="14" t="s">
        <v>71</v>
      </c>
      <c r="I282" s="16"/>
      <c r="J282" s="17"/>
      <c r="K282" s="14"/>
      <c r="L282" s="14"/>
      <c r="M282" s="14"/>
      <c r="N282" s="14"/>
      <c r="O282" s="15"/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1" t="s">
        <v>33</v>
      </c>
      <c r="V282" s="21" t="s">
        <v>33</v>
      </c>
      <c r="W282" s="21" t="s">
        <v>33</v>
      </c>
      <c r="X282" s="21" t="s">
        <v>33</v>
      </c>
      <c r="Y282" s="21" t="s">
        <v>33</v>
      </c>
      <c r="AL282">
        <f>COUNTIF(P282:T282,"&gt;0")</f>
      </c>
      <c r="AS282">
        <f>COUNTIF(P282,"&gt;0")</f>
      </c>
      <c r="AT282">
        <f>COUNTIF(Q282,"&gt;0")</f>
      </c>
      <c r="AU282">
        <f>COUNTIF(R282,"&gt;0")</f>
      </c>
      <c r="AV282">
        <f>COUNTIF(S282,"&gt;0")</f>
      </c>
      <c r="AW282">
        <f>COUNTIF(T282,"&gt;0")</f>
      </c>
      <c r="AX282" t="s">
        <v>359</v>
      </c>
      <c r="AY282" t="s">
        <v>403</v>
      </c>
    </row>
    <row r="283" ht="28" customHeight="1" spans="1:51" x14ac:dyDescent="0.25">
      <c r="A283" s="14"/>
      <c r="B283" s="14" t="s">
        <v>404</v>
      </c>
      <c r="C283" s="14" t="s">
        <v>405</v>
      </c>
      <c r="D283" s="14" t="s">
        <v>406</v>
      </c>
      <c r="E283" s="14" t="s">
        <v>118</v>
      </c>
      <c r="F283" s="15" t="s">
        <v>362</v>
      </c>
      <c r="G283" s="15" t="s">
        <v>363</v>
      </c>
      <c r="H283" s="14" t="s">
        <v>66</v>
      </c>
      <c r="I283" s="16">
        <v>2</v>
      </c>
      <c r="J283" s="17">
        <v>1</v>
      </c>
      <c r="K283" s="14" t="s">
        <v>67</v>
      </c>
      <c r="L283" s="14" t="s">
        <v>68</v>
      </c>
      <c r="M283" s="14"/>
      <c r="N283" s="14"/>
      <c r="O283" s="15"/>
      <c r="P283" s="19">
        <v>0</v>
      </c>
      <c r="Q283" s="19">
        <v>0</v>
      </c>
      <c r="R283" s="18">
        <v>2</v>
      </c>
      <c r="S283" s="19">
        <v>0</v>
      </c>
      <c r="T283" s="19">
        <v>0</v>
      </c>
      <c r="U283" s="14" t="s">
        <v>33</v>
      </c>
      <c r="V283" s="14" t="s">
        <v>33</v>
      </c>
      <c r="W283" s="14" t="s">
        <v>33</v>
      </c>
      <c r="X283" s="14" t="s">
        <v>33</v>
      </c>
      <c r="Y283" s="14" t="s">
        <v>33</v>
      </c>
      <c r="AM283">
        <f>COUNTIF(P283:T283,"&gt;0")</f>
      </c>
      <c r="AN283">
        <f>COUNTIF(P283,"&gt;0")</f>
      </c>
      <c r="AO283">
        <f>COUNTIF(Q283,"&gt;0")</f>
      </c>
      <c r="AP283">
        <f>COUNTIF(R283,"&gt;0")</f>
      </c>
      <c r="AQ283">
        <f>COUNTIF(S283,"&gt;0")</f>
      </c>
      <c r="AR283">
        <f>COUNTIF(T283,"&gt;0")</f>
      </c>
      <c r="AX283" t="s">
        <v>404</v>
      </c>
      <c r="AY283" t="s">
        <v>407</v>
      </c>
    </row>
    <row r="284" ht="18" customHeight="1" spans="1:51" x14ac:dyDescent="0.25">
      <c r="A284" s="14"/>
      <c r="B284" s="14"/>
      <c r="C284" s="14"/>
      <c r="D284" s="14"/>
      <c r="E284" s="14"/>
      <c r="F284" s="15"/>
      <c r="G284" s="15"/>
      <c r="H284" s="14" t="s">
        <v>71</v>
      </c>
      <c r="I284" s="16"/>
      <c r="J284" s="17"/>
      <c r="K284" s="14"/>
      <c r="L284" s="14"/>
      <c r="M284" s="14"/>
      <c r="N284" s="14"/>
      <c r="O284" s="15"/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1" t="s">
        <v>33</v>
      </c>
      <c r="V284" s="21" t="s">
        <v>33</v>
      </c>
      <c r="W284" s="21" t="s">
        <v>33</v>
      </c>
      <c r="X284" s="21" t="s">
        <v>33</v>
      </c>
      <c r="Y284" s="21" t="s">
        <v>33</v>
      </c>
      <c r="AL284">
        <f>COUNTIF(P284:T284,"&gt;0")</f>
      </c>
      <c r="AS284">
        <f>COUNTIF(P284,"&gt;0")</f>
      </c>
      <c r="AT284">
        <f>COUNTIF(Q284,"&gt;0")</f>
      </c>
      <c r="AU284">
        <f>COUNTIF(R284,"&gt;0")</f>
      </c>
      <c r="AV284">
        <f>COUNTIF(S284,"&gt;0")</f>
      </c>
      <c r="AW284">
        <f>COUNTIF(T284,"&gt;0")</f>
      </c>
      <c r="AX284" t="s">
        <v>404</v>
      </c>
      <c r="AY284" t="s">
        <v>407</v>
      </c>
    </row>
    <row r="285" ht="28" customHeight="1" spans="1:51" x14ac:dyDescent="0.25">
      <c r="A285" s="14"/>
      <c r="B285" s="14"/>
      <c r="C285" s="14"/>
      <c r="D285" s="14"/>
      <c r="E285" s="14"/>
      <c r="F285" s="15" t="s">
        <v>365</v>
      </c>
      <c r="G285" s="15" t="s">
        <v>366</v>
      </c>
      <c r="H285" s="14" t="s">
        <v>66</v>
      </c>
      <c r="I285" s="16">
        <v>2</v>
      </c>
      <c r="J285" s="17">
        <v>1</v>
      </c>
      <c r="K285" s="14" t="s">
        <v>67</v>
      </c>
      <c r="L285" s="14" t="s">
        <v>68</v>
      </c>
      <c r="M285" s="14"/>
      <c r="N285" s="14"/>
      <c r="O285" s="15"/>
      <c r="P285" s="19">
        <v>0</v>
      </c>
      <c r="Q285" s="19">
        <v>0</v>
      </c>
      <c r="R285" s="19">
        <v>0</v>
      </c>
      <c r="S285" s="18">
        <v>2</v>
      </c>
      <c r="T285" s="19">
        <v>0</v>
      </c>
      <c r="U285" s="14" t="s">
        <v>33</v>
      </c>
      <c r="V285" s="14" t="s">
        <v>33</v>
      </c>
      <c r="W285" s="14" t="s">
        <v>33</v>
      </c>
      <c r="X285" s="14" t="s">
        <v>33</v>
      </c>
      <c r="Y285" s="14" t="s">
        <v>33</v>
      </c>
      <c r="AM285">
        <f>COUNTIF(P285:T285,"&gt;0")</f>
      </c>
      <c r="AN285">
        <f>COUNTIF(P285,"&gt;0")</f>
      </c>
      <c r="AO285">
        <f>COUNTIF(Q285,"&gt;0")</f>
      </c>
      <c r="AP285">
        <f>COUNTIF(R285,"&gt;0")</f>
      </c>
      <c r="AQ285">
        <f>COUNTIF(S285,"&gt;0")</f>
      </c>
      <c r="AR285">
        <f>COUNTIF(T285,"&gt;0")</f>
      </c>
      <c r="AX285" t="s">
        <v>404</v>
      </c>
      <c r="AY285" t="s">
        <v>408</v>
      </c>
    </row>
    <row r="286" ht="18" customHeight="1" spans="1:51" x14ac:dyDescent="0.25">
      <c r="A286" s="14"/>
      <c r="B286" s="14"/>
      <c r="C286" s="14"/>
      <c r="D286" s="14"/>
      <c r="E286" s="14"/>
      <c r="F286" s="15"/>
      <c r="G286" s="15"/>
      <c r="H286" s="14" t="s">
        <v>71</v>
      </c>
      <c r="I286" s="16"/>
      <c r="J286" s="17"/>
      <c r="K286" s="14"/>
      <c r="L286" s="14"/>
      <c r="M286" s="14"/>
      <c r="N286" s="14"/>
      <c r="O286" s="15"/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1" t="s">
        <v>33</v>
      </c>
      <c r="V286" s="21" t="s">
        <v>33</v>
      </c>
      <c r="W286" s="21" t="s">
        <v>33</v>
      </c>
      <c r="X286" s="21" t="s">
        <v>33</v>
      </c>
      <c r="Y286" s="21" t="s">
        <v>33</v>
      </c>
      <c r="AL286">
        <f>COUNTIF(P286:T286,"&gt;0")</f>
      </c>
      <c r="AS286">
        <f>COUNTIF(P286,"&gt;0")</f>
      </c>
      <c r="AT286">
        <f>COUNTIF(Q286,"&gt;0")</f>
      </c>
      <c r="AU286">
        <f>COUNTIF(R286,"&gt;0")</f>
      </c>
      <c r="AV286">
        <f>COUNTIF(S286,"&gt;0")</f>
      </c>
      <c r="AW286">
        <f>COUNTIF(T286,"&gt;0")</f>
      </c>
      <c r="AX286" t="s">
        <v>404</v>
      </c>
      <c r="AY286" t="s">
        <v>408</v>
      </c>
    </row>
    <row r="287" ht="28" customHeight="1" spans="1:51" x14ac:dyDescent="0.25">
      <c r="A287" s="14"/>
      <c r="B287" s="14"/>
      <c r="C287" s="14"/>
      <c r="D287" s="14"/>
      <c r="E287" s="14"/>
      <c r="F287" s="15" t="s">
        <v>365</v>
      </c>
      <c r="G287" s="15" t="s">
        <v>368</v>
      </c>
      <c r="H287" s="14" t="s">
        <v>66</v>
      </c>
      <c r="I287" s="16">
        <v>2</v>
      </c>
      <c r="J287" s="17">
        <v>1</v>
      </c>
      <c r="K287" s="14" t="s">
        <v>67</v>
      </c>
      <c r="L287" s="14" t="s">
        <v>68</v>
      </c>
      <c r="M287" s="14"/>
      <c r="N287" s="14"/>
      <c r="O287" s="15"/>
      <c r="P287" s="18">
        <v>2</v>
      </c>
      <c r="Q287" s="19">
        <v>0</v>
      </c>
      <c r="R287" s="19">
        <v>0</v>
      </c>
      <c r="S287" s="19">
        <v>0</v>
      </c>
      <c r="T287" s="19">
        <v>0</v>
      </c>
      <c r="U287" s="14" t="s">
        <v>33</v>
      </c>
      <c r="V287" s="14" t="s">
        <v>33</v>
      </c>
      <c r="W287" s="14" t="s">
        <v>33</v>
      </c>
      <c r="X287" s="14" t="s">
        <v>33</v>
      </c>
      <c r="Y287" s="14" t="s">
        <v>33</v>
      </c>
      <c r="AM287">
        <f>COUNTIF(P287:T287,"&gt;0")</f>
      </c>
      <c r="AN287">
        <f>COUNTIF(P287,"&gt;0")</f>
      </c>
      <c r="AO287">
        <f>COUNTIF(Q287,"&gt;0")</f>
      </c>
      <c r="AP287">
        <f>COUNTIF(R287,"&gt;0")</f>
      </c>
      <c r="AQ287">
        <f>COUNTIF(S287,"&gt;0")</f>
      </c>
      <c r="AR287">
        <f>COUNTIF(T287,"&gt;0")</f>
      </c>
      <c r="AX287" t="s">
        <v>404</v>
      </c>
      <c r="AY287" t="s">
        <v>409</v>
      </c>
    </row>
    <row r="288" ht="18" customHeight="1" spans="1:51" x14ac:dyDescent="0.25">
      <c r="A288" s="14"/>
      <c r="B288" s="14"/>
      <c r="C288" s="14"/>
      <c r="D288" s="14"/>
      <c r="E288" s="14"/>
      <c r="F288" s="15"/>
      <c r="G288" s="15"/>
      <c r="H288" s="14" t="s">
        <v>71</v>
      </c>
      <c r="I288" s="16"/>
      <c r="J288" s="17"/>
      <c r="K288" s="14"/>
      <c r="L288" s="14"/>
      <c r="M288" s="14"/>
      <c r="N288" s="14"/>
      <c r="O288" s="15"/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1" t="s">
        <v>33</v>
      </c>
      <c r="V288" s="21" t="s">
        <v>33</v>
      </c>
      <c r="W288" s="21" t="s">
        <v>33</v>
      </c>
      <c r="X288" s="21" t="s">
        <v>33</v>
      </c>
      <c r="Y288" s="21" t="s">
        <v>33</v>
      </c>
      <c r="AL288">
        <f>COUNTIF(P288:T288,"&gt;0")</f>
      </c>
      <c r="AS288">
        <f>COUNTIF(P288,"&gt;0")</f>
      </c>
      <c r="AT288">
        <f>COUNTIF(Q288,"&gt;0")</f>
      </c>
      <c r="AU288">
        <f>COUNTIF(R288,"&gt;0")</f>
      </c>
      <c r="AV288">
        <f>COUNTIF(S288,"&gt;0")</f>
      </c>
      <c r="AW288">
        <f>COUNTIF(T288,"&gt;0")</f>
      </c>
      <c r="AX288" t="s">
        <v>404</v>
      </c>
      <c r="AY288" t="s">
        <v>409</v>
      </c>
    </row>
    <row r="289" ht="28" customHeight="1" spans="1:51" x14ac:dyDescent="0.25">
      <c r="A289" s="14"/>
      <c r="B289" s="14"/>
      <c r="C289" s="14"/>
      <c r="D289" s="14"/>
      <c r="E289" s="14"/>
      <c r="F289" s="15" t="s">
        <v>370</v>
      </c>
      <c r="G289" s="15" t="s">
        <v>371</v>
      </c>
      <c r="H289" s="14" t="s">
        <v>66</v>
      </c>
      <c r="I289" s="16">
        <v>2</v>
      </c>
      <c r="J289" s="17">
        <v>1</v>
      </c>
      <c r="K289" s="14" t="s">
        <v>67</v>
      </c>
      <c r="L289" s="14" t="s">
        <v>68</v>
      </c>
      <c r="M289" s="14"/>
      <c r="N289" s="14"/>
      <c r="O289" s="15"/>
      <c r="P289" s="19">
        <v>0</v>
      </c>
      <c r="Q289" s="18">
        <v>2</v>
      </c>
      <c r="R289" s="19">
        <v>0</v>
      </c>
      <c r="S289" s="19">
        <v>0</v>
      </c>
      <c r="T289" s="19">
        <v>0</v>
      </c>
      <c r="U289" s="14" t="s">
        <v>33</v>
      </c>
      <c r="V289" s="14" t="s">
        <v>33</v>
      </c>
      <c r="W289" s="14" t="s">
        <v>33</v>
      </c>
      <c r="X289" s="14" t="s">
        <v>33</v>
      </c>
      <c r="Y289" s="14" t="s">
        <v>33</v>
      </c>
      <c r="AM289">
        <f>COUNTIF(P289:T289,"&gt;0")</f>
      </c>
      <c r="AN289">
        <f>COUNTIF(P289,"&gt;0")</f>
      </c>
      <c r="AO289">
        <f>COUNTIF(Q289,"&gt;0")</f>
      </c>
      <c r="AP289">
        <f>COUNTIF(R289,"&gt;0")</f>
      </c>
      <c r="AQ289">
        <f>COUNTIF(S289,"&gt;0")</f>
      </c>
      <c r="AR289">
        <f>COUNTIF(T289,"&gt;0")</f>
      </c>
      <c r="AX289" t="s">
        <v>404</v>
      </c>
      <c r="AY289" t="s">
        <v>410</v>
      </c>
    </row>
    <row r="290" ht="18" customHeight="1" spans="1:51" x14ac:dyDescent="0.25">
      <c r="A290" s="14"/>
      <c r="B290" s="14"/>
      <c r="C290" s="14"/>
      <c r="D290" s="14"/>
      <c r="E290" s="14"/>
      <c r="F290" s="15"/>
      <c r="G290" s="15"/>
      <c r="H290" s="14" t="s">
        <v>71</v>
      </c>
      <c r="I290" s="16"/>
      <c r="J290" s="17"/>
      <c r="K290" s="14"/>
      <c r="L290" s="14"/>
      <c r="M290" s="14"/>
      <c r="N290" s="14"/>
      <c r="O290" s="15"/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1" t="s">
        <v>33</v>
      </c>
      <c r="V290" s="21" t="s">
        <v>33</v>
      </c>
      <c r="W290" s="21" t="s">
        <v>33</v>
      </c>
      <c r="X290" s="21" t="s">
        <v>33</v>
      </c>
      <c r="Y290" s="21" t="s">
        <v>33</v>
      </c>
      <c r="AL290">
        <f>COUNTIF(P290:T290,"&gt;0")</f>
      </c>
      <c r="AS290">
        <f>COUNTIF(P290,"&gt;0")</f>
      </c>
      <c r="AT290">
        <f>COUNTIF(Q290,"&gt;0")</f>
      </c>
      <c r="AU290">
        <f>COUNTIF(R290,"&gt;0")</f>
      </c>
      <c r="AV290">
        <f>COUNTIF(S290,"&gt;0")</f>
      </c>
      <c r="AW290">
        <f>COUNTIF(T290,"&gt;0")</f>
      </c>
      <c r="AX290" t="s">
        <v>404</v>
      </c>
      <c r="AY290" t="s">
        <v>410</v>
      </c>
    </row>
    <row r="291" ht="28" customHeight="1" spans="1:51" x14ac:dyDescent="0.25">
      <c r="A291" s="14"/>
      <c r="B291" s="14"/>
      <c r="C291" s="14"/>
      <c r="D291" s="14"/>
      <c r="E291" s="14"/>
      <c r="F291" s="15" t="s">
        <v>373</v>
      </c>
      <c r="G291" s="15" t="s">
        <v>374</v>
      </c>
      <c r="H291" s="14" t="s">
        <v>66</v>
      </c>
      <c r="I291" s="16">
        <v>2</v>
      </c>
      <c r="J291" s="17">
        <v>1</v>
      </c>
      <c r="K291" s="14" t="s">
        <v>67</v>
      </c>
      <c r="L291" s="14" t="s">
        <v>68</v>
      </c>
      <c r="M291" s="14"/>
      <c r="N291" s="14"/>
      <c r="O291" s="15"/>
      <c r="P291" s="19">
        <v>0</v>
      </c>
      <c r="Q291" s="19">
        <v>0</v>
      </c>
      <c r="R291" s="18">
        <v>2</v>
      </c>
      <c r="S291" s="19">
        <v>0</v>
      </c>
      <c r="T291" s="19">
        <v>0</v>
      </c>
      <c r="U291" s="14" t="s">
        <v>33</v>
      </c>
      <c r="V291" s="14" t="s">
        <v>33</v>
      </c>
      <c r="W291" s="14" t="s">
        <v>33</v>
      </c>
      <c r="X291" s="14" t="s">
        <v>33</v>
      </c>
      <c r="Y291" s="14" t="s">
        <v>33</v>
      </c>
      <c r="AM291">
        <f>COUNTIF(P291:T291,"&gt;0")</f>
      </c>
      <c r="AN291">
        <f>COUNTIF(P291,"&gt;0")</f>
      </c>
      <c r="AO291">
        <f>COUNTIF(Q291,"&gt;0")</f>
      </c>
      <c r="AP291">
        <f>COUNTIF(R291,"&gt;0")</f>
      </c>
      <c r="AQ291">
        <f>COUNTIF(S291,"&gt;0")</f>
      </c>
      <c r="AR291">
        <f>COUNTIF(T291,"&gt;0")</f>
      </c>
      <c r="AX291" t="s">
        <v>404</v>
      </c>
      <c r="AY291" t="s">
        <v>411</v>
      </c>
    </row>
    <row r="292" ht="18" customHeight="1" spans="1:51" x14ac:dyDescent="0.25">
      <c r="A292" s="14"/>
      <c r="B292" s="14"/>
      <c r="C292" s="14"/>
      <c r="D292" s="14"/>
      <c r="E292" s="14"/>
      <c r="F292" s="15"/>
      <c r="G292" s="15"/>
      <c r="H292" s="14" t="s">
        <v>71</v>
      </c>
      <c r="I292" s="16"/>
      <c r="J292" s="17"/>
      <c r="K292" s="14"/>
      <c r="L292" s="14"/>
      <c r="M292" s="14"/>
      <c r="N292" s="14"/>
      <c r="O292" s="15"/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1" t="s">
        <v>33</v>
      </c>
      <c r="V292" s="21" t="s">
        <v>33</v>
      </c>
      <c r="W292" s="21" t="s">
        <v>33</v>
      </c>
      <c r="X292" s="21" t="s">
        <v>33</v>
      </c>
      <c r="Y292" s="21" t="s">
        <v>33</v>
      </c>
      <c r="AL292">
        <f>COUNTIF(P292:T292,"&gt;0")</f>
      </c>
      <c r="AS292">
        <f>COUNTIF(P292,"&gt;0")</f>
      </c>
      <c r="AT292">
        <f>COUNTIF(Q292,"&gt;0")</f>
      </c>
      <c r="AU292">
        <f>COUNTIF(R292,"&gt;0")</f>
      </c>
      <c r="AV292">
        <f>COUNTIF(S292,"&gt;0")</f>
      </c>
      <c r="AW292">
        <f>COUNTIF(T292,"&gt;0")</f>
      </c>
      <c r="AX292" t="s">
        <v>404</v>
      </c>
      <c r="AY292" t="s">
        <v>411</v>
      </c>
    </row>
    <row r="293" ht="28" customHeight="1" spans="1:51" x14ac:dyDescent="0.25">
      <c r="A293" s="14"/>
      <c r="B293" s="14"/>
      <c r="C293" s="14"/>
      <c r="D293" s="14"/>
      <c r="E293" s="14"/>
      <c r="F293" s="15" t="s">
        <v>376</v>
      </c>
      <c r="G293" s="15" t="s">
        <v>377</v>
      </c>
      <c r="H293" s="14" t="s">
        <v>66</v>
      </c>
      <c r="I293" s="16">
        <v>2</v>
      </c>
      <c r="J293" s="17">
        <v>1</v>
      </c>
      <c r="K293" s="14" t="s">
        <v>67</v>
      </c>
      <c r="L293" s="14" t="s">
        <v>68</v>
      </c>
      <c r="M293" s="14"/>
      <c r="N293" s="14"/>
      <c r="O293" s="15"/>
      <c r="P293" s="19">
        <v>0</v>
      </c>
      <c r="Q293" s="19">
        <v>0</v>
      </c>
      <c r="R293" s="19">
        <v>0</v>
      </c>
      <c r="S293" s="18">
        <v>2</v>
      </c>
      <c r="T293" s="19">
        <v>0</v>
      </c>
      <c r="U293" s="14" t="s">
        <v>33</v>
      </c>
      <c r="V293" s="14" t="s">
        <v>33</v>
      </c>
      <c r="W293" s="14" t="s">
        <v>33</v>
      </c>
      <c r="X293" s="14" t="s">
        <v>33</v>
      </c>
      <c r="Y293" s="14" t="s">
        <v>33</v>
      </c>
      <c r="AM293">
        <f>COUNTIF(P293:T293,"&gt;0")</f>
      </c>
      <c r="AN293">
        <f>COUNTIF(P293,"&gt;0")</f>
      </c>
      <c r="AO293">
        <f>COUNTIF(Q293,"&gt;0")</f>
      </c>
      <c r="AP293">
        <f>COUNTIF(R293,"&gt;0")</f>
      </c>
      <c r="AQ293">
        <f>COUNTIF(S293,"&gt;0")</f>
      </c>
      <c r="AR293">
        <f>COUNTIF(T293,"&gt;0")</f>
      </c>
      <c r="AX293" t="s">
        <v>404</v>
      </c>
      <c r="AY293" t="s">
        <v>412</v>
      </c>
    </row>
    <row r="294" ht="18" customHeight="1" spans="1:51" x14ac:dyDescent="0.25">
      <c r="A294" s="14"/>
      <c r="B294" s="14"/>
      <c r="C294" s="14"/>
      <c r="D294" s="14"/>
      <c r="E294" s="14"/>
      <c r="F294" s="15"/>
      <c r="G294" s="15"/>
      <c r="H294" s="14" t="s">
        <v>71</v>
      </c>
      <c r="I294" s="16"/>
      <c r="J294" s="17"/>
      <c r="K294" s="14"/>
      <c r="L294" s="14"/>
      <c r="M294" s="14"/>
      <c r="N294" s="14"/>
      <c r="O294" s="15"/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1" t="s">
        <v>33</v>
      </c>
      <c r="V294" s="21" t="s">
        <v>33</v>
      </c>
      <c r="W294" s="21" t="s">
        <v>33</v>
      </c>
      <c r="X294" s="21" t="s">
        <v>33</v>
      </c>
      <c r="Y294" s="21" t="s">
        <v>33</v>
      </c>
      <c r="AL294">
        <f>COUNTIF(P294:T294,"&gt;0")</f>
      </c>
      <c r="AS294">
        <f>COUNTIF(P294,"&gt;0")</f>
      </c>
      <c r="AT294">
        <f>COUNTIF(Q294,"&gt;0")</f>
      </c>
      <c r="AU294">
        <f>COUNTIF(R294,"&gt;0")</f>
      </c>
      <c r="AV294">
        <f>COUNTIF(S294,"&gt;0")</f>
      </c>
      <c r="AW294">
        <f>COUNTIF(T294,"&gt;0")</f>
      </c>
      <c r="AX294" t="s">
        <v>404</v>
      </c>
      <c r="AY294" t="s">
        <v>412</v>
      </c>
    </row>
    <row r="295" ht="28" customHeight="1" spans="1:51" x14ac:dyDescent="0.25">
      <c r="A295" s="14"/>
      <c r="B295" s="14"/>
      <c r="C295" s="14"/>
      <c r="D295" s="14"/>
      <c r="E295" s="14"/>
      <c r="F295" s="15" t="s">
        <v>379</v>
      </c>
      <c r="G295" s="15" t="s">
        <v>380</v>
      </c>
      <c r="H295" s="14" t="s">
        <v>66</v>
      </c>
      <c r="I295" s="16">
        <v>2</v>
      </c>
      <c r="J295" s="17">
        <v>1</v>
      </c>
      <c r="K295" s="14" t="s">
        <v>67</v>
      </c>
      <c r="L295" s="14" t="s">
        <v>68</v>
      </c>
      <c r="M295" s="14"/>
      <c r="N295" s="14"/>
      <c r="O295" s="15"/>
      <c r="P295" s="18">
        <v>2</v>
      </c>
      <c r="Q295" s="19">
        <v>0</v>
      </c>
      <c r="R295" s="19">
        <v>0</v>
      </c>
      <c r="S295" s="19">
        <v>0</v>
      </c>
      <c r="T295" s="19">
        <v>0</v>
      </c>
      <c r="U295" s="14" t="s">
        <v>33</v>
      </c>
      <c r="V295" s="14" t="s">
        <v>33</v>
      </c>
      <c r="W295" s="14" t="s">
        <v>33</v>
      </c>
      <c r="X295" s="14" t="s">
        <v>33</v>
      </c>
      <c r="Y295" s="14" t="s">
        <v>33</v>
      </c>
      <c r="AM295">
        <f>COUNTIF(P295:T295,"&gt;0")</f>
      </c>
      <c r="AN295">
        <f>COUNTIF(P295,"&gt;0")</f>
      </c>
      <c r="AO295">
        <f>COUNTIF(Q295,"&gt;0")</f>
      </c>
      <c r="AP295">
        <f>COUNTIF(R295,"&gt;0")</f>
      </c>
      <c r="AQ295">
        <f>COUNTIF(S295,"&gt;0")</f>
      </c>
      <c r="AR295">
        <f>COUNTIF(T295,"&gt;0")</f>
      </c>
      <c r="AX295" t="s">
        <v>404</v>
      </c>
      <c r="AY295" t="s">
        <v>413</v>
      </c>
    </row>
    <row r="296" ht="18" customHeight="1" spans="1:51" x14ac:dyDescent="0.25">
      <c r="A296" s="14"/>
      <c r="B296" s="14"/>
      <c r="C296" s="14"/>
      <c r="D296" s="14"/>
      <c r="E296" s="14"/>
      <c r="F296" s="15"/>
      <c r="G296" s="15"/>
      <c r="H296" s="14" t="s">
        <v>71</v>
      </c>
      <c r="I296" s="16"/>
      <c r="J296" s="17"/>
      <c r="K296" s="14"/>
      <c r="L296" s="14"/>
      <c r="M296" s="14"/>
      <c r="N296" s="14"/>
      <c r="O296" s="15"/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1" t="s">
        <v>33</v>
      </c>
      <c r="V296" s="21" t="s">
        <v>33</v>
      </c>
      <c r="W296" s="21" t="s">
        <v>33</v>
      </c>
      <c r="X296" s="21" t="s">
        <v>33</v>
      </c>
      <c r="Y296" s="21" t="s">
        <v>33</v>
      </c>
      <c r="AL296">
        <f>COUNTIF(P296:T296,"&gt;0")</f>
      </c>
      <c r="AS296">
        <f>COUNTIF(P296,"&gt;0")</f>
      </c>
      <c r="AT296">
        <f>COUNTIF(Q296,"&gt;0")</f>
      </c>
      <c r="AU296">
        <f>COUNTIF(R296,"&gt;0")</f>
      </c>
      <c r="AV296">
        <f>COUNTIF(S296,"&gt;0")</f>
      </c>
      <c r="AW296">
        <f>COUNTIF(T296,"&gt;0")</f>
      </c>
      <c r="AX296" t="s">
        <v>404</v>
      </c>
      <c r="AY296" t="s">
        <v>413</v>
      </c>
    </row>
    <row r="297" ht="28" customHeight="1" spans="1:51" x14ac:dyDescent="0.25">
      <c r="A297" s="14"/>
      <c r="B297" s="14"/>
      <c r="C297" s="14"/>
      <c r="D297" s="14"/>
      <c r="E297" s="14"/>
      <c r="F297" s="15" t="s">
        <v>382</v>
      </c>
      <c r="G297" s="15" t="s">
        <v>383</v>
      </c>
      <c r="H297" s="14" t="s">
        <v>66</v>
      </c>
      <c r="I297" s="16">
        <v>3</v>
      </c>
      <c r="J297" s="17">
        <v>3</v>
      </c>
      <c r="K297" s="14" t="s">
        <v>157</v>
      </c>
      <c r="L297" s="14" t="s">
        <v>68</v>
      </c>
      <c r="M297" s="14"/>
      <c r="N297" s="14"/>
      <c r="O297" s="15"/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4" t="s">
        <v>33</v>
      </c>
      <c r="V297" s="14" t="s">
        <v>33</v>
      </c>
      <c r="W297" s="14" t="s">
        <v>33</v>
      </c>
      <c r="X297" s="14" t="s">
        <v>33</v>
      </c>
      <c r="Y297" s="14" t="s">
        <v>33</v>
      </c>
      <c r="AM297">
        <f>COUNTIF(P297:T297,"&gt;0")</f>
      </c>
      <c r="AN297">
        <f>COUNTIF(P297,"&gt;0")</f>
      </c>
      <c r="AO297">
        <f>COUNTIF(Q297,"&gt;0")</f>
      </c>
      <c r="AP297">
        <f>COUNTIF(R297,"&gt;0")</f>
      </c>
      <c r="AQ297">
        <f>COUNTIF(S297,"&gt;0")</f>
      </c>
      <c r="AR297">
        <f>COUNTIF(T297,"&gt;0")</f>
      </c>
      <c r="AX297" t="s">
        <v>404</v>
      </c>
      <c r="AY297" t="s">
        <v>414</v>
      </c>
    </row>
    <row r="298" ht="18" customHeight="1" spans="1:51" x14ac:dyDescent="0.25">
      <c r="A298" s="14"/>
      <c r="B298" s="14"/>
      <c r="C298" s="14"/>
      <c r="D298" s="14"/>
      <c r="E298" s="14"/>
      <c r="F298" s="15"/>
      <c r="G298" s="15"/>
      <c r="H298" s="14" t="s">
        <v>71</v>
      </c>
      <c r="I298" s="16"/>
      <c r="J298" s="17"/>
      <c r="K298" s="14"/>
      <c r="L298" s="14"/>
      <c r="M298" s="14"/>
      <c r="N298" s="14"/>
      <c r="O298" s="15"/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1" t="s">
        <v>33</v>
      </c>
      <c r="V298" s="21" t="s">
        <v>33</v>
      </c>
      <c r="W298" s="21" t="s">
        <v>33</v>
      </c>
      <c r="X298" s="21" t="s">
        <v>33</v>
      </c>
      <c r="Y298" s="21" t="s">
        <v>33</v>
      </c>
      <c r="AL298">
        <f>COUNTIF(P298:T298,"&gt;0")</f>
      </c>
      <c r="AS298">
        <f>COUNTIF(P298,"&gt;0")</f>
      </c>
      <c r="AT298">
        <f>COUNTIF(Q298,"&gt;0")</f>
      </c>
      <c r="AU298">
        <f>COUNTIF(R298,"&gt;0")</f>
      </c>
      <c r="AV298">
        <f>COUNTIF(S298,"&gt;0")</f>
      </c>
      <c r="AW298">
        <f>COUNTIF(T298,"&gt;0")</f>
      </c>
      <c r="AX298" t="s">
        <v>404</v>
      </c>
      <c r="AY298" t="s">
        <v>414</v>
      </c>
    </row>
    <row r="299" ht="28" customHeight="1" spans="1:51" x14ac:dyDescent="0.25">
      <c r="A299" s="14"/>
      <c r="B299" s="14"/>
      <c r="C299" s="14"/>
      <c r="D299" s="14"/>
      <c r="E299" s="14"/>
      <c r="F299" s="15" t="s">
        <v>385</v>
      </c>
      <c r="G299" s="15" t="s">
        <v>386</v>
      </c>
      <c r="H299" s="14" t="s">
        <v>66</v>
      </c>
      <c r="I299" s="16">
        <v>3</v>
      </c>
      <c r="J299" s="17">
        <v>3</v>
      </c>
      <c r="K299" s="14" t="s">
        <v>157</v>
      </c>
      <c r="L299" s="14" t="s">
        <v>68</v>
      </c>
      <c r="M299" s="14"/>
      <c r="N299" s="14"/>
      <c r="O299" s="15"/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4" t="s">
        <v>33</v>
      </c>
      <c r="V299" s="14" t="s">
        <v>33</v>
      </c>
      <c r="W299" s="14" t="s">
        <v>33</v>
      </c>
      <c r="X299" s="14" t="s">
        <v>33</v>
      </c>
      <c r="Y299" s="14" t="s">
        <v>33</v>
      </c>
      <c r="AM299">
        <f>COUNTIF(P299:T299,"&gt;0")</f>
      </c>
      <c r="AN299">
        <f>COUNTIF(P299,"&gt;0")</f>
      </c>
      <c r="AO299">
        <f>COUNTIF(Q299,"&gt;0")</f>
      </c>
      <c r="AP299">
        <f>COUNTIF(R299,"&gt;0")</f>
      </c>
      <c r="AQ299">
        <f>COUNTIF(S299,"&gt;0")</f>
      </c>
      <c r="AR299">
        <f>COUNTIF(T299,"&gt;0")</f>
      </c>
      <c r="AX299" t="s">
        <v>404</v>
      </c>
      <c r="AY299" t="s">
        <v>415</v>
      </c>
    </row>
    <row r="300" ht="18" customHeight="1" spans="1:51" x14ac:dyDescent="0.25">
      <c r="A300" s="14"/>
      <c r="B300" s="14"/>
      <c r="C300" s="14"/>
      <c r="D300" s="14"/>
      <c r="E300" s="14"/>
      <c r="F300" s="15"/>
      <c r="G300" s="15"/>
      <c r="H300" s="14" t="s">
        <v>71</v>
      </c>
      <c r="I300" s="16"/>
      <c r="J300" s="17"/>
      <c r="K300" s="14"/>
      <c r="L300" s="14"/>
      <c r="M300" s="14"/>
      <c r="N300" s="14"/>
      <c r="O300" s="15"/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1" t="s">
        <v>33</v>
      </c>
      <c r="V300" s="21" t="s">
        <v>33</v>
      </c>
      <c r="W300" s="21" t="s">
        <v>33</v>
      </c>
      <c r="X300" s="21" t="s">
        <v>33</v>
      </c>
      <c r="Y300" s="21" t="s">
        <v>33</v>
      </c>
      <c r="AL300">
        <f>COUNTIF(P300:T300,"&gt;0")</f>
      </c>
      <c r="AS300">
        <f>COUNTIF(P300,"&gt;0")</f>
      </c>
      <c r="AT300">
        <f>COUNTIF(Q300,"&gt;0")</f>
      </c>
      <c r="AU300">
        <f>COUNTIF(R300,"&gt;0")</f>
      </c>
      <c r="AV300">
        <f>COUNTIF(S300,"&gt;0")</f>
      </c>
      <c r="AW300">
        <f>COUNTIF(T300,"&gt;0")</f>
      </c>
      <c r="AX300" t="s">
        <v>404</v>
      </c>
      <c r="AY300" t="s">
        <v>415</v>
      </c>
    </row>
    <row r="301" ht="28" customHeight="1" spans="1:51" x14ac:dyDescent="0.25">
      <c r="A301" s="14"/>
      <c r="B301" s="14"/>
      <c r="C301" s="14"/>
      <c r="D301" s="14"/>
      <c r="E301" s="14"/>
      <c r="F301" s="15" t="s">
        <v>385</v>
      </c>
      <c r="G301" s="15" t="s">
        <v>388</v>
      </c>
      <c r="H301" s="14" t="s">
        <v>66</v>
      </c>
      <c r="I301" s="16">
        <v>3</v>
      </c>
      <c r="J301" s="17">
        <v>3</v>
      </c>
      <c r="K301" s="14" t="s">
        <v>157</v>
      </c>
      <c r="L301" s="14" t="s">
        <v>68</v>
      </c>
      <c r="M301" s="14"/>
      <c r="N301" s="14"/>
      <c r="O301" s="15"/>
      <c r="P301" s="19">
        <v>0</v>
      </c>
      <c r="Q301" s="19">
        <v>0</v>
      </c>
      <c r="R301" s="23">
        <v>3</v>
      </c>
      <c r="S301" s="19">
        <v>0</v>
      </c>
      <c r="T301" s="19">
        <v>0</v>
      </c>
      <c r="U301" s="14" t="s">
        <v>33</v>
      </c>
      <c r="V301" s="14" t="s">
        <v>33</v>
      </c>
      <c r="W301" s="14" t="s">
        <v>33</v>
      </c>
      <c r="X301" s="14" t="s">
        <v>33</v>
      </c>
      <c r="Y301" s="14" t="s">
        <v>33</v>
      </c>
      <c r="AM301">
        <f>COUNTIF(P301:T301,"&gt;0")</f>
      </c>
      <c r="AN301">
        <f>COUNTIF(P301,"&gt;0")</f>
      </c>
      <c r="AO301">
        <f>COUNTIF(Q301,"&gt;0")</f>
      </c>
      <c r="AP301">
        <f>COUNTIF(R301,"&gt;0")</f>
      </c>
      <c r="AQ301">
        <f>COUNTIF(S301,"&gt;0")</f>
      </c>
      <c r="AR301">
        <f>COUNTIF(T301,"&gt;0")</f>
      </c>
      <c r="AX301" t="s">
        <v>404</v>
      </c>
      <c r="AY301" t="s">
        <v>416</v>
      </c>
    </row>
    <row r="302" ht="18" customHeight="1" spans="1:51" x14ac:dyDescent="0.25">
      <c r="A302" s="14"/>
      <c r="B302" s="14"/>
      <c r="C302" s="14"/>
      <c r="D302" s="14"/>
      <c r="E302" s="14"/>
      <c r="F302" s="15"/>
      <c r="G302" s="15"/>
      <c r="H302" s="14" t="s">
        <v>71</v>
      </c>
      <c r="I302" s="16"/>
      <c r="J302" s="17"/>
      <c r="K302" s="14"/>
      <c r="L302" s="14"/>
      <c r="M302" s="14"/>
      <c r="N302" s="14"/>
      <c r="O302" s="15"/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1" t="s">
        <v>33</v>
      </c>
      <c r="V302" s="21" t="s">
        <v>33</v>
      </c>
      <c r="W302" s="21" t="s">
        <v>33</v>
      </c>
      <c r="X302" s="21" t="s">
        <v>33</v>
      </c>
      <c r="Y302" s="21" t="s">
        <v>33</v>
      </c>
      <c r="AL302">
        <f>COUNTIF(P302:T302,"&gt;0")</f>
      </c>
      <c r="AS302">
        <f>COUNTIF(P302,"&gt;0")</f>
      </c>
      <c r="AT302">
        <f>COUNTIF(Q302,"&gt;0")</f>
      </c>
      <c r="AU302">
        <f>COUNTIF(R302,"&gt;0")</f>
      </c>
      <c r="AV302">
        <f>COUNTIF(S302,"&gt;0")</f>
      </c>
      <c r="AW302">
        <f>COUNTIF(T302,"&gt;0")</f>
      </c>
      <c r="AX302" t="s">
        <v>404</v>
      </c>
      <c r="AY302" t="s">
        <v>416</v>
      </c>
    </row>
    <row r="303" ht="28" customHeight="1" spans="1:51" x14ac:dyDescent="0.25">
      <c r="A303" s="14"/>
      <c r="B303" s="14"/>
      <c r="C303" s="14"/>
      <c r="D303" s="14"/>
      <c r="E303" s="14"/>
      <c r="F303" s="15" t="s">
        <v>328</v>
      </c>
      <c r="G303" s="15" t="s">
        <v>390</v>
      </c>
      <c r="H303" s="14" t="s">
        <v>66</v>
      </c>
      <c r="I303" s="16">
        <v>3</v>
      </c>
      <c r="J303" s="17">
        <v>3</v>
      </c>
      <c r="K303" s="14" t="s">
        <v>157</v>
      </c>
      <c r="L303" s="14" t="s">
        <v>68</v>
      </c>
      <c r="M303" s="14"/>
      <c r="N303" s="14"/>
      <c r="O303" s="15"/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4" t="s">
        <v>33</v>
      </c>
      <c r="V303" s="14" t="s">
        <v>33</v>
      </c>
      <c r="W303" s="14" t="s">
        <v>33</v>
      </c>
      <c r="X303" s="14" t="s">
        <v>33</v>
      </c>
      <c r="Y303" s="14" t="s">
        <v>33</v>
      </c>
      <c r="AM303">
        <f>COUNTIF(P303:T303,"&gt;0")</f>
      </c>
      <c r="AN303">
        <f>COUNTIF(P303,"&gt;0")</f>
      </c>
      <c r="AO303">
        <f>COUNTIF(Q303,"&gt;0")</f>
      </c>
      <c r="AP303">
        <f>COUNTIF(R303,"&gt;0")</f>
      </c>
      <c r="AQ303">
        <f>COUNTIF(S303,"&gt;0")</f>
      </c>
      <c r="AR303">
        <f>COUNTIF(T303,"&gt;0")</f>
      </c>
      <c r="AX303" t="s">
        <v>404</v>
      </c>
      <c r="AY303" t="s">
        <v>417</v>
      </c>
    </row>
    <row r="304" ht="18" customHeight="1" spans="1:51" x14ac:dyDescent="0.25">
      <c r="A304" s="14"/>
      <c r="B304" s="14"/>
      <c r="C304" s="14"/>
      <c r="D304" s="14"/>
      <c r="E304" s="14"/>
      <c r="F304" s="15"/>
      <c r="G304" s="15"/>
      <c r="H304" s="14" t="s">
        <v>71</v>
      </c>
      <c r="I304" s="16"/>
      <c r="J304" s="17"/>
      <c r="K304" s="14"/>
      <c r="L304" s="14"/>
      <c r="M304" s="14"/>
      <c r="N304" s="14"/>
      <c r="O304" s="15"/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1" t="s">
        <v>33</v>
      </c>
      <c r="V304" s="21" t="s">
        <v>33</v>
      </c>
      <c r="W304" s="21" t="s">
        <v>33</v>
      </c>
      <c r="X304" s="21" t="s">
        <v>33</v>
      </c>
      <c r="Y304" s="21" t="s">
        <v>33</v>
      </c>
      <c r="AL304">
        <f>COUNTIF(P304:T304,"&gt;0")</f>
      </c>
      <c r="AS304">
        <f>COUNTIF(P304,"&gt;0")</f>
      </c>
      <c r="AT304">
        <f>COUNTIF(Q304,"&gt;0")</f>
      </c>
      <c r="AU304">
        <f>COUNTIF(R304,"&gt;0")</f>
      </c>
      <c r="AV304">
        <f>COUNTIF(S304,"&gt;0")</f>
      </c>
      <c r="AW304">
        <f>COUNTIF(T304,"&gt;0")</f>
      </c>
      <c r="AX304" t="s">
        <v>404</v>
      </c>
      <c r="AY304" t="s">
        <v>417</v>
      </c>
    </row>
    <row r="305" ht="28" customHeight="1" spans="1:51" x14ac:dyDescent="0.25">
      <c r="A305" s="14"/>
      <c r="B305" s="14"/>
      <c r="C305" s="14"/>
      <c r="D305" s="14"/>
      <c r="E305" s="14"/>
      <c r="F305" s="15" t="s">
        <v>392</v>
      </c>
      <c r="G305" s="15" t="s">
        <v>393</v>
      </c>
      <c r="H305" s="14" t="s">
        <v>66</v>
      </c>
      <c r="I305" s="16">
        <v>3</v>
      </c>
      <c r="J305" s="17">
        <v>3</v>
      </c>
      <c r="K305" s="14" t="s">
        <v>157</v>
      </c>
      <c r="L305" s="14" t="s">
        <v>68</v>
      </c>
      <c r="M305" s="14"/>
      <c r="N305" s="14"/>
      <c r="O305" s="15"/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4" t="s">
        <v>33</v>
      </c>
      <c r="V305" s="14" t="s">
        <v>33</v>
      </c>
      <c r="W305" s="14" t="s">
        <v>33</v>
      </c>
      <c r="X305" s="14" t="s">
        <v>33</v>
      </c>
      <c r="Y305" s="14" t="s">
        <v>33</v>
      </c>
      <c r="AM305">
        <f>COUNTIF(P305:T305,"&gt;0")</f>
      </c>
      <c r="AN305">
        <f>COUNTIF(P305,"&gt;0")</f>
      </c>
      <c r="AO305">
        <f>COUNTIF(Q305,"&gt;0")</f>
      </c>
      <c r="AP305">
        <f>COUNTIF(R305,"&gt;0")</f>
      </c>
      <c r="AQ305">
        <f>COUNTIF(S305,"&gt;0")</f>
      </c>
      <c r="AR305">
        <f>COUNTIF(T305,"&gt;0")</f>
      </c>
      <c r="AX305" t="s">
        <v>404</v>
      </c>
      <c r="AY305" t="s">
        <v>418</v>
      </c>
    </row>
    <row r="306" ht="18" customHeight="1" spans="1:51" x14ac:dyDescent="0.25">
      <c r="A306" s="14"/>
      <c r="B306" s="14"/>
      <c r="C306" s="14"/>
      <c r="D306" s="14"/>
      <c r="E306" s="14"/>
      <c r="F306" s="15"/>
      <c r="G306" s="15"/>
      <c r="H306" s="14" t="s">
        <v>71</v>
      </c>
      <c r="I306" s="16"/>
      <c r="J306" s="17"/>
      <c r="K306" s="14"/>
      <c r="L306" s="14"/>
      <c r="M306" s="14"/>
      <c r="N306" s="14"/>
      <c r="O306" s="15"/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1" t="s">
        <v>33</v>
      </c>
      <c r="V306" s="21" t="s">
        <v>33</v>
      </c>
      <c r="W306" s="21" t="s">
        <v>33</v>
      </c>
      <c r="X306" s="21" t="s">
        <v>33</v>
      </c>
      <c r="Y306" s="21" t="s">
        <v>33</v>
      </c>
      <c r="AL306">
        <f>COUNTIF(P306:T306,"&gt;0")</f>
      </c>
      <c r="AS306">
        <f>COUNTIF(P306,"&gt;0")</f>
      </c>
      <c r="AT306">
        <f>COUNTIF(Q306,"&gt;0")</f>
      </c>
      <c r="AU306">
        <f>COUNTIF(R306,"&gt;0")</f>
      </c>
      <c r="AV306">
        <f>COUNTIF(S306,"&gt;0")</f>
      </c>
      <c r="AW306">
        <f>COUNTIF(T306,"&gt;0")</f>
      </c>
      <c r="AX306" t="s">
        <v>404</v>
      </c>
      <c r="AY306" t="s">
        <v>418</v>
      </c>
    </row>
    <row r="307" ht="28" customHeight="1" spans="1:51" x14ac:dyDescent="0.25">
      <c r="A307" s="14"/>
      <c r="B307" s="14"/>
      <c r="C307" s="14"/>
      <c r="D307" s="14"/>
      <c r="E307" s="14"/>
      <c r="F307" s="15" t="s">
        <v>395</v>
      </c>
      <c r="G307" s="15" t="s">
        <v>396</v>
      </c>
      <c r="H307" s="14" t="s">
        <v>66</v>
      </c>
      <c r="I307" s="16">
        <v>5</v>
      </c>
      <c r="J307" s="17">
        <v>12</v>
      </c>
      <c r="K307" s="14" t="s">
        <v>141</v>
      </c>
      <c r="L307" s="14" t="s">
        <v>68</v>
      </c>
      <c r="M307" s="14"/>
      <c r="N307" s="14"/>
      <c r="O307" s="15"/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4" t="s">
        <v>33</v>
      </c>
      <c r="V307" s="14" t="s">
        <v>33</v>
      </c>
      <c r="W307" s="14" t="s">
        <v>33</v>
      </c>
      <c r="X307" s="14" t="s">
        <v>33</v>
      </c>
      <c r="Y307" s="14" t="s">
        <v>33</v>
      </c>
      <c r="AM307">
        <f>COUNTIF(P307:T307,"&gt;0")</f>
      </c>
      <c r="AN307">
        <f>COUNTIF(P307,"&gt;0")</f>
      </c>
      <c r="AO307">
        <f>COUNTIF(Q307,"&gt;0")</f>
      </c>
      <c r="AP307">
        <f>COUNTIF(R307,"&gt;0")</f>
      </c>
      <c r="AQ307">
        <f>COUNTIF(S307,"&gt;0")</f>
      </c>
      <c r="AR307">
        <f>COUNTIF(T307,"&gt;0")</f>
      </c>
      <c r="AX307" t="s">
        <v>404</v>
      </c>
      <c r="AY307" t="s">
        <v>419</v>
      </c>
    </row>
    <row r="308" ht="18" customHeight="1" spans="1:51" x14ac:dyDescent="0.25">
      <c r="A308" s="14"/>
      <c r="B308" s="14"/>
      <c r="C308" s="14"/>
      <c r="D308" s="14"/>
      <c r="E308" s="14"/>
      <c r="F308" s="15"/>
      <c r="G308" s="15"/>
      <c r="H308" s="14" t="s">
        <v>71</v>
      </c>
      <c r="I308" s="16"/>
      <c r="J308" s="17"/>
      <c r="K308" s="14"/>
      <c r="L308" s="14"/>
      <c r="M308" s="14"/>
      <c r="N308" s="14"/>
      <c r="O308" s="15"/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1" t="s">
        <v>33</v>
      </c>
      <c r="V308" s="21" t="s">
        <v>33</v>
      </c>
      <c r="W308" s="21" t="s">
        <v>33</v>
      </c>
      <c r="X308" s="21" t="s">
        <v>33</v>
      </c>
      <c r="Y308" s="21" t="s">
        <v>33</v>
      </c>
      <c r="AL308">
        <f>COUNTIF(P308:T308,"&gt;0")</f>
      </c>
      <c r="AS308">
        <f>COUNTIF(P308,"&gt;0")</f>
      </c>
      <c r="AT308">
        <f>COUNTIF(Q308,"&gt;0")</f>
      </c>
      <c r="AU308">
        <f>COUNTIF(R308,"&gt;0")</f>
      </c>
      <c r="AV308">
        <f>COUNTIF(S308,"&gt;0")</f>
      </c>
      <c r="AW308">
        <f>COUNTIF(T308,"&gt;0")</f>
      </c>
      <c r="AX308" t="s">
        <v>404</v>
      </c>
      <c r="AY308" t="s">
        <v>419</v>
      </c>
    </row>
    <row r="309" ht="28" customHeight="1" spans="1:51" x14ac:dyDescent="0.25">
      <c r="A309" s="14"/>
      <c r="B309" s="14"/>
      <c r="C309" s="14"/>
      <c r="D309" s="14"/>
      <c r="E309" s="14"/>
      <c r="F309" s="15" t="s">
        <v>398</v>
      </c>
      <c r="G309" s="15" t="s">
        <v>399</v>
      </c>
      <c r="H309" s="14" t="s">
        <v>66</v>
      </c>
      <c r="I309" s="16">
        <v>5</v>
      </c>
      <c r="J309" s="17">
        <v>12</v>
      </c>
      <c r="K309" s="14" t="s">
        <v>141</v>
      </c>
      <c r="L309" s="14" t="s">
        <v>68</v>
      </c>
      <c r="M309" s="14"/>
      <c r="N309" s="14"/>
      <c r="O309" s="15"/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4" t="s">
        <v>33</v>
      </c>
      <c r="V309" s="14" t="s">
        <v>33</v>
      </c>
      <c r="W309" s="14" t="s">
        <v>33</v>
      </c>
      <c r="X309" s="14" t="s">
        <v>33</v>
      </c>
      <c r="Y309" s="14" t="s">
        <v>33</v>
      </c>
      <c r="AM309">
        <f>COUNTIF(P309:T309,"&gt;0")</f>
      </c>
      <c r="AN309">
        <f>COUNTIF(P309,"&gt;0")</f>
      </c>
      <c r="AO309">
        <f>COUNTIF(Q309,"&gt;0")</f>
      </c>
      <c r="AP309">
        <f>COUNTIF(R309,"&gt;0")</f>
      </c>
      <c r="AQ309">
        <f>COUNTIF(S309,"&gt;0")</f>
      </c>
      <c r="AR309">
        <f>COUNTIF(T309,"&gt;0")</f>
      </c>
      <c r="AX309" t="s">
        <v>404</v>
      </c>
      <c r="AY309" t="s">
        <v>420</v>
      </c>
    </row>
    <row r="310" ht="18" customHeight="1" spans="1:51" x14ac:dyDescent="0.25">
      <c r="A310" s="14"/>
      <c r="B310" s="14"/>
      <c r="C310" s="14"/>
      <c r="D310" s="14"/>
      <c r="E310" s="14"/>
      <c r="F310" s="15"/>
      <c r="G310" s="15"/>
      <c r="H310" s="14" t="s">
        <v>71</v>
      </c>
      <c r="I310" s="16"/>
      <c r="J310" s="17"/>
      <c r="K310" s="14"/>
      <c r="L310" s="14"/>
      <c r="M310" s="14"/>
      <c r="N310" s="14"/>
      <c r="O310" s="15"/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1" t="s">
        <v>33</v>
      </c>
      <c r="V310" s="21" t="s">
        <v>33</v>
      </c>
      <c r="W310" s="21" t="s">
        <v>33</v>
      </c>
      <c r="X310" s="21" t="s">
        <v>33</v>
      </c>
      <c r="Y310" s="21" t="s">
        <v>33</v>
      </c>
      <c r="AL310">
        <f>COUNTIF(P310:T310,"&gt;0")</f>
      </c>
      <c r="AS310">
        <f>COUNTIF(P310,"&gt;0")</f>
      </c>
      <c r="AT310">
        <f>COUNTIF(Q310,"&gt;0")</f>
      </c>
      <c r="AU310">
        <f>COUNTIF(R310,"&gt;0")</f>
      </c>
      <c r="AV310">
        <f>COUNTIF(S310,"&gt;0")</f>
      </c>
      <c r="AW310">
        <f>COUNTIF(T310,"&gt;0")</f>
      </c>
      <c r="AX310" t="s">
        <v>404</v>
      </c>
      <c r="AY310" t="s">
        <v>420</v>
      </c>
    </row>
    <row r="311" ht="28" customHeight="1" spans="1:51" x14ac:dyDescent="0.25">
      <c r="A311" s="14"/>
      <c r="B311" s="14"/>
      <c r="C311" s="14"/>
      <c r="D311" s="14"/>
      <c r="E311" s="14"/>
      <c r="F311" s="15" t="s">
        <v>401</v>
      </c>
      <c r="G311" s="15" t="s">
        <v>402</v>
      </c>
      <c r="H311" s="14" t="s">
        <v>66</v>
      </c>
      <c r="I311" s="16">
        <v>5</v>
      </c>
      <c r="J311" s="17">
        <v>12</v>
      </c>
      <c r="K311" s="14" t="s">
        <v>141</v>
      </c>
      <c r="L311" s="14" t="s">
        <v>68</v>
      </c>
      <c r="M311" s="14"/>
      <c r="N311" s="14"/>
      <c r="O311" s="15"/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4" t="s">
        <v>33</v>
      </c>
      <c r="V311" s="14" t="s">
        <v>33</v>
      </c>
      <c r="W311" s="14" t="s">
        <v>33</v>
      </c>
      <c r="X311" s="14" t="s">
        <v>33</v>
      </c>
      <c r="Y311" s="14" t="s">
        <v>33</v>
      </c>
      <c r="AM311">
        <f>COUNTIF(P311:T311,"&gt;0")</f>
      </c>
      <c r="AN311">
        <f>COUNTIF(P311,"&gt;0")</f>
      </c>
      <c r="AO311">
        <f>COUNTIF(Q311,"&gt;0")</f>
      </c>
      <c r="AP311">
        <f>COUNTIF(R311,"&gt;0")</f>
      </c>
      <c r="AQ311">
        <f>COUNTIF(S311,"&gt;0")</f>
      </c>
      <c r="AR311">
        <f>COUNTIF(T311,"&gt;0")</f>
      </c>
      <c r="AX311" t="s">
        <v>404</v>
      </c>
      <c r="AY311" t="s">
        <v>421</v>
      </c>
    </row>
    <row r="312" ht="18" customHeight="1" spans="1:51" x14ac:dyDescent="0.25">
      <c r="A312" s="14"/>
      <c r="B312" s="14"/>
      <c r="C312" s="14"/>
      <c r="D312" s="14"/>
      <c r="E312" s="14"/>
      <c r="F312" s="15"/>
      <c r="G312" s="15"/>
      <c r="H312" s="14" t="s">
        <v>71</v>
      </c>
      <c r="I312" s="16"/>
      <c r="J312" s="17"/>
      <c r="K312" s="14"/>
      <c r="L312" s="14"/>
      <c r="M312" s="14"/>
      <c r="N312" s="14"/>
      <c r="O312" s="15"/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1" t="s">
        <v>33</v>
      </c>
      <c r="V312" s="21" t="s">
        <v>33</v>
      </c>
      <c r="W312" s="21" t="s">
        <v>33</v>
      </c>
      <c r="X312" s="21" t="s">
        <v>33</v>
      </c>
      <c r="Y312" s="21" t="s">
        <v>33</v>
      </c>
      <c r="AL312">
        <f>COUNTIF(P312:T312,"&gt;0")</f>
      </c>
      <c r="AS312">
        <f>COUNTIF(P312,"&gt;0")</f>
      </c>
      <c r="AT312">
        <f>COUNTIF(Q312,"&gt;0")</f>
      </c>
      <c r="AU312">
        <f>COUNTIF(R312,"&gt;0")</f>
      </c>
      <c r="AV312">
        <f>COUNTIF(S312,"&gt;0")</f>
      </c>
      <c r="AW312">
        <f>COUNTIF(T312,"&gt;0")</f>
      </c>
      <c r="AX312" t="s">
        <v>404</v>
      </c>
      <c r="AY312" t="s">
        <v>421</v>
      </c>
    </row>
    <row r="313" ht="28" customHeight="1" spans="1:51" x14ac:dyDescent="0.25">
      <c r="A313" s="14"/>
      <c r="B313" s="14" t="s">
        <v>422</v>
      </c>
      <c r="C313" s="14" t="s">
        <v>423</v>
      </c>
      <c r="D313" s="14" t="s">
        <v>424</v>
      </c>
      <c r="E313" s="14" t="s">
        <v>118</v>
      </c>
      <c r="F313" s="15" t="s">
        <v>362</v>
      </c>
      <c r="G313" s="15" t="s">
        <v>363</v>
      </c>
      <c r="H313" s="14" t="s">
        <v>66</v>
      </c>
      <c r="I313" s="16">
        <v>2</v>
      </c>
      <c r="J313" s="17">
        <v>1</v>
      </c>
      <c r="K313" s="14" t="s">
        <v>67</v>
      </c>
      <c r="L313" s="14" t="s">
        <v>68</v>
      </c>
      <c r="M313" s="14"/>
      <c r="N313" s="14"/>
      <c r="O313" s="15"/>
      <c r="P313" s="19">
        <v>0</v>
      </c>
      <c r="Q313" s="18">
        <v>2</v>
      </c>
      <c r="R313" s="19">
        <v>0</v>
      </c>
      <c r="S313" s="19">
        <v>0</v>
      </c>
      <c r="T313" s="19">
        <v>0</v>
      </c>
      <c r="U313" s="14" t="s">
        <v>33</v>
      </c>
      <c r="V313" s="14" t="s">
        <v>33</v>
      </c>
      <c r="W313" s="14" t="s">
        <v>33</v>
      </c>
      <c r="X313" s="14" t="s">
        <v>33</v>
      </c>
      <c r="Y313" s="14" t="s">
        <v>33</v>
      </c>
      <c r="AM313">
        <f>COUNTIF(P313:T313,"&gt;0")</f>
      </c>
      <c r="AN313">
        <f>COUNTIF(P313,"&gt;0")</f>
      </c>
      <c r="AO313">
        <f>COUNTIF(Q313,"&gt;0")</f>
      </c>
      <c r="AP313">
        <f>COUNTIF(R313,"&gt;0")</f>
      </c>
      <c r="AQ313">
        <f>COUNTIF(S313,"&gt;0")</f>
      </c>
      <c r="AR313">
        <f>COUNTIF(T313,"&gt;0")</f>
      </c>
      <c r="AX313" t="s">
        <v>422</v>
      </c>
      <c r="AY313" t="s">
        <v>425</v>
      </c>
    </row>
    <row r="314" ht="18" customHeight="1" spans="1:51" x14ac:dyDescent="0.25">
      <c r="A314" s="14"/>
      <c r="B314" s="14"/>
      <c r="C314" s="14"/>
      <c r="D314" s="14"/>
      <c r="E314" s="14"/>
      <c r="F314" s="15"/>
      <c r="G314" s="15"/>
      <c r="H314" s="14" t="s">
        <v>71</v>
      </c>
      <c r="I314" s="16"/>
      <c r="J314" s="17"/>
      <c r="K314" s="14"/>
      <c r="L314" s="14"/>
      <c r="M314" s="14"/>
      <c r="N314" s="14"/>
      <c r="O314" s="15"/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1" t="s">
        <v>33</v>
      </c>
      <c r="V314" s="21" t="s">
        <v>33</v>
      </c>
      <c r="W314" s="21" t="s">
        <v>33</v>
      </c>
      <c r="X314" s="21" t="s">
        <v>33</v>
      </c>
      <c r="Y314" s="21" t="s">
        <v>33</v>
      </c>
      <c r="AL314">
        <f>COUNTIF(P314:T314,"&gt;0")</f>
      </c>
      <c r="AS314">
        <f>COUNTIF(P314,"&gt;0")</f>
      </c>
      <c r="AT314">
        <f>COUNTIF(Q314,"&gt;0")</f>
      </c>
      <c r="AU314">
        <f>COUNTIF(R314,"&gt;0")</f>
      </c>
      <c r="AV314">
        <f>COUNTIF(S314,"&gt;0")</f>
      </c>
      <c r="AW314">
        <f>COUNTIF(T314,"&gt;0")</f>
      </c>
      <c r="AX314" t="s">
        <v>422</v>
      </c>
      <c r="AY314" t="s">
        <v>425</v>
      </c>
    </row>
    <row r="315" ht="28" customHeight="1" spans="1:51" x14ac:dyDescent="0.25">
      <c r="A315" s="14"/>
      <c r="B315" s="14"/>
      <c r="C315" s="14"/>
      <c r="D315" s="14"/>
      <c r="E315" s="14"/>
      <c r="F315" s="15" t="s">
        <v>365</v>
      </c>
      <c r="G315" s="15" t="s">
        <v>366</v>
      </c>
      <c r="H315" s="14" t="s">
        <v>66</v>
      </c>
      <c r="I315" s="16">
        <v>2</v>
      </c>
      <c r="J315" s="17">
        <v>1</v>
      </c>
      <c r="K315" s="14" t="s">
        <v>67</v>
      </c>
      <c r="L315" s="14" t="s">
        <v>68</v>
      </c>
      <c r="M315" s="14"/>
      <c r="N315" s="14"/>
      <c r="O315" s="15"/>
      <c r="P315" s="19">
        <v>0</v>
      </c>
      <c r="Q315" s="19">
        <v>0</v>
      </c>
      <c r="R315" s="18">
        <v>2</v>
      </c>
      <c r="S315" s="19">
        <v>0</v>
      </c>
      <c r="T315" s="19">
        <v>0</v>
      </c>
      <c r="U315" s="14" t="s">
        <v>33</v>
      </c>
      <c r="V315" s="14" t="s">
        <v>33</v>
      </c>
      <c r="W315" s="14" t="s">
        <v>33</v>
      </c>
      <c r="X315" s="14" t="s">
        <v>33</v>
      </c>
      <c r="Y315" s="14" t="s">
        <v>33</v>
      </c>
      <c r="AM315">
        <f>COUNTIF(P315:T315,"&gt;0")</f>
      </c>
      <c r="AN315">
        <f>COUNTIF(P315,"&gt;0")</f>
      </c>
      <c r="AO315">
        <f>COUNTIF(Q315,"&gt;0")</f>
      </c>
      <c r="AP315">
        <f>COUNTIF(R315,"&gt;0")</f>
      </c>
      <c r="AQ315">
        <f>COUNTIF(S315,"&gt;0")</f>
      </c>
      <c r="AR315">
        <f>COUNTIF(T315,"&gt;0")</f>
      </c>
      <c r="AX315" t="s">
        <v>422</v>
      </c>
      <c r="AY315" t="s">
        <v>426</v>
      </c>
    </row>
    <row r="316" ht="18" customHeight="1" spans="1:51" x14ac:dyDescent="0.25">
      <c r="A316" s="14"/>
      <c r="B316" s="14"/>
      <c r="C316" s="14"/>
      <c r="D316" s="14"/>
      <c r="E316" s="14"/>
      <c r="F316" s="15"/>
      <c r="G316" s="15"/>
      <c r="H316" s="14" t="s">
        <v>71</v>
      </c>
      <c r="I316" s="16"/>
      <c r="J316" s="17"/>
      <c r="K316" s="14"/>
      <c r="L316" s="14"/>
      <c r="M316" s="14"/>
      <c r="N316" s="14"/>
      <c r="O316" s="15"/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1" t="s">
        <v>33</v>
      </c>
      <c r="V316" s="21" t="s">
        <v>33</v>
      </c>
      <c r="W316" s="21" t="s">
        <v>33</v>
      </c>
      <c r="X316" s="21" t="s">
        <v>33</v>
      </c>
      <c r="Y316" s="21" t="s">
        <v>33</v>
      </c>
      <c r="AL316">
        <f>COUNTIF(P316:T316,"&gt;0")</f>
      </c>
      <c r="AS316">
        <f>COUNTIF(P316,"&gt;0")</f>
      </c>
      <c r="AT316">
        <f>COUNTIF(Q316,"&gt;0")</f>
      </c>
      <c r="AU316">
        <f>COUNTIF(R316,"&gt;0")</f>
      </c>
      <c r="AV316">
        <f>COUNTIF(S316,"&gt;0")</f>
      </c>
      <c r="AW316">
        <f>COUNTIF(T316,"&gt;0")</f>
      </c>
      <c r="AX316" t="s">
        <v>422</v>
      </c>
      <c r="AY316" t="s">
        <v>426</v>
      </c>
    </row>
    <row r="317" ht="28" customHeight="1" spans="1:51" x14ac:dyDescent="0.25">
      <c r="A317" s="14"/>
      <c r="B317" s="14"/>
      <c r="C317" s="14"/>
      <c r="D317" s="14"/>
      <c r="E317" s="14"/>
      <c r="F317" s="15" t="s">
        <v>365</v>
      </c>
      <c r="G317" s="15" t="s">
        <v>368</v>
      </c>
      <c r="H317" s="14" t="s">
        <v>66</v>
      </c>
      <c r="I317" s="16">
        <v>2</v>
      </c>
      <c r="J317" s="17">
        <v>1</v>
      </c>
      <c r="K317" s="14" t="s">
        <v>67</v>
      </c>
      <c r="L317" s="14" t="s">
        <v>68</v>
      </c>
      <c r="M317" s="14"/>
      <c r="N317" s="14"/>
      <c r="O317" s="15"/>
      <c r="P317" s="19">
        <v>0</v>
      </c>
      <c r="Q317" s="19">
        <v>0</v>
      </c>
      <c r="R317" s="19">
        <v>0</v>
      </c>
      <c r="S317" s="18">
        <v>2</v>
      </c>
      <c r="T317" s="19">
        <v>0</v>
      </c>
      <c r="U317" s="14" t="s">
        <v>33</v>
      </c>
      <c r="V317" s="14" t="s">
        <v>33</v>
      </c>
      <c r="W317" s="14" t="s">
        <v>33</v>
      </c>
      <c r="X317" s="14" t="s">
        <v>33</v>
      </c>
      <c r="Y317" s="14" t="s">
        <v>33</v>
      </c>
      <c r="AM317">
        <f>COUNTIF(P317:T317,"&gt;0")</f>
      </c>
      <c r="AN317">
        <f>COUNTIF(P317,"&gt;0")</f>
      </c>
      <c r="AO317">
        <f>COUNTIF(Q317,"&gt;0")</f>
      </c>
      <c r="AP317">
        <f>COUNTIF(R317,"&gt;0")</f>
      </c>
      <c r="AQ317">
        <f>COUNTIF(S317,"&gt;0")</f>
      </c>
      <c r="AR317">
        <f>COUNTIF(T317,"&gt;0")</f>
      </c>
      <c r="AX317" t="s">
        <v>422</v>
      </c>
      <c r="AY317" t="s">
        <v>427</v>
      </c>
    </row>
    <row r="318" ht="18" customHeight="1" spans="1:51" x14ac:dyDescent="0.25">
      <c r="A318" s="14"/>
      <c r="B318" s="14"/>
      <c r="C318" s="14"/>
      <c r="D318" s="14"/>
      <c r="E318" s="14"/>
      <c r="F318" s="15"/>
      <c r="G318" s="15"/>
      <c r="H318" s="14" t="s">
        <v>71</v>
      </c>
      <c r="I318" s="16"/>
      <c r="J318" s="17"/>
      <c r="K318" s="14"/>
      <c r="L318" s="14"/>
      <c r="M318" s="14"/>
      <c r="N318" s="14"/>
      <c r="O318" s="15"/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1" t="s">
        <v>33</v>
      </c>
      <c r="V318" s="21" t="s">
        <v>33</v>
      </c>
      <c r="W318" s="21" t="s">
        <v>33</v>
      </c>
      <c r="X318" s="21" t="s">
        <v>33</v>
      </c>
      <c r="Y318" s="21" t="s">
        <v>33</v>
      </c>
      <c r="AL318">
        <f>COUNTIF(P318:T318,"&gt;0")</f>
      </c>
      <c r="AS318">
        <f>COUNTIF(P318,"&gt;0")</f>
      </c>
      <c r="AT318">
        <f>COUNTIF(Q318,"&gt;0")</f>
      </c>
      <c r="AU318">
        <f>COUNTIF(R318,"&gt;0")</f>
      </c>
      <c r="AV318">
        <f>COUNTIF(S318,"&gt;0")</f>
      </c>
      <c r="AW318">
        <f>COUNTIF(T318,"&gt;0")</f>
      </c>
      <c r="AX318" t="s">
        <v>422</v>
      </c>
      <c r="AY318" t="s">
        <v>427</v>
      </c>
    </row>
    <row r="319" ht="28" customHeight="1" spans="1:51" x14ac:dyDescent="0.25">
      <c r="A319" s="14"/>
      <c r="B319" s="14"/>
      <c r="C319" s="14"/>
      <c r="D319" s="14"/>
      <c r="E319" s="14"/>
      <c r="F319" s="15" t="s">
        <v>370</v>
      </c>
      <c r="G319" s="15" t="s">
        <v>371</v>
      </c>
      <c r="H319" s="14" t="s">
        <v>66</v>
      </c>
      <c r="I319" s="16">
        <v>2</v>
      </c>
      <c r="J319" s="17">
        <v>1</v>
      </c>
      <c r="K319" s="14" t="s">
        <v>67</v>
      </c>
      <c r="L319" s="14" t="s">
        <v>68</v>
      </c>
      <c r="M319" s="14"/>
      <c r="N319" s="14"/>
      <c r="O319" s="15"/>
      <c r="P319" s="18">
        <v>2</v>
      </c>
      <c r="Q319" s="19">
        <v>0</v>
      </c>
      <c r="R319" s="19">
        <v>0</v>
      </c>
      <c r="S319" s="19">
        <v>0</v>
      </c>
      <c r="T319" s="19">
        <v>0</v>
      </c>
      <c r="U319" s="14" t="s">
        <v>33</v>
      </c>
      <c r="V319" s="14" t="s">
        <v>33</v>
      </c>
      <c r="W319" s="14" t="s">
        <v>33</v>
      </c>
      <c r="X319" s="14" t="s">
        <v>33</v>
      </c>
      <c r="Y319" s="14" t="s">
        <v>33</v>
      </c>
      <c r="AM319">
        <f>COUNTIF(P319:T319,"&gt;0")</f>
      </c>
      <c r="AN319">
        <f>COUNTIF(P319,"&gt;0")</f>
      </c>
      <c r="AO319">
        <f>COUNTIF(Q319,"&gt;0")</f>
      </c>
      <c r="AP319">
        <f>COUNTIF(R319,"&gt;0")</f>
      </c>
      <c r="AQ319">
        <f>COUNTIF(S319,"&gt;0")</f>
      </c>
      <c r="AR319">
        <f>COUNTIF(T319,"&gt;0")</f>
      </c>
      <c r="AX319" t="s">
        <v>422</v>
      </c>
      <c r="AY319" t="s">
        <v>428</v>
      </c>
    </row>
    <row r="320" ht="18" customHeight="1" spans="1:51" x14ac:dyDescent="0.25">
      <c r="A320" s="14"/>
      <c r="B320" s="14"/>
      <c r="C320" s="14"/>
      <c r="D320" s="14"/>
      <c r="E320" s="14"/>
      <c r="F320" s="15"/>
      <c r="G320" s="15"/>
      <c r="H320" s="14" t="s">
        <v>71</v>
      </c>
      <c r="I320" s="16"/>
      <c r="J320" s="17"/>
      <c r="K320" s="14"/>
      <c r="L320" s="14"/>
      <c r="M320" s="14"/>
      <c r="N320" s="14"/>
      <c r="O320" s="15"/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1" t="s">
        <v>33</v>
      </c>
      <c r="V320" s="21" t="s">
        <v>33</v>
      </c>
      <c r="W320" s="21" t="s">
        <v>33</v>
      </c>
      <c r="X320" s="21" t="s">
        <v>33</v>
      </c>
      <c r="Y320" s="21" t="s">
        <v>33</v>
      </c>
      <c r="AL320">
        <f>COUNTIF(P320:T320,"&gt;0")</f>
      </c>
      <c r="AS320">
        <f>COUNTIF(P320,"&gt;0")</f>
      </c>
      <c r="AT320">
        <f>COUNTIF(Q320,"&gt;0")</f>
      </c>
      <c r="AU320">
        <f>COUNTIF(R320,"&gt;0")</f>
      </c>
      <c r="AV320">
        <f>COUNTIF(S320,"&gt;0")</f>
      </c>
      <c r="AW320">
        <f>COUNTIF(T320,"&gt;0")</f>
      </c>
      <c r="AX320" t="s">
        <v>422</v>
      </c>
      <c r="AY320" t="s">
        <v>428</v>
      </c>
    </row>
    <row r="321" ht="28" customHeight="1" spans="1:51" x14ac:dyDescent="0.25">
      <c r="A321" s="14"/>
      <c r="B321" s="14"/>
      <c r="C321" s="14"/>
      <c r="D321" s="14"/>
      <c r="E321" s="14"/>
      <c r="F321" s="15" t="s">
        <v>373</v>
      </c>
      <c r="G321" s="15" t="s">
        <v>374</v>
      </c>
      <c r="H321" s="14" t="s">
        <v>66</v>
      </c>
      <c r="I321" s="16">
        <v>2</v>
      </c>
      <c r="J321" s="17">
        <v>1</v>
      </c>
      <c r="K321" s="14" t="s">
        <v>67</v>
      </c>
      <c r="L321" s="14" t="s">
        <v>68</v>
      </c>
      <c r="M321" s="14"/>
      <c r="N321" s="14"/>
      <c r="O321" s="15"/>
      <c r="P321" s="19">
        <v>0</v>
      </c>
      <c r="Q321" s="18">
        <v>2</v>
      </c>
      <c r="R321" s="19">
        <v>0</v>
      </c>
      <c r="S321" s="19">
        <v>0</v>
      </c>
      <c r="T321" s="19">
        <v>0</v>
      </c>
      <c r="U321" s="14" t="s">
        <v>33</v>
      </c>
      <c r="V321" s="14" t="s">
        <v>33</v>
      </c>
      <c r="W321" s="14" t="s">
        <v>33</v>
      </c>
      <c r="X321" s="14" t="s">
        <v>33</v>
      </c>
      <c r="Y321" s="14" t="s">
        <v>33</v>
      </c>
      <c r="AM321">
        <f>COUNTIF(P321:T321,"&gt;0")</f>
      </c>
      <c r="AN321">
        <f>COUNTIF(P321,"&gt;0")</f>
      </c>
      <c r="AO321">
        <f>COUNTIF(Q321,"&gt;0")</f>
      </c>
      <c r="AP321">
        <f>COUNTIF(R321,"&gt;0")</f>
      </c>
      <c r="AQ321">
        <f>COUNTIF(S321,"&gt;0")</f>
      </c>
      <c r="AR321">
        <f>COUNTIF(T321,"&gt;0")</f>
      </c>
      <c r="AX321" t="s">
        <v>422</v>
      </c>
      <c r="AY321" t="s">
        <v>429</v>
      </c>
    </row>
    <row r="322" ht="18" customHeight="1" spans="1:51" x14ac:dyDescent="0.25">
      <c r="A322" s="14"/>
      <c r="B322" s="14"/>
      <c r="C322" s="14"/>
      <c r="D322" s="14"/>
      <c r="E322" s="14"/>
      <c r="F322" s="15"/>
      <c r="G322" s="15"/>
      <c r="H322" s="14" t="s">
        <v>71</v>
      </c>
      <c r="I322" s="16"/>
      <c r="J322" s="17"/>
      <c r="K322" s="14"/>
      <c r="L322" s="14"/>
      <c r="M322" s="14"/>
      <c r="N322" s="14"/>
      <c r="O322" s="15"/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1" t="s">
        <v>33</v>
      </c>
      <c r="V322" s="21" t="s">
        <v>33</v>
      </c>
      <c r="W322" s="21" t="s">
        <v>33</v>
      </c>
      <c r="X322" s="21" t="s">
        <v>33</v>
      </c>
      <c r="Y322" s="21" t="s">
        <v>33</v>
      </c>
      <c r="AL322">
        <f>COUNTIF(P322:T322,"&gt;0")</f>
      </c>
      <c r="AS322">
        <f>COUNTIF(P322,"&gt;0")</f>
      </c>
      <c r="AT322">
        <f>COUNTIF(Q322,"&gt;0")</f>
      </c>
      <c r="AU322">
        <f>COUNTIF(R322,"&gt;0")</f>
      </c>
      <c r="AV322">
        <f>COUNTIF(S322,"&gt;0")</f>
      </c>
      <c r="AW322">
        <f>COUNTIF(T322,"&gt;0")</f>
      </c>
      <c r="AX322" t="s">
        <v>422</v>
      </c>
      <c r="AY322" t="s">
        <v>429</v>
      </c>
    </row>
    <row r="323" ht="28" customHeight="1" spans="1:51" x14ac:dyDescent="0.25">
      <c r="A323" s="14"/>
      <c r="B323" s="14"/>
      <c r="C323" s="14"/>
      <c r="D323" s="14"/>
      <c r="E323" s="14"/>
      <c r="F323" s="15" t="s">
        <v>376</v>
      </c>
      <c r="G323" s="15" t="s">
        <v>377</v>
      </c>
      <c r="H323" s="14" t="s">
        <v>66</v>
      </c>
      <c r="I323" s="16">
        <v>2</v>
      </c>
      <c r="J323" s="17">
        <v>1</v>
      </c>
      <c r="K323" s="14" t="s">
        <v>67</v>
      </c>
      <c r="L323" s="14" t="s">
        <v>68</v>
      </c>
      <c r="M323" s="14"/>
      <c r="N323" s="14"/>
      <c r="O323" s="15"/>
      <c r="P323" s="19">
        <v>0</v>
      </c>
      <c r="Q323" s="19">
        <v>0</v>
      </c>
      <c r="R323" s="18">
        <v>2</v>
      </c>
      <c r="S323" s="19">
        <v>0</v>
      </c>
      <c r="T323" s="19">
        <v>0</v>
      </c>
      <c r="U323" s="14" t="s">
        <v>33</v>
      </c>
      <c r="V323" s="14" t="s">
        <v>33</v>
      </c>
      <c r="W323" s="14" t="s">
        <v>33</v>
      </c>
      <c r="X323" s="14" t="s">
        <v>33</v>
      </c>
      <c r="Y323" s="14" t="s">
        <v>33</v>
      </c>
      <c r="AM323">
        <f>COUNTIF(P323:T323,"&gt;0")</f>
      </c>
      <c r="AN323">
        <f>COUNTIF(P323,"&gt;0")</f>
      </c>
      <c r="AO323">
        <f>COUNTIF(Q323,"&gt;0")</f>
      </c>
      <c r="AP323">
        <f>COUNTIF(R323,"&gt;0")</f>
      </c>
      <c r="AQ323">
        <f>COUNTIF(S323,"&gt;0")</f>
      </c>
      <c r="AR323">
        <f>COUNTIF(T323,"&gt;0")</f>
      </c>
      <c r="AX323" t="s">
        <v>422</v>
      </c>
      <c r="AY323" t="s">
        <v>430</v>
      </c>
    </row>
    <row r="324" ht="18" customHeight="1" spans="1:51" x14ac:dyDescent="0.25">
      <c r="A324" s="14"/>
      <c r="B324" s="14"/>
      <c r="C324" s="14"/>
      <c r="D324" s="14"/>
      <c r="E324" s="14"/>
      <c r="F324" s="15"/>
      <c r="G324" s="15"/>
      <c r="H324" s="14" t="s">
        <v>71</v>
      </c>
      <c r="I324" s="16"/>
      <c r="J324" s="17"/>
      <c r="K324" s="14"/>
      <c r="L324" s="14"/>
      <c r="M324" s="14"/>
      <c r="N324" s="14"/>
      <c r="O324" s="15"/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1" t="s">
        <v>33</v>
      </c>
      <c r="V324" s="21" t="s">
        <v>33</v>
      </c>
      <c r="W324" s="21" t="s">
        <v>33</v>
      </c>
      <c r="X324" s="21" t="s">
        <v>33</v>
      </c>
      <c r="Y324" s="21" t="s">
        <v>33</v>
      </c>
      <c r="AL324">
        <f>COUNTIF(P324:T324,"&gt;0")</f>
      </c>
      <c r="AS324">
        <f>COUNTIF(P324,"&gt;0")</f>
      </c>
      <c r="AT324">
        <f>COUNTIF(Q324,"&gt;0")</f>
      </c>
      <c r="AU324">
        <f>COUNTIF(R324,"&gt;0")</f>
      </c>
      <c r="AV324">
        <f>COUNTIF(S324,"&gt;0")</f>
      </c>
      <c r="AW324">
        <f>COUNTIF(T324,"&gt;0")</f>
      </c>
      <c r="AX324" t="s">
        <v>422</v>
      </c>
      <c r="AY324" t="s">
        <v>430</v>
      </c>
    </row>
    <row r="325" ht="28" customHeight="1" spans="1:51" x14ac:dyDescent="0.25">
      <c r="A325" s="14"/>
      <c r="B325" s="14"/>
      <c r="C325" s="14"/>
      <c r="D325" s="14"/>
      <c r="E325" s="14"/>
      <c r="F325" s="15" t="s">
        <v>379</v>
      </c>
      <c r="G325" s="15" t="s">
        <v>380</v>
      </c>
      <c r="H325" s="14" t="s">
        <v>66</v>
      </c>
      <c r="I325" s="16">
        <v>2</v>
      </c>
      <c r="J325" s="17">
        <v>1</v>
      </c>
      <c r="K325" s="14" t="s">
        <v>67</v>
      </c>
      <c r="L325" s="14" t="s">
        <v>68</v>
      </c>
      <c r="M325" s="14"/>
      <c r="N325" s="14"/>
      <c r="O325" s="15"/>
      <c r="P325" s="19">
        <v>0</v>
      </c>
      <c r="Q325" s="19">
        <v>0</v>
      </c>
      <c r="R325" s="19">
        <v>0</v>
      </c>
      <c r="S325" s="18">
        <v>2</v>
      </c>
      <c r="T325" s="19">
        <v>0</v>
      </c>
      <c r="U325" s="14" t="s">
        <v>33</v>
      </c>
      <c r="V325" s="14" t="s">
        <v>33</v>
      </c>
      <c r="W325" s="14" t="s">
        <v>33</v>
      </c>
      <c r="X325" s="14" t="s">
        <v>33</v>
      </c>
      <c r="Y325" s="14" t="s">
        <v>33</v>
      </c>
      <c r="AM325">
        <f>COUNTIF(P325:T325,"&gt;0")</f>
      </c>
      <c r="AN325">
        <f>COUNTIF(P325,"&gt;0")</f>
      </c>
      <c r="AO325">
        <f>COUNTIF(Q325,"&gt;0")</f>
      </c>
      <c r="AP325">
        <f>COUNTIF(R325,"&gt;0")</f>
      </c>
      <c r="AQ325">
        <f>COUNTIF(S325,"&gt;0")</f>
      </c>
      <c r="AR325">
        <f>COUNTIF(T325,"&gt;0")</f>
      </c>
      <c r="AX325" t="s">
        <v>422</v>
      </c>
      <c r="AY325" t="s">
        <v>431</v>
      </c>
    </row>
    <row r="326" ht="18" customHeight="1" spans="1:51" x14ac:dyDescent="0.25">
      <c r="A326" s="14"/>
      <c r="B326" s="14"/>
      <c r="C326" s="14"/>
      <c r="D326" s="14"/>
      <c r="E326" s="14"/>
      <c r="F326" s="15"/>
      <c r="G326" s="15"/>
      <c r="H326" s="14" t="s">
        <v>71</v>
      </c>
      <c r="I326" s="16"/>
      <c r="J326" s="17"/>
      <c r="K326" s="14"/>
      <c r="L326" s="14"/>
      <c r="M326" s="14"/>
      <c r="N326" s="14"/>
      <c r="O326" s="15"/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1" t="s">
        <v>33</v>
      </c>
      <c r="V326" s="21" t="s">
        <v>33</v>
      </c>
      <c r="W326" s="21" t="s">
        <v>33</v>
      </c>
      <c r="X326" s="21" t="s">
        <v>33</v>
      </c>
      <c r="Y326" s="21" t="s">
        <v>33</v>
      </c>
      <c r="AL326">
        <f>COUNTIF(P326:T326,"&gt;0")</f>
      </c>
      <c r="AS326">
        <f>COUNTIF(P326,"&gt;0")</f>
      </c>
      <c r="AT326">
        <f>COUNTIF(Q326,"&gt;0")</f>
      </c>
      <c r="AU326">
        <f>COUNTIF(R326,"&gt;0")</f>
      </c>
      <c r="AV326">
        <f>COUNTIF(S326,"&gt;0")</f>
      </c>
      <c r="AW326">
        <f>COUNTIF(T326,"&gt;0")</f>
      </c>
      <c r="AX326" t="s">
        <v>422</v>
      </c>
      <c r="AY326" t="s">
        <v>431</v>
      </c>
    </row>
    <row r="327" ht="28" customHeight="1" spans="1:51" x14ac:dyDescent="0.25">
      <c r="A327" s="14"/>
      <c r="B327" s="14"/>
      <c r="C327" s="14"/>
      <c r="D327" s="14"/>
      <c r="E327" s="14"/>
      <c r="F327" s="15" t="s">
        <v>382</v>
      </c>
      <c r="G327" s="15" t="s">
        <v>383</v>
      </c>
      <c r="H327" s="14" t="s">
        <v>66</v>
      </c>
      <c r="I327" s="16">
        <v>3</v>
      </c>
      <c r="J327" s="17">
        <v>3</v>
      </c>
      <c r="K327" s="14" t="s">
        <v>157</v>
      </c>
      <c r="L327" s="14" t="s">
        <v>68</v>
      </c>
      <c r="M327" s="14"/>
      <c r="N327" s="14"/>
      <c r="O327" s="15"/>
      <c r="P327" s="19">
        <v>0</v>
      </c>
      <c r="Q327" s="19">
        <v>0</v>
      </c>
      <c r="R327" s="19">
        <v>0</v>
      </c>
      <c r="S327" s="23">
        <v>3</v>
      </c>
      <c r="T327" s="19">
        <v>0</v>
      </c>
      <c r="U327" s="14" t="s">
        <v>33</v>
      </c>
      <c r="V327" s="14" t="s">
        <v>33</v>
      </c>
      <c r="W327" s="14" t="s">
        <v>33</v>
      </c>
      <c r="X327" s="14" t="s">
        <v>33</v>
      </c>
      <c r="Y327" s="14" t="s">
        <v>33</v>
      </c>
      <c r="AM327">
        <f>COUNTIF(P327:T327,"&gt;0")</f>
      </c>
      <c r="AN327">
        <f>COUNTIF(P327,"&gt;0")</f>
      </c>
      <c r="AO327">
        <f>COUNTIF(Q327,"&gt;0")</f>
      </c>
      <c r="AP327">
        <f>COUNTIF(R327,"&gt;0")</f>
      </c>
      <c r="AQ327">
        <f>COUNTIF(S327,"&gt;0")</f>
      </c>
      <c r="AR327">
        <f>COUNTIF(T327,"&gt;0")</f>
      </c>
      <c r="AX327" t="s">
        <v>422</v>
      </c>
      <c r="AY327" t="s">
        <v>432</v>
      </c>
    </row>
    <row r="328" ht="18" customHeight="1" spans="1:51" x14ac:dyDescent="0.25">
      <c r="A328" s="14"/>
      <c r="B328" s="14"/>
      <c r="C328" s="14"/>
      <c r="D328" s="14"/>
      <c r="E328" s="14"/>
      <c r="F328" s="15"/>
      <c r="G328" s="15"/>
      <c r="H328" s="14" t="s">
        <v>71</v>
      </c>
      <c r="I328" s="16"/>
      <c r="J328" s="17"/>
      <c r="K328" s="14"/>
      <c r="L328" s="14"/>
      <c r="M328" s="14"/>
      <c r="N328" s="14"/>
      <c r="O328" s="15"/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1" t="s">
        <v>33</v>
      </c>
      <c r="V328" s="21" t="s">
        <v>33</v>
      </c>
      <c r="W328" s="21" t="s">
        <v>33</v>
      </c>
      <c r="X328" s="21" t="s">
        <v>33</v>
      </c>
      <c r="Y328" s="21" t="s">
        <v>33</v>
      </c>
      <c r="AL328">
        <f>COUNTIF(P328:T328,"&gt;0")</f>
      </c>
      <c r="AS328">
        <f>COUNTIF(P328,"&gt;0")</f>
      </c>
      <c r="AT328">
        <f>COUNTIF(Q328,"&gt;0")</f>
      </c>
      <c r="AU328">
        <f>COUNTIF(R328,"&gt;0")</f>
      </c>
      <c r="AV328">
        <f>COUNTIF(S328,"&gt;0")</f>
      </c>
      <c r="AW328">
        <f>COUNTIF(T328,"&gt;0")</f>
      </c>
      <c r="AX328" t="s">
        <v>422</v>
      </c>
      <c r="AY328" t="s">
        <v>432</v>
      </c>
    </row>
    <row r="329" ht="28" customHeight="1" spans="1:51" x14ac:dyDescent="0.25">
      <c r="A329" s="14"/>
      <c r="B329" s="14"/>
      <c r="C329" s="14"/>
      <c r="D329" s="14"/>
      <c r="E329" s="14"/>
      <c r="F329" s="15" t="s">
        <v>385</v>
      </c>
      <c r="G329" s="15" t="s">
        <v>386</v>
      </c>
      <c r="H329" s="14" t="s">
        <v>66</v>
      </c>
      <c r="I329" s="16">
        <v>3</v>
      </c>
      <c r="J329" s="17">
        <v>3</v>
      </c>
      <c r="K329" s="14" t="s">
        <v>157</v>
      </c>
      <c r="L329" s="14" t="s">
        <v>68</v>
      </c>
      <c r="M329" s="14"/>
      <c r="N329" s="14"/>
      <c r="O329" s="15"/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4" t="s">
        <v>33</v>
      </c>
      <c r="V329" s="14" t="s">
        <v>33</v>
      </c>
      <c r="W329" s="14" t="s">
        <v>33</v>
      </c>
      <c r="X329" s="14" t="s">
        <v>33</v>
      </c>
      <c r="Y329" s="14" t="s">
        <v>33</v>
      </c>
      <c r="AM329">
        <f>COUNTIF(P329:T329,"&gt;0")</f>
      </c>
      <c r="AN329">
        <f>COUNTIF(P329,"&gt;0")</f>
      </c>
      <c r="AO329">
        <f>COUNTIF(Q329,"&gt;0")</f>
      </c>
      <c r="AP329">
        <f>COUNTIF(R329,"&gt;0")</f>
      </c>
      <c r="AQ329">
        <f>COUNTIF(S329,"&gt;0")</f>
      </c>
      <c r="AR329">
        <f>COUNTIF(T329,"&gt;0")</f>
      </c>
      <c r="AX329" t="s">
        <v>422</v>
      </c>
      <c r="AY329" t="s">
        <v>433</v>
      </c>
    </row>
    <row r="330" ht="18" customHeight="1" spans="1:51" x14ac:dyDescent="0.25">
      <c r="A330" s="14"/>
      <c r="B330" s="14"/>
      <c r="C330" s="14"/>
      <c r="D330" s="14"/>
      <c r="E330" s="14"/>
      <c r="F330" s="15"/>
      <c r="G330" s="15"/>
      <c r="H330" s="14" t="s">
        <v>71</v>
      </c>
      <c r="I330" s="16"/>
      <c r="J330" s="17"/>
      <c r="K330" s="14"/>
      <c r="L330" s="14"/>
      <c r="M330" s="14"/>
      <c r="N330" s="14"/>
      <c r="O330" s="15"/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1" t="s">
        <v>33</v>
      </c>
      <c r="V330" s="21" t="s">
        <v>33</v>
      </c>
      <c r="W330" s="21" t="s">
        <v>33</v>
      </c>
      <c r="X330" s="21" t="s">
        <v>33</v>
      </c>
      <c r="Y330" s="21" t="s">
        <v>33</v>
      </c>
      <c r="AL330">
        <f>COUNTIF(P330:T330,"&gt;0")</f>
      </c>
      <c r="AS330">
        <f>COUNTIF(P330,"&gt;0")</f>
      </c>
      <c r="AT330">
        <f>COUNTIF(Q330,"&gt;0")</f>
      </c>
      <c r="AU330">
        <f>COUNTIF(R330,"&gt;0")</f>
      </c>
      <c r="AV330">
        <f>COUNTIF(S330,"&gt;0")</f>
      </c>
      <c r="AW330">
        <f>COUNTIF(T330,"&gt;0")</f>
      </c>
      <c r="AX330" t="s">
        <v>422</v>
      </c>
      <c r="AY330" t="s">
        <v>433</v>
      </c>
    </row>
    <row r="331" ht="28" customHeight="1" spans="1:51" x14ac:dyDescent="0.25">
      <c r="A331" s="14"/>
      <c r="B331" s="14"/>
      <c r="C331" s="14"/>
      <c r="D331" s="14"/>
      <c r="E331" s="14"/>
      <c r="F331" s="15" t="s">
        <v>385</v>
      </c>
      <c r="G331" s="15" t="s">
        <v>388</v>
      </c>
      <c r="H331" s="14" t="s">
        <v>66</v>
      </c>
      <c r="I331" s="16">
        <v>3</v>
      </c>
      <c r="J331" s="17">
        <v>3</v>
      </c>
      <c r="K331" s="14" t="s">
        <v>157</v>
      </c>
      <c r="L331" s="14" t="s">
        <v>68</v>
      </c>
      <c r="M331" s="14"/>
      <c r="N331" s="14"/>
      <c r="O331" s="15"/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4" t="s">
        <v>33</v>
      </c>
      <c r="V331" s="14" t="s">
        <v>33</v>
      </c>
      <c r="W331" s="14" t="s">
        <v>33</v>
      </c>
      <c r="X331" s="14" t="s">
        <v>33</v>
      </c>
      <c r="Y331" s="14" t="s">
        <v>33</v>
      </c>
      <c r="AM331">
        <f>COUNTIF(P331:T331,"&gt;0")</f>
      </c>
      <c r="AN331">
        <f>COUNTIF(P331,"&gt;0")</f>
      </c>
      <c r="AO331">
        <f>COUNTIF(Q331,"&gt;0")</f>
      </c>
      <c r="AP331">
        <f>COUNTIF(R331,"&gt;0")</f>
      </c>
      <c r="AQ331">
        <f>COUNTIF(S331,"&gt;0")</f>
      </c>
      <c r="AR331">
        <f>COUNTIF(T331,"&gt;0")</f>
      </c>
      <c r="AX331" t="s">
        <v>422</v>
      </c>
      <c r="AY331" t="s">
        <v>434</v>
      </c>
    </row>
    <row r="332" ht="18" customHeight="1" spans="1:51" x14ac:dyDescent="0.25">
      <c r="A332" s="14"/>
      <c r="B332" s="14"/>
      <c r="C332" s="14"/>
      <c r="D332" s="14"/>
      <c r="E332" s="14"/>
      <c r="F332" s="15"/>
      <c r="G332" s="15"/>
      <c r="H332" s="14" t="s">
        <v>71</v>
      </c>
      <c r="I332" s="16"/>
      <c r="J332" s="17"/>
      <c r="K332" s="14"/>
      <c r="L332" s="14"/>
      <c r="M332" s="14"/>
      <c r="N332" s="14"/>
      <c r="O332" s="15"/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1" t="s">
        <v>33</v>
      </c>
      <c r="V332" s="21" t="s">
        <v>33</v>
      </c>
      <c r="W332" s="21" t="s">
        <v>33</v>
      </c>
      <c r="X332" s="21" t="s">
        <v>33</v>
      </c>
      <c r="Y332" s="21" t="s">
        <v>33</v>
      </c>
      <c r="AL332">
        <f>COUNTIF(P332:T332,"&gt;0")</f>
      </c>
      <c r="AS332">
        <f>COUNTIF(P332,"&gt;0")</f>
      </c>
      <c r="AT332">
        <f>COUNTIF(Q332,"&gt;0")</f>
      </c>
      <c r="AU332">
        <f>COUNTIF(R332,"&gt;0")</f>
      </c>
      <c r="AV332">
        <f>COUNTIF(S332,"&gt;0")</f>
      </c>
      <c r="AW332">
        <f>COUNTIF(T332,"&gt;0")</f>
      </c>
      <c r="AX332" t="s">
        <v>422</v>
      </c>
      <c r="AY332" t="s">
        <v>434</v>
      </c>
    </row>
    <row r="333" ht="28" customHeight="1" spans="1:51" x14ac:dyDescent="0.25">
      <c r="A333" s="14"/>
      <c r="B333" s="14"/>
      <c r="C333" s="14"/>
      <c r="D333" s="14"/>
      <c r="E333" s="14"/>
      <c r="F333" s="15" t="s">
        <v>328</v>
      </c>
      <c r="G333" s="15" t="s">
        <v>390</v>
      </c>
      <c r="H333" s="14" t="s">
        <v>66</v>
      </c>
      <c r="I333" s="16">
        <v>3</v>
      </c>
      <c r="J333" s="17">
        <v>3</v>
      </c>
      <c r="K333" s="14" t="s">
        <v>157</v>
      </c>
      <c r="L333" s="14" t="s">
        <v>68</v>
      </c>
      <c r="M333" s="14"/>
      <c r="N333" s="14"/>
      <c r="O333" s="15"/>
      <c r="P333" s="23">
        <v>3</v>
      </c>
      <c r="Q333" s="19">
        <v>0</v>
      </c>
      <c r="R333" s="19">
        <v>0</v>
      </c>
      <c r="S333" s="19">
        <v>0</v>
      </c>
      <c r="T333" s="19">
        <v>0</v>
      </c>
      <c r="U333" s="14" t="s">
        <v>33</v>
      </c>
      <c r="V333" s="14" t="s">
        <v>33</v>
      </c>
      <c r="W333" s="14" t="s">
        <v>33</v>
      </c>
      <c r="X333" s="14" t="s">
        <v>33</v>
      </c>
      <c r="Y333" s="14" t="s">
        <v>33</v>
      </c>
      <c r="AM333">
        <f>COUNTIF(P333:T333,"&gt;0")</f>
      </c>
      <c r="AN333">
        <f>COUNTIF(P333,"&gt;0")</f>
      </c>
      <c r="AO333">
        <f>COUNTIF(Q333,"&gt;0")</f>
      </c>
      <c r="AP333">
        <f>COUNTIF(R333,"&gt;0")</f>
      </c>
      <c r="AQ333">
        <f>COUNTIF(S333,"&gt;0")</f>
      </c>
      <c r="AR333">
        <f>COUNTIF(T333,"&gt;0")</f>
      </c>
      <c r="AX333" t="s">
        <v>422</v>
      </c>
      <c r="AY333" t="s">
        <v>435</v>
      </c>
    </row>
    <row r="334" ht="18" customHeight="1" spans="1:51" x14ac:dyDescent="0.25">
      <c r="A334" s="14"/>
      <c r="B334" s="14"/>
      <c r="C334" s="14"/>
      <c r="D334" s="14"/>
      <c r="E334" s="14"/>
      <c r="F334" s="15"/>
      <c r="G334" s="15"/>
      <c r="H334" s="14" t="s">
        <v>71</v>
      </c>
      <c r="I334" s="16"/>
      <c r="J334" s="17"/>
      <c r="K334" s="14"/>
      <c r="L334" s="14"/>
      <c r="M334" s="14"/>
      <c r="N334" s="14"/>
      <c r="O334" s="15"/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1" t="s">
        <v>33</v>
      </c>
      <c r="V334" s="21" t="s">
        <v>33</v>
      </c>
      <c r="W334" s="21" t="s">
        <v>33</v>
      </c>
      <c r="X334" s="21" t="s">
        <v>33</v>
      </c>
      <c r="Y334" s="21" t="s">
        <v>33</v>
      </c>
      <c r="AL334">
        <f>COUNTIF(P334:T334,"&gt;0")</f>
      </c>
      <c r="AS334">
        <f>COUNTIF(P334,"&gt;0")</f>
      </c>
      <c r="AT334">
        <f>COUNTIF(Q334,"&gt;0")</f>
      </c>
      <c r="AU334">
        <f>COUNTIF(R334,"&gt;0")</f>
      </c>
      <c r="AV334">
        <f>COUNTIF(S334,"&gt;0")</f>
      </c>
      <c r="AW334">
        <f>COUNTIF(T334,"&gt;0")</f>
      </c>
      <c r="AX334" t="s">
        <v>422</v>
      </c>
      <c r="AY334" t="s">
        <v>435</v>
      </c>
    </row>
    <row r="335" ht="28" customHeight="1" spans="1:51" x14ac:dyDescent="0.25">
      <c r="A335" s="14"/>
      <c r="B335" s="14"/>
      <c r="C335" s="14"/>
      <c r="D335" s="14"/>
      <c r="E335" s="14"/>
      <c r="F335" s="15" t="s">
        <v>392</v>
      </c>
      <c r="G335" s="15" t="s">
        <v>393</v>
      </c>
      <c r="H335" s="14" t="s">
        <v>66</v>
      </c>
      <c r="I335" s="16">
        <v>3</v>
      </c>
      <c r="J335" s="17">
        <v>3</v>
      </c>
      <c r="K335" s="14" t="s">
        <v>157</v>
      </c>
      <c r="L335" s="14" t="s">
        <v>68</v>
      </c>
      <c r="M335" s="14"/>
      <c r="N335" s="14"/>
      <c r="O335" s="15"/>
      <c r="P335" s="19">
        <v>0</v>
      </c>
      <c r="Q335" s="19">
        <v>0</v>
      </c>
      <c r="R335" s="19">
        <v>0</v>
      </c>
      <c r="S335" s="19">
        <v>0</v>
      </c>
      <c r="T335" s="19">
        <v>0</v>
      </c>
      <c r="U335" s="14" t="s">
        <v>33</v>
      </c>
      <c r="V335" s="14" t="s">
        <v>33</v>
      </c>
      <c r="W335" s="14" t="s">
        <v>33</v>
      </c>
      <c r="X335" s="14" t="s">
        <v>33</v>
      </c>
      <c r="Y335" s="14" t="s">
        <v>33</v>
      </c>
      <c r="AM335">
        <f>COUNTIF(P335:T335,"&gt;0")</f>
      </c>
      <c r="AN335">
        <f>COUNTIF(P335,"&gt;0")</f>
      </c>
      <c r="AO335">
        <f>COUNTIF(Q335,"&gt;0")</f>
      </c>
      <c r="AP335">
        <f>COUNTIF(R335,"&gt;0")</f>
      </c>
      <c r="AQ335">
        <f>COUNTIF(S335,"&gt;0")</f>
      </c>
      <c r="AR335">
        <f>COUNTIF(T335,"&gt;0")</f>
      </c>
      <c r="AX335" t="s">
        <v>422</v>
      </c>
      <c r="AY335" t="s">
        <v>436</v>
      </c>
    </row>
    <row r="336" ht="18" customHeight="1" spans="1:51" x14ac:dyDescent="0.25">
      <c r="A336" s="14"/>
      <c r="B336" s="14"/>
      <c r="C336" s="14"/>
      <c r="D336" s="14"/>
      <c r="E336" s="14"/>
      <c r="F336" s="15"/>
      <c r="G336" s="15"/>
      <c r="H336" s="14" t="s">
        <v>71</v>
      </c>
      <c r="I336" s="16"/>
      <c r="J336" s="17"/>
      <c r="K336" s="14"/>
      <c r="L336" s="14"/>
      <c r="M336" s="14"/>
      <c r="N336" s="14"/>
      <c r="O336" s="15"/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1" t="s">
        <v>33</v>
      </c>
      <c r="V336" s="21" t="s">
        <v>33</v>
      </c>
      <c r="W336" s="21" t="s">
        <v>33</v>
      </c>
      <c r="X336" s="21" t="s">
        <v>33</v>
      </c>
      <c r="Y336" s="21" t="s">
        <v>33</v>
      </c>
      <c r="AL336">
        <f>COUNTIF(P336:T336,"&gt;0")</f>
      </c>
      <c r="AS336">
        <f>COUNTIF(P336,"&gt;0")</f>
      </c>
      <c r="AT336">
        <f>COUNTIF(Q336,"&gt;0")</f>
      </c>
      <c r="AU336">
        <f>COUNTIF(R336,"&gt;0")</f>
      </c>
      <c r="AV336">
        <f>COUNTIF(S336,"&gt;0")</f>
      </c>
      <c r="AW336">
        <f>COUNTIF(T336,"&gt;0")</f>
      </c>
      <c r="AX336" t="s">
        <v>422</v>
      </c>
      <c r="AY336" t="s">
        <v>436</v>
      </c>
    </row>
    <row r="337" ht="28" customHeight="1" spans="1:51" x14ac:dyDescent="0.25">
      <c r="A337" s="14"/>
      <c r="B337" s="14"/>
      <c r="C337" s="14"/>
      <c r="D337" s="14"/>
      <c r="E337" s="14"/>
      <c r="F337" s="15" t="s">
        <v>395</v>
      </c>
      <c r="G337" s="15" t="s">
        <v>396</v>
      </c>
      <c r="H337" s="14" t="s">
        <v>66</v>
      </c>
      <c r="I337" s="16">
        <v>5</v>
      </c>
      <c r="J337" s="17">
        <v>12</v>
      </c>
      <c r="K337" s="14" t="s">
        <v>141</v>
      </c>
      <c r="L337" s="14" t="s">
        <v>68</v>
      </c>
      <c r="M337" s="14"/>
      <c r="N337" s="14"/>
      <c r="O337" s="15"/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4" t="s">
        <v>33</v>
      </c>
      <c r="V337" s="14" t="s">
        <v>33</v>
      </c>
      <c r="W337" s="14" t="s">
        <v>33</v>
      </c>
      <c r="X337" s="14" t="s">
        <v>33</v>
      </c>
      <c r="Y337" s="14" t="s">
        <v>33</v>
      </c>
      <c r="AM337">
        <f>COUNTIF(P337:T337,"&gt;0")</f>
      </c>
      <c r="AN337">
        <f>COUNTIF(P337,"&gt;0")</f>
      </c>
      <c r="AO337">
        <f>COUNTIF(Q337,"&gt;0")</f>
      </c>
      <c r="AP337">
        <f>COUNTIF(R337,"&gt;0")</f>
      </c>
      <c r="AQ337">
        <f>COUNTIF(S337,"&gt;0")</f>
      </c>
      <c r="AR337">
        <f>COUNTIF(T337,"&gt;0")</f>
      </c>
      <c r="AX337" t="s">
        <v>422</v>
      </c>
      <c r="AY337" t="s">
        <v>437</v>
      </c>
    </row>
    <row r="338" ht="18" customHeight="1" spans="1:51" x14ac:dyDescent="0.25">
      <c r="A338" s="14"/>
      <c r="B338" s="14"/>
      <c r="C338" s="14"/>
      <c r="D338" s="14"/>
      <c r="E338" s="14"/>
      <c r="F338" s="15"/>
      <c r="G338" s="15"/>
      <c r="H338" s="14" t="s">
        <v>71</v>
      </c>
      <c r="I338" s="16"/>
      <c r="J338" s="17"/>
      <c r="K338" s="14"/>
      <c r="L338" s="14"/>
      <c r="M338" s="14"/>
      <c r="N338" s="14"/>
      <c r="O338" s="15"/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1" t="s">
        <v>33</v>
      </c>
      <c r="V338" s="21" t="s">
        <v>33</v>
      </c>
      <c r="W338" s="21" t="s">
        <v>33</v>
      </c>
      <c r="X338" s="21" t="s">
        <v>33</v>
      </c>
      <c r="Y338" s="21" t="s">
        <v>33</v>
      </c>
      <c r="AL338">
        <f>COUNTIF(P338:T338,"&gt;0")</f>
      </c>
      <c r="AS338">
        <f>COUNTIF(P338,"&gt;0")</f>
      </c>
      <c r="AT338">
        <f>COUNTIF(Q338,"&gt;0")</f>
      </c>
      <c r="AU338">
        <f>COUNTIF(R338,"&gt;0")</f>
      </c>
      <c r="AV338">
        <f>COUNTIF(S338,"&gt;0")</f>
      </c>
      <c r="AW338">
        <f>COUNTIF(T338,"&gt;0")</f>
      </c>
      <c r="AX338" t="s">
        <v>422</v>
      </c>
      <c r="AY338" t="s">
        <v>437</v>
      </c>
    </row>
    <row r="339" ht="28" customHeight="1" spans="1:51" x14ac:dyDescent="0.25">
      <c r="A339" s="14"/>
      <c r="B339" s="14"/>
      <c r="C339" s="14"/>
      <c r="D339" s="14"/>
      <c r="E339" s="14"/>
      <c r="F339" s="15" t="s">
        <v>398</v>
      </c>
      <c r="G339" s="15" t="s">
        <v>399</v>
      </c>
      <c r="H339" s="14" t="s">
        <v>66</v>
      </c>
      <c r="I339" s="16">
        <v>5</v>
      </c>
      <c r="J339" s="17">
        <v>12</v>
      </c>
      <c r="K339" s="14" t="s">
        <v>141</v>
      </c>
      <c r="L339" s="14" t="s">
        <v>68</v>
      </c>
      <c r="M339" s="14"/>
      <c r="N339" s="14"/>
      <c r="O339" s="15"/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4" t="s">
        <v>33</v>
      </c>
      <c r="V339" s="14" t="s">
        <v>33</v>
      </c>
      <c r="W339" s="14" t="s">
        <v>33</v>
      </c>
      <c r="X339" s="14" t="s">
        <v>33</v>
      </c>
      <c r="Y339" s="14" t="s">
        <v>33</v>
      </c>
      <c r="AM339">
        <f>COUNTIF(P339:T339,"&gt;0")</f>
      </c>
      <c r="AN339">
        <f>COUNTIF(P339,"&gt;0")</f>
      </c>
      <c r="AO339">
        <f>COUNTIF(Q339,"&gt;0")</f>
      </c>
      <c r="AP339">
        <f>COUNTIF(R339,"&gt;0")</f>
      </c>
      <c r="AQ339">
        <f>COUNTIF(S339,"&gt;0")</f>
      </c>
      <c r="AR339">
        <f>COUNTIF(T339,"&gt;0")</f>
      </c>
      <c r="AX339" t="s">
        <v>422</v>
      </c>
      <c r="AY339" t="s">
        <v>438</v>
      </c>
    </row>
    <row r="340" ht="18" customHeight="1" spans="1:51" x14ac:dyDescent="0.25">
      <c r="A340" s="14"/>
      <c r="B340" s="14"/>
      <c r="C340" s="14"/>
      <c r="D340" s="14"/>
      <c r="E340" s="14"/>
      <c r="F340" s="15"/>
      <c r="G340" s="15"/>
      <c r="H340" s="14" t="s">
        <v>71</v>
      </c>
      <c r="I340" s="16"/>
      <c r="J340" s="17"/>
      <c r="K340" s="14"/>
      <c r="L340" s="14"/>
      <c r="M340" s="14"/>
      <c r="N340" s="14"/>
      <c r="O340" s="15"/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1" t="s">
        <v>33</v>
      </c>
      <c r="V340" s="21" t="s">
        <v>33</v>
      </c>
      <c r="W340" s="21" t="s">
        <v>33</v>
      </c>
      <c r="X340" s="21" t="s">
        <v>33</v>
      </c>
      <c r="Y340" s="21" t="s">
        <v>33</v>
      </c>
      <c r="AL340">
        <f>COUNTIF(P340:T340,"&gt;0")</f>
      </c>
      <c r="AS340">
        <f>COUNTIF(P340,"&gt;0")</f>
      </c>
      <c r="AT340">
        <f>COUNTIF(Q340,"&gt;0")</f>
      </c>
      <c r="AU340">
        <f>COUNTIF(R340,"&gt;0")</f>
      </c>
      <c r="AV340">
        <f>COUNTIF(S340,"&gt;0")</f>
      </c>
      <c r="AW340">
        <f>COUNTIF(T340,"&gt;0")</f>
      </c>
      <c r="AX340" t="s">
        <v>422</v>
      </c>
      <c r="AY340" t="s">
        <v>438</v>
      </c>
    </row>
    <row r="341" ht="28" customHeight="1" spans="1:51" x14ac:dyDescent="0.25">
      <c r="A341" s="14"/>
      <c r="B341" s="14"/>
      <c r="C341" s="14"/>
      <c r="D341" s="14"/>
      <c r="E341" s="14"/>
      <c r="F341" s="15" t="s">
        <v>401</v>
      </c>
      <c r="G341" s="15" t="s">
        <v>402</v>
      </c>
      <c r="H341" s="14" t="s">
        <v>66</v>
      </c>
      <c r="I341" s="16">
        <v>5</v>
      </c>
      <c r="J341" s="17">
        <v>12</v>
      </c>
      <c r="K341" s="14" t="s">
        <v>141</v>
      </c>
      <c r="L341" s="14" t="s">
        <v>68</v>
      </c>
      <c r="M341" s="14"/>
      <c r="N341" s="14"/>
      <c r="O341" s="15"/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4" t="s">
        <v>33</v>
      </c>
      <c r="V341" s="14" t="s">
        <v>33</v>
      </c>
      <c r="W341" s="14" t="s">
        <v>33</v>
      </c>
      <c r="X341" s="14" t="s">
        <v>33</v>
      </c>
      <c r="Y341" s="14" t="s">
        <v>33</v>
      </c>
      <c r="AM341">
        <f>COUNTIF(P341:T341,"&gt;0")</f>
      </c>
      <c r="AN341">
        <f>COUNTIF(P341,"&gt;0")</f>
      </c>
      <c r="AO341">
        <f>COUNTIF(Q341,"&gt;0")</f>
      </c>
      <c r="AP341">
        <f>COUNTIF(R341,"&gt;0")</f>
      </c>
      <c r="AQ341">
        <f>COUNTIF(S341,"&gt;0")</f>
      </c>
      <c r="AR341">
        <f>COUNTIF(T341,"&gt;0")</f>
      </c>
      <c r="AX341" t="s">
        <v>422</v>
      </c>
      <c r="AY341" t="s">
        <v>439</v>
      </c>
    </row>
    <row r="342" ht="18" customHeight="1" spans="1:51" x14ac:dyDescent="0.25">
      <c r="A342" s="14"/>
      <c r="B342" s="14"/>
      <c r="C342" s="14"/>
      <c r="D342" s="14"/>
      <c r="E342" s="14"/>
      <c r="F342" s="15"/>
      <c r="G342" s="15"/>
      <c r="H342" s="14" t="s">
        <v>71</v>
      </c>
      <c r="I342" s="16"/>
      <c r="J342" s="17"/>
      <c r="K342" s="14"/>
      <c r="L342" s="14"/>
      <c r="M342" s="14"/>
      <c r="N342" s="14"/>
      <c r="O342" s="15"/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1" t="s">
        <v>33</v>
      </c>
      <c r="V342" s="21" t="s">
        <v>33</v>
      </c>
      <c r="W342" s="21" t="s">
        <v>33</v>
      </c>
      <c r="X342" s="21" t="s">
        <v>33</v>
      </c>
      <c r="Y342" s="21" t="s">
        <v>33</v>
      </c>
      <c r="AL342">
        <f>COUNTIF(P342:T342,"&gt;0")</f>
      </c>
      <c r="AS342">
        <f>COUNTIF(P342,"&gt;0")</f>
      </c>
      <c r="AT342">
        <f>COUNTIF(Q342,"&gt;0")</f>
      </c>
      <c r="AU342">
        <f>COUNTIF(R342,"&gt;0")</f>
      </c>
      <c r="AV342">
        <f>COUNTIF(S342,"&gt;0")</f>
      </c>
      <c r="AW342">
        <f>COUNTIF(T342,"&gt;0")</f>
      </c>
      <c r="AX342" t="s">
        <v>422</v>
      </c>
      <c r="AY342" t="s">
        <v>439</v>
      </c>
    </row>
    <row r="343" ht="28" customHeight="1" spans="1:51" x14ac:dyDescent="0.25">
      <c r="A343" s="14"/>
      <c r="B343" s="14" t="s">
        <v>440</v>
      </c>
      <c r="C343" s="14" t="s">
        <v>441</v>
      </c>
      <c r="D343" s="14" t="s">
        <v>442</v>
      </c>
      <c r="E343" s="14" t="s">
        <v>118</v>
      </c>
      <c r="F343" s="15" t="s">
        <v>362</v>
      </c>
      <c r="G343" s="15" t="s">
        <v>363</v>
      </c>
      <c r="H343" s="14" t="s">
        <v>66</v>
      </c>
      <c r="I343" s="16">
        <v>2</v>
      </c>
      <c r="J343" s="17">
        <v>1</v>
      </c>
      <c r="K343" s="14" t="s">
        <v>67</v>
      </c>
      <c r="L343" s="14" t="s">
        <v>68</v>
      </c>
      <c r="M343" s="14"/>
      <c r="N343" s="14"/>
      <c r="O343" s="15"/>
      <c r="P343" s="18">
        <v>2</v>
      </c>
      <c r="Q343" s="19">
        <v>0</v>
      </c>
      <c r="R343" s="19">
        <v>0</v>
      </c>
      <c r="S343" s="19">
        <v>0</v>
      </c>
      <c r="T343" s="19">
        <v>0</v>
      </c>
      <c r="U343" s="14" t="s">
        <v>33</v>
      </c>
      <c r="V343" s="14" t="s">
        <v>33</v>
      </c>
      <c r="W343" s="14" t="s">
        <v>33</v>
      </c>
      <c r="X343" s="14" t="s">
        <v>33</v>
      </c>
      <c r="Y343" s="14" t="s">
        <v>33</v>
      </c>
      <c r="AM343">
        <f>COUNTIF(P343:T343,"&gt;0")</f>
      </c>
      <c r="AN343">
        <f>COUNTIF(P343,"&gt;0")</f>
      </c>
      <c r="AO343">
        <f>COUNTIF(Q343,"&gt;0")</f>
      </c>
      <c r="AP343">
        <f>COUNTIF(R343,"&gt;0")</f>
      </c>
      <c r="AQ343">
        <f>COUNTIF(S343,"&gt;0")</f>
      </c>
      <c r="AR343">
        <f>COUNTIF(T343,"&gt;0")</f>
      </c>
      <c r="AX343" t="s">
        <v>440</v>
      </c>
      <c r="AY343" t="s">
        <v>443</v>
      </c>
    </row>
    <row r="344" ht="18" customHeight="1" spans="1:51" x14ac:dyDescent="0.25">
      <c r="A344" s="14"/>
      <c r="B344" s="14"/>
      <c r="C344" s="14"/>
      <c r="D344" s="14"/>
      <c r="E344" s="14"/>
      <c r="F344" s="15"/>
      <c r="G344" s="15"/>
      <c r="H344" s="14" t="s">
        <v>71</v>
      </c>
      <c r="I344" s="16"/>
      <c r="J344" s="17"/>
      <c r="K344" s="14"/>
      <c r="L344" s="14"/>
      <c r="M344" s="14"/>
      <c r="N344" s="14"/>
      <c r="O344" s="15"/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1" t="s">
        <v>33</v>
      </c>
      <c r="V344" s="21" t="s">
        <v>33</v>
      </c>
      <c r="W344" s="21" t="s">
        <v>33</v>
      </c>
      <c r="X344" s="21" t="s">
        <v>33</v>
      </c>
      <c r="Y344" s="21" t="s">
        <v>33</v>
      </c>
      <c r="AL344">
        <f>COUNTIF(P344:T344,"&gt;0")</f>
      </c>
      <c r="AS344">
        <f>COUNTIF(P344,"&gt;0")</f>
      </c>
      <c r="AT344">
        <f>COUNTIF(Q344,"&gt;0")</f>
      </c>
      <c r="AU344">
        <f>COUNTIF(R344,"&gt;0")</f>
      </c>
      <c r="AV344">
        <f>COUNTIF(S344,"&gt;0")</f>
      </c>
      <c r="AW344">
        <f>COUNTIF(T344,"&gt;0")</f>
      </c>
      <c r="AX344" t="s">
        <v>440</v>
      </c>
      <c r="AY344" t="s">
        <v>443</v>
      </c>
    </row>
    <row r="345" ht="28" customHeight="1" spans="1:51" x14ac:dyDescent="0.25">
      <c r="A345" s="14"/>
      <c r="B345" s="14"/>
      <c r="C345" s="14"/>
      <c r="D345" s="14"/>
      <c r="E345" s="14"/>
      <c r="F345" s="15" t="s">
        <v>365</v>
      </c>
      <c r="G345" s="15" t="s">
        <v>366</v>
      </c>
      <c r="H345" s="14" t="s">
        <v>66</v>
      </c>
      <c r="I345" s="16">
        <v>2</v>
      </c>
      <c r="J345" s="17">
        <v>1</v>
      </c>
      <c r="K345" s="14" t="s">
        <v>67</v>
      </c>
      <c r="L345" s="14" t="s">
        <v>68</v>
      </c>
      <c r="M345" s="14"/>
      <c r="N345" s="14"/>
      <c r="O345" s="15"/>
      <c r="P345" s="19">
        <v>0</v>
      </c>
      <c r="Q345" s="18">
        <v>2</v>
      </c>
      <c r="R345" s="19">
        <v>0</v>
      </c>
      <c r="S345" s="19">
        <v>0</v>
      </c>
      <c r="T345" s="19">
        <v>0</v>
      </c>
      <c r="U345" s="14" t="s">
        <v>33</v>
      </c>
      <c r="V345" s="14" t="s">
        <v>33</v>
      </c>
      <c r="W345" s="14" t="s">
        <v>33</v>
      </c>
      <c r="X345" s="14" t="s">
        <v>33</v>
      </c>
      <c r="Y345" s="14" t="s">
        <v>33</v>
      </c>
      <c r="AM345">
        <f>COUNTIF(P345:T345,"&gt;0")</f>
      </c>
      <c r="AN345">
        <f>COUNTIF(P345,"&gt;0")</f>
      </c>
      <c r="AO345">
        <f>COUNTIF(Q345,"&gt;0")</f>
      </c>
      <c r="AP345">
        <f>COUNTIF(R345,"&gt;0")</f>
      </c>
      <c r="AQ345">
        <f>COUNTIF(S345,"&gt;0")</f>
      </c>
      <c r="AR345">
        <f>COUNTIF(T345,"&gt;0")</f>
      </c>
      <c r="AX345" t="s">
        <v>440</v>
      </c>
      <c r="AY345" t="s">
        <v>444</v>
      </c>
    </row>
    <row r="346" ht="18" customHeight="1" spans="1:51" x14ac:dyDescent="0.25">
      <c r="A346" s="14"/>
      <c r="B346" s="14"/>
      <c r="C346" s="14"/>
      <c r="D346" s="14"/>
      <c r="E346" s="14"/>
      <c r="F346" s="15"/>
      <c r="G346" s="15"/>
      <c r="H346" s="14" t="s">
        <v>71</v>
      </c>
      <c r="I346" s="16"/>
      <c r="J346" s="17"/>
      <c r="K346" s="14"/>
      <c r="L346" s="14"/>
      <c r="M346" s="14"/>
      <c r="N346" s="14"/>
      <c r="O346" s="15"/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1" t="s">
        <v>33</v>
      </c>
      <c r="V346" s="21" t="s">
        <v>33</v>
      </c>
      <c r="W346" s="21" t="s">
        <v>33</v>
      </c>
      <c r="X346" s="21" t="s">
        <v>33</v>
      </c>
      <c r="Y346" s="21" t="s">
        <v>33</v>
      </c>
      <c r="AL346">
        <f>COUNTIF(P346:T346,"&gt;0")</f>
      </c>
      <c r="AS346">
        <f>COUNTIF(P346,"&gt;0")</f>
      </c>
      <c r="AT346">
        <f>COUNTIF(Q346,"&gt;0")</f>
      </c>
      <c r="AU346">
        <f>COUNTIF(R346,"&gt;0")</f>
      </c>
      <c r="AV346">
        <f>COUNTIF(S346,"&gt;0")</f>
      </c>
      <c r="AW346">
        <f>COUNTIF(T346,"&gt;0")</f>
      </c>
      <c r="AX346" t="s">
        <v>440</v>
      </c>
      <c r="AY346" t="s">
        <v>444</v>
      </c>
    </row>
    <row r="347" ht="28" customHeight="1" spans="1:51" x14ac:dyDescent="0.25">
      <c r="A347" s="14"/>
      <c r="B347" s="14"/>
      <c r="C347" s="14"/>
      <c r="D347" s="14"/>
      <c r="E347" s="14"/>
      <c r="F347" s="15" t="s">
        <v>365</v>
      </c>
      <c r="G347" s="15" t="s">
        <v>368</v>
      </c>
      <c r="H347" s="14" t="s">
        <v>66</v>
      </c>
      <c r="I347" s="16">
        <v>2</v>
      </c>
      <c r="J347" s="17">
        <v>1</v>
      </c>
      <c r="K347" s="14" t="s">
        <v>67</v>
      </c>
      <c r="L347" s="14" t="s">
        <v>68</v>
      </c>
      <c r="M347" s="14"/>
      <c r="N347" s="14"/>
      <c r="O347" s="15"/>
      <c r="P347" s="19">
        <v>0</v>
      </c>
      <c r="Q347" s="19">
        <v>0</v>
      </c>
      <c r="R347" s="18">
        <v>2</v>
      </c>
      <c r="S347" s="19">
        <v>0</v>
      </c>
      <c r="T347" s="19">
        <v>0</v>
      </c>
      <c r="U347" s="14" t="s">
        <v>33</v>
      </c>
      <c r="V347" s="14" t="s">
        <v>33</v>
      </c>
      <c r="W347" s="14" t="s">
        <v>33</v>
      </c>
      <c r="X347" s="14" t="s">
        <v>33</v>
      </c>
      <c r="Y347" s="14" t="s">
        <v>33</v>
      </c>
      <c r="AM347">
        <f>COUNTIF(P347:T347,"&gt;0")</f>
      </c>
      <c r="AN347">
        <f>COUNTIF(P347,"&gt;0")</f>
      </c>
      <c r="AO347">
        <f>COUNTIF(Q347,"&gt;0")</f>
      </c>
      <c r="AP347">
        <f>COUNTIF(R347,"&gt;0")</f>
      </c>
      <c r="AQ347">
        <f>COUNTIF(S347,"&gt;0")</f>
      </c>
      <c r="AR347">
        <f>COUNTIF(T347,"&gt;0")</f>
      </c>
      <c r="AX347" t="s">
        <v>440</v>
      </c>
      <c r="AY347" t="s">
        <v>445</v>
      </c>
    </row>
    <row r="348" ht="18" customHeight="1" spans="1:51" x14ac:dyDescent="0.25">
      <c r="A348" s="14"/>
      <c r="B348" s="14"/>
      <c r="C348" s="14"/>
      <c r="D348" s="14"/>
      <c r="E348" s="14"/>
      <c r="F348" s="15"/>
      <c r="G348" s="15"/>
      <c r="H348" s="14" t="s">
        <v>71</v>
      </c>
      <c r="I348" s="16"/>
      <c r="J348" s="17"/>
      <c r="K348" s="14"/>
      <c r="L348" s="14"/>
      <c r="M348" s="14"/>
      <c r="N348" s="14"/>
      <c r="O348" s="15"/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1" t="s">
        <v>33</v>
      </c>
      <c r="V348" s="21" t="s">
        <v>33</v>
      </c>
      <c r="W348" s="21" t="s">
        <v>33</v>
      </c>
      <c r="X348" s="21" t="s">
        <v>33</v>
      </c>
      <c r="Y348" s="21" t="s">
        <v>33</v>
      </c>
      <c r="AL348">
        <f>COUNTIF(P348:T348,"&gt;0")</f>
      </c>
      <c r="AS348">
        <f>COUNTIF(P348,"&gt;0")</f>
      </c>
      <c r="AT348">
        <f>COUNTIF(Q348,"&gt;0")</f>
      </c>
      <c r="AU348">
        <f>COUNTIF(R348,"&gt;0")</f>
      </c>
      <c r="AV348">
        <f>COUNTIF(S348,"&gt;0")</f>
      </c>
      <c r="AW348">
        <f>COUNTIF(T348,"&gt;0")</f>
      </c>
      <c r="AX348" t="s">
        <v>440</v>
      </c>
      <c r="AY348" t="s">
        <v>445</v>
      </c>
    </row>
    <row r="349" ht="28" customHeight="1" spans="1:51" x14ac:dyDescent="0.25">
      <c r="A349" s="14"/>
      <c r="B349" s="14"/>
      <c r="C349" s="14"/>
      <c r="D349" s="14"/>
      <c r="E349" s="14"/>
      <c r="F349" s="15" t="s">
        <v>370</v>
      </c>
      <c r="G349" s="15" t="s">
        <v>371</v>
      </c>
      <c r="H349" s="14" t="s">
        <v>66</v>
      </c>
      <c r="I349" s="16">
        <v>2</v>
      </c>
      <c r="J349" s="17">
        <v>1</v>
      </c>
      <c r="K349" s="14" t="s">
        <v>67</v>
      </c>
      <c r="L349" s="14" t="s">
        <v>68</v>
      </c>
      <c r="M349" s="14"/>
      <c r="N349" s="14"/>
      <c r="O349" s="15"/>
      <c r="P349" s="19">
        <v>0</v>
      </c>
      <c r="Q349" s="19">
        <v>0</v>
      </c>
      <c r="R349" s="19">
        <v>0</v>
      </c>
      <c r="S349" s="18">
        <v>2</v>
      </c>
      <c r="T349" s="19">
        <v>0</v>
      </c>
      <c r="U349" s="14" t="s">
        <v>33</v>
      </c>
      <c r="V349" s="14" t="s">
        <v>33</v>
      </c>
      <c r="W349" s="14" t="s">
        <v>33</v>
      </c>
      <c r="X349" s="14" t="s">
        <v>33</v>
      </c>
      <c r="Y349" s="14" t="s">
        <v>33</v>
      </c>
      <c r="AM349">
        <f>COUNTIF(P349:T349,"&gt;0")</f>
      </c>
      <c r="AN349">
        <f>COUNTIF(P349,"&gt;0")</f>
      </c>
      <c r="AO349">
        <f>COUNTIF(Q349,"&gt;0")</f>
      </c>
      <c r="AP349">
        <f>COUNTIF(R349,"&gt;0")</f>
      </c>
      <c r="AQ349">
        <f>COUNTIF(S349,"&gt;0")</f>
      </c>
      <c r="AR349">
        <f>COUNTIF(T349,"&gt;0")</f>
      </c>
      <c r="AX349" t="s">
        <v>440</v>
      </c>
      <c r="AY349" t="s">
        <v>446</v>
      </c>
    </row>
    <row r="350" ht="18" customHeight="1" spans="1:51" x14ac:dyDescent="0.25">
      <c r="A350" s="14"/>
      <c r="B350" s="14"/>
      <c r="C350" s="14"/>
      <c r="D350" s="14"/>
      <c r="E350" s="14"/>
      <c r="F350" s="15"/>
      <c r="G350" s="15"/>
      <c r="H350" s="14" t="s">
        <v>71</v>
      </c>
      <c r="I350" s="16"/>
      <c r="J350" s="17"/>
      <c r="K350" s="14"/>
      <c r="L350" s="14"/>
      <c r="M350" s="14"/>
      <c r="N350" s="14"/>
      <c r="O350" s="15"/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1" t="s">
        <v>33</v>
      </c>
      <c r="V350" s="21" t="s">
        <v>33</v>
      </c>
      <c r="W350" s="21" t="s">
        <v>33</v>
      </c>
      <c r="X350" s="21" t="s">
        <v>33</v>
      </c>
      <c r="Y350" s="21" t="s">
        <v>33</v>
      </c>
      <c r="AL350">
        <f>COUNTIF(P350:T350,"&gt;0")</f>
      </c>
      <c r="AS350">
        <f>COUNTIF(P350,"&gt;0")</f>
      </c>
      <c r="AT350">
        <f>COUNTIF(Q350,"&gt;0")</f>
      </c>
      <c r="AU350">
        <f>COUNTIF(R350,"&gt;0")</f>
      </c>
      <c r="AV350">
        <f>COUNTIF(S350,"&gt;0")</f>
      </c>
      <c r="AW350">
        <f>COUNTIF(T350,"&gt;0")</f>
      </c>
      <c r="AX350" t="s">
        <v>440</v>
      </c>
      <c r="AY350" t="s">
        <v>446</v>
      </c>
    </row>
    <row r="351" ht="28" customHeight="1" spans="1:51" x14ac:dyDescent="0.25">
      <c r="A351" s="14"/>
      <c r="B351" s="14"/>
      <c r="C351" s="14"/>
      <c r="D351" s="14"/>
      <c r="E351" s="14"/>
      <c r="F351" s="15" t="s">
        <v>373</v>
      </c>
      <c r="G351" s="15" t="s">
        <v>374</v>
      </c>
      <c r="H351" s="14" t="s">
        <v>66</v>
      </c>
      <c r="I351" s="16">
        <v>2</v>
      </c>
      <c r="J351" s="17">
        <v>1</v>
      </c>
      <c r="K351" s="14" t="s">
        <v>67</v>
      </c>
      <c r="L351" s="14" t="s">
        <v>68</v>
      </c>
      <c r="M351" s="14"/>
      <c r="N351" s="14"/>
      <c r="O351" s="15"/>
      <c r="P351" s="18">
        <v>2</v>
      </c>
      <c r="Q351" s="19">
        <v>0</v>
      </c>
      <c r="R351" s="19">
        <v>0</v>
      </c>
      <c r="S351" s="19">
        <v>0</v>
      </c>
      <c r="T351" s="19">
        <v>0</v>
      </c>
      <c r="U351" s="14" t="s">
        <v>33</v>
      </c>
      <c r="V351" s="14" t="s">
        <v>33</v>
      </c>
      <c r="W351" s="14" t="s">
        <v>33</v>
      </c>
      <c r="X351" s="14" t="s">
        <v>33</v>
      </c>
      <c r="Y351" s="14" t="s">
        <v>33</v>
      </c>
      <c r="AM351">
        <f>COUNTIF(P351:T351,"&gt;0")</f>
      </c>
      <c r="AN351">
        <f>COUNTIF(P351,"&gt;0")</f>
      </c>
      <c r="AO351">
        <f>COUNTIF(Q351,"&gt;0")</f>
      </c>
      <c r="AP351">
        <f>COUNTIF(R351,"&gt;0")</f>
      </c>
      <c r="AQ351">
        <f>COUNTIF(S351,"&gt;0")</f>
      </c>
      <c r="AR351">
        <f>COUNTIF(T351,"&gt;0")</f>
      </c>
      <c r="AX351" t="s">
        <v>440</v>
      </c>
      <c r="AY351" t="s">
        <v>447</v>
      </c>
    </row>
    <row r="352" ht="18" customHeight="1" spans="1:51" x14ac:dyDescent="0.25">
      <c r="A352" s="14"/>
      <c r="B352" s="14"/>
      <c r="C352" s="14"/>
      <c r="D352" s="14"/>
      <c r="E352" s="14"/>
      <c r="F352" s="15"/>
      <c r="G352" s="15"/>
      <c r="H352" s="14" t="s">
        <v>71</v>
      </c>
      <c r="I352" s="16"/>
      <c r="J352" s="17"/>
      <c r="K352" s="14"/>
      <c r="L352" s="14"/>
      <c r="M352" s="14"/>
      <c r="N352" s="14"/>
      <c r="O352" s="15"/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1" t="s">
        <v>33</v>
      </c>
      <c r="V352" s="21" t="s">
        <v>33</v>
      </c>
      <c r="W352" s="21" t="s">
        <v>33</v>
      </c>
      <c r="X352" s="21" t="s">
        <v>33</v>
      </c>
      <c r="Y352" s="21" t="s">
        <v>33</v>
      </c>
      <c r="AL352">
        <f>COUNTIF(P352:T352,"&gt;0")</f>
      </c>
      <c r="AS352">
        <f>COUNTIF(P352,"&gt;0")</f>
      </c>
      <c r="AT352">
        <f>COUNTIF(Q352,"&gt;0")</f>
      </c>
      <c r="AU352">
        <f>COUNTIF(R352,"&gt;0")</f>
      </c>
      <c r="AV352">
        <f>COUNTIF(S352,"&gt;0")</f>
      </c>
      <c r="AW352">
        <f>COUNTIF(T352,"&gt;0")</f>
      </c>
      <c r="AX352" t="s">
        <v>440</v>
      </c>
      <c r="AY352" t="s">
        <v>447</v>
      </c>
    </row>
    <row r="353" ht="28" customHeight="1" spans="1:51" x14ac:dyDescent="0.25">
      <c r="A353" s="14"/>
      <c r="B353" s="14"/>
      <c r="C353" s="14"/>
      <c r="D353" s="14"/>
      <c r="E353" s="14"/>
      <c r="F353" s="15" t="s">
        <v>376</v>
      </c>
      <c r="G353" s="15" t="s">
        <v>377</v>
      </c>
      <c r="H353" s="14" t="s">
        <v>66</v>
      </c>
      <c r="I353" s="16">
        <v>2</v>
      </c>
      <c r="J353" s="17">
        <v>1</v>
      </c>
      <c r="K353" s="14" t="s">
        <v>67</v>
      </c>
      <c r="L353" s="14" t="s">
        <v>68</v>
      </c>
      <c r="M353" s="14"/>
      <c r="N353" s="14"/>
      <c r="O353" s="15"/>
      <c r="P353" s="19">
        <v>0</v>
      </c>
      <c r="Q353" s="18">
        <v>2</v>
      </c>
      <c r="R353" s="19">
        <v>0</v>
      </c>
      <c r="S353" s="19">
        <v>0</v>
      </c>
      <c r="T353" s="19">
        <v>0</v>
      </c>
      <c r="U353" s="14" t="s">
        <v>33</v>
      </c>
      <c r="V353" s="14" t="s">
        <v>33</v>
      </c>
      <c r="W353" s="14" t="s">
        <v>33</v>
      </c>
      <c r="X353" s="14" t="s">
        <v>33</v>
      </c>
      <c r="Y353" s="14" t="s">
        <v>33</v>
      </c>
      <c r="AM353">
        <f>COUNTIF(P353:T353,"&gt;0")</f>
      </c>
      <c r="AN353">
        <f>COUNTIF(P353,"&gt;0")</f>
      </c>
      <c r="AO353">
        <f>COUNTIF(Q353,"&gt;0")</f>
      </c>
      <c r="AP353">
        <f>COUNTIF(R353,"&gt;0")</f>
      </c>
      <c r="AQ353">
        <f>COUNTIF(S353,"&gt;0")</f>
      </c>
      <c r="AR353">
        <f>COUNTIF(T353,"&gt;0")</f>
      </c>
      <c r="AX353" t="s">
        <v>440</v>
      </c>
      <c r="AY353" t="s">
        <v>448</v>
      </c>
    </row>
    <row r="354" ht="18" customHeight="1" spans="1:51" x14ac:dyDescent="0.25">
      <c r="A354" s="14"/>
      <c r="B354" s="14"/>
      <c r="C354" s="14"/>
      <c r="D354" s="14"/>
      <c r="E354" s="14"/>
      <c r="F354" s="15"/>
      <c r="G354" s="15"/>
      <c r="H354" s="14" t="s">
        <v>71</v>
      </c>
      <c r="I354" s="16"/>
      <c r="J354" s="17"/>
      <c r="K354" s="14"/>
      <c r="L354" s="14"/>
      <c r="M354" s="14"/>
      <c r="N354" s="14"/>
      <c r="O354" s="15"/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1" t="s">
        <v>33</v>
      </c>
      <c r="V354" s="21" t="s">
        <v>33</v>
      </c>
      <c r="W354" s="21" t="s">
        <v>33</v>
      </c>
      <c r="X354" s="21" t="s">
        <v>33</v>
      </c>
      <c r="Y354" s="21" t="s">
        <v>33</v>
      </c>
      <c r="AL354">
        <f>COUNTIF(P354:T354,"&gt;0")</f>
      </c>
      <c r="AS354">
        <f>COUNTIF(P354,"&gt;0")</f>
      </c>
      <c r="AT354">
        <f>COUNTIF(Q354,"&gt;0")</f>
      </c>
      <c r="AU354">
        <f>COUNTIF(R354,"&gt;0")</f>
      </c>
      <c r="AV354">
        <f>COUNTIF(S354,"&gt;0")</f>
      </c>
      <c r="AW354">
        <f>COUNTIF(T354,"&gt;0")</f>
      </c>
      <c r="AX354" t="s">
        <v>440</v>
      </c>
      <c r="AY354" t="s">
        <v>448</v>
      </c>
    </row>
    <row r="355" ht="28" customHeight="1" spans="1:51" x14ac:dyDescent="0.25">
      <c r="A355" s="14"/>
      <c r="B355" s="14"/>
      <c r="C355" s="14"/>
      <c r="D355" s="14"/>
      <c r="E355" s="14"/>
      <c r="F355" s="15" t="s">
        <v>379</v>
      </c>
      <c r="G355" s="15" t="s">
        <v>380</v>
      </c>
      <c r="H355" s="14" t="s">
        <v>66</v>
      </c>
      <c r="I355" s="16">
        <v>2</v>
      </c>
      <c r="J355" s="17">
        <v>1</v>
      </c>
      <c r="K355" s="14" t="s">
        <v>67</v>
      </c>
      <c r="L355" s="14" t="s">
        <v>68</v>
      </c>
      <c r="M355" s="14"/>
      <c r="N355" s="14"/>
      <c r="O355" s="15"/>
      <c r="P355" s="19">
        <v>0</v>
      </c>
      <c r="Q355" s="19">
        <v>0</v>
      </c>
      <c r="R355" s="18">
        <v>2</v>
      </c>
      <c r="S355" s="19">
        <v>0</v>
      </c>
      <c r="T355" s="19">
        <v>0</v>
      </c>
      <c r="U355" s="14" t="s">
        <v>33</v>
      </c>
      <c r="V355" s="14" t="s">
        <v>33</v>
      </c>
      <c r="W355" s="14" t="s">
        <v>33</v>
      </c>
      <c r="X355" s="14" t="s">
        <v>33</v>
      </c>
      <c r="Y355" s="14" t="s">
        <v>33</v>
      </c>
      <c r="AM355">
        <f>COUNTIF(P355:T355,"&gt;0")</f>
      </c>
      <c r="AN355">
        <f>COUNTIF(P355,"&gt;0")</f>
      </c>
      <c r="AO355">
        <f>COUNTIF(Q355,"&gt;0")</f>
      </c>
      <c r="AP355">
        <f>COUNTIF(R355,"&gt;0")</f>
      </c>
      <c r="AQ355">
        <f>COUNTIF(S355,"&gt;0")</f>
      </c>
      <c r="AR355">
        <f>COUNTIF(T355,"&gt;0")</f>
      </c>
      <c r="AX355" t="s">
        <v>440</v>
      </c>
      <c r="AY355" t="s">
        <v>449</v>
      </c>
    </row>
    <row r="356" ht="18" customHeight="1" spans="1:51" x14ac:dyDescent="0.25">
      <c r="A356" s="14"/>
      <c r="B356" s="14"/>
      <c r="C356" s="14"/>
      <c r="D356" s="14"/>
      <c r="E356" s="14"/>
      <c r="F356" s="15"/>
      <c r="G356" s="15"/>
      <c r="H356" s="14" t="s">
        <v>71</v>
      </c>
      <c r="I356" s="16"/>
      <c r="J356" s="17"/>
      <c r="K356" s="14"/>
      <c r="L356" s="14"/>
      <c r="M356" s="14"/>
      <c r="N356" s="14"/>
      <c r="O356" s="15"/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1" t="s">
        <v>33</v>
      </c>
      <c r="V356" s="21" t="s">
        <v>33</v>
      </c>
      <c r="W356" s="21" t="s">
        <v>33</v>
      </c>
      <c r="X356" s="21" t="s">
        <v>33</v>
      </c>
      <c r="Y356" s="21" t="s">
        <v>33</v>
      </c>
      <c r="AL356">
        <f>COUNTIF(P356:T356,"&gt;0")</f>
      </c>
      <c r="AS356">
        <f>COUNTIF(P356,"&gt;0")</f>
      </c>
      <c r="AT356">
        <f>COUNTIF(Q356,"&gt;0")</f>
      </c>
      <c r="AU356">
        <f>COUNTIF(R356,"&gt;0")</f>
      </c>
      <c r="AV356">
        <f>COUNTIF(S356,"&gt;0")</f>
      </c>
      <c r="AW356">
        <f>COUNTIF(T356,"&gt;0")</f>
      </c>
      <c r="AX356" t="s">
        <v>440</v>
      </c>
      <c r="AY356" t="s">
        <v>449</v>
      </c>
    </row>
    <row r="357" ht="28" customHeight="1" spans="1:51" x14ac:dyDescent="0.25">
      <c r="A357" s="14"/>
      <c r="B357" s="14"/>
      <c r="C357" s="14"/>
      <c r="D357" s="14"/>
      <c r="E357" s="14"/>
      <c r="F357" s="15" t="s">
        <v>382</v>
      </c>
      <c r="G357" s="15" t="s">
        <v>383</v>
      </c>
      <c r="H357" s="14" t="s">
        <v>66</v>
      </c>
      <c r="I357" s="16">
        <v>3</v>
      </c>
      <c r="J357" s="17">
        <v>3</v>
      </c>
      <c r="K357" s="14" t="s">
        <v>157</v>
      </c>
      <c r="L357" s="14" t="s">
        <v>68</v>
      </c>
      <c r="M357" s="14"/>
      <c r="N357" s="14"/>
      <c r="O357" s="15"/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4" t="s">
        <v>33</v>
      </c>
      <c r="V357" s="14" t="s">
        <v>33</v>
      </c>
      <c r="W357" s="14" t="s">
        <v>33</v>
      </c>
      <c r="X357" s="14" t="s">
        <v>33</v>
      </c>
      <c r="Y357" s="14" t="s">
        <v>33</v>
      </c>
      <c r="AM357">
        <f>COUNTIF(P357:T357,"&gt;0")</f>
      </c>
      <c r="AN357">
        <f>COUNTIF(P357,"&gt;0")</f>
      </c>
      <c r="AO357">
        <f>COUNTIF(Q357,"&gt;0")</f>
      </c>
      <c r="AP357">
        <f>COUNTIF(R357,"&gt;0")</f>
      </c>
      <c r="AQ357">
        <f>COUNTIF(S357,"&gt;0")</f>
      </c>
      <c r="AR357">
        <f>COUNTIF(T357,"&gt;0")</f>
      </c>
      <c r="AX357" t="s">
        <v>440</v>
      </c>
      <c r="AY357" t="s">
        <v>450</v>
      </c>
    </row>
    <row r="358" ht="18" customHeight="1" spans="1:51" x14ac:dyDescent="0.25">
      <c r="A358" s="14"/>
      <c r="B358" s="14"/>
      <c r="C358" s="14"/>
      <c r="D358" s="14"/>
      <c r="E358" s="14"/>
      <c r="F358" s="15"/>
      <c r="G358" s="15"/>
      <c r="H358" s="14" t="s">
        <v>71</v>
      </c>
      <c r="I358" s="16"/>
      <c r="J358" s="17"/>
      <c r="K358" s="14"/>
      <c r="L358" s="14"/>
      <c r="M358" s="14"/>
      <c r="N358" s="14"/>
      <c r="O358" s="15"/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1" t="s">
        <v>33</v>
      </c>
      <c r="V358" s="21" t="s">
        <v>33</v>
      </c>
      <c r="W358" s="21" t="s">
        <v>33</v>
      </c>
      <c r="X358" s="21" t="s">
        <v>33</v>
      </c>
      <c r="Y358" s="21" t="s">
        <v>33</v>
      </c>
      <c r="AL358">
        <f>COUNTIF(P358:T358,"&gt;0")</f>
      </c>
      <c r="AS358">
        <f>COUNTIF(P358,"&gt;0")</f>
      </c>
      <c r="AT358">
        <f>COUNTIF(Q358,"&gt;0")</f>
      </c>
      <c r="AU358">
        <f>COUNTIF(R358,"&gt;0")</f>
      </c>
      <c r="AV358">
        <f>COUNTIF(S358,"&gt;0")</f>
      </c>
      <c r="AW358">
        <f>COUNTIF(T358,"&gt;0")</f>
      </c>
      <c r="AX358" t="s">
        <v>440</v>
      </c>
      <c r="AY358" t="s">
        <v>450</v>
      </c>
    </row>
    <row r="359" ht="28" customHeight="1" spans="1:51" x14ac:dyDescent="0.25">
      <c r="A359" s="14"/>
      <c r="B359" s="14"/>
      <c r="C359" s="14"/>
      <c r="D359" s="14"/>
      <c r="E359" s="14"/>
      <c r="F359" s="15" t="s">
        <v>385</v>
      </c>
      <c r="G359" s="15" t="s">
        <v>386</v>
      </c>
      <c r="H359" s="14" t="s">
        <v>66</v>
      </c>
      <c r="I359" s="16">
        <v>3</v>
      </c>
      <c r="J359" s="17">
        <v>3</v>
      </c>
      <c r="K359" s="14" t="s">
        <v>157</v>
      </c>
      <c r="L359" s="14" t="s">
        <v>68</v>
      </c>
      <c r="M359" s="14"/>
      <c r="N359" s="14"/>
      <c r="O359" s="15"/>
      <c r="P359" s="19">
        <v>0</v>
      </c>
      <c r="Q359" s="23">
        <v>3</v>
      </c>
      <c r="R359" s="19">
        <v>0</v>
      </c>
      <c r="S359" s="19">
        <v>0</v>
      </c>
      <c r="T359" s="19">
        <v>0</v>
      </c>
      <c r="U359" s="14" t="s">
        <v>33</v>
      </c>
      <c r="V359" s="14" t="s">
        <v>33</v>
      </c>
      <c r="W359" s="14" t="s">
        <v>33</v>
      </c>
      <c r="X359" s="14" t="s">
        <v>33</v>
      </c>
      <c r="Y359" s="14" t="s">
        <v>33</v>
      </c>
      <c r="AM359">
        <f>COUNTIF(P359:T359,"&gt;0")</f>
      </c>
      <c r="AN359">
        <f>COUNTIF(P359,"&gt;0")</f>
      </c>
      <c r="AO359">
        <f>COUNTIF(Q359,"&gt;0")</f>
      </c>
      <c r="AP359">
        <f>COUNTIF(R359,"&gt;0")</f>
      </c>
      <c r="AQ359">
        <f>COUNTIF(S359,"&gt;0")</f>
      </c>
      <c r="AR359">
        <f>COUNTIF(T359,"&gt;0")</f>
      </c>
      <c r="AX359" t="s">
        <v>440</v>
      </c>
      <c r="AY359" t="s">
        <v>451</v>
      </c>
    </row>
    <row r="360" ht="18" customHeight="1" spans="1:51" x14ac:dyDescent="0.25">
      <c r="A360" s="14"/>
      <c r="B360" s="14"/>
      <c r="C360" s="14"/>
      <c r="D360" s="14"/>
      <c r="E360" s="14"/>
      <c r="F360" s="15"/>
      <c r="G360" s="15"/>
      <c r="H360" s="14" t="s">
        <v>71</v>
      </c>
      <c r="I360" s="16"/>
      <c r="J360" s="17"/>
      <c r="K360" s="14"/>
      <c r="L360" s="14"/>
      <c r="M360" s="14"/>
      <c r="N360" s="14"/>
      <c r="O360" s="15"/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1" t="s">
        <v>33</v>
      </c>
      <c r="V360" s="21" t="s">
        <v>33</v>
      </c>
      <c r="W360" s="21" t="s">
        <v>33</v>
      </c>
      <c r="X360" s="21" t="s">
        <v>33</v>
      </c>
      <c r="Y360" s="21" t="s">
        <v>33</v>
      </c>
      <c r="AL360">
        <f>COUNTIF(P360:T360,"&gt;0")</f>
      </c>
      <c r="AS360">
        <f>COUNTIF(P360,"&gt;0")</f>
      </c>
      <c r="AT360">
        <f>COUNTIF(Q360,"&gt;0")</f>
      </c>
      <c r="AU360">
        <f>COUNTIF(R360,"&gt;0")</f>
      </c>
      <c r="AV360">
        <f>COUNTIF(S360,"&gt;0")</f>
      </c>
      <c r="AW360">
        <f>COUNTIF(T360,"&gt;0")</f>
      </c>
      <c r="AX360" t="s">
        <v>440</v>
      </c>
      <c r="AY360" t="s">
        <v>451</v>
      </c>
    </row>
    <row r="361" ht="28" customHeight="1" spans="1:51" x14ac:dyDescent="0.25">
      <c r="A361" s="14"/>
      <c r="B361" s="14"/>
      <c r="C361" s="14"/>
      <c r="D361" s="14"/>
      <c r="E361" s="14"/>
      <c r="F361" s="15" t="s">
        <v>385</v>
      </c>
      <c r="G361" s="15" t="s">
        <v>388</v>
      </c>
      <c r="H361" s="14" t="s">
        <v>66</v>
      </c>
      <c r="I361" s="16">
        <v>3</v>
      </c>
      <c r="J361" s="17">
        <v>3</v>
      </c>
      <c r="K361" s="14" t="s">
        <v>157</v>
      </c>
      <c r="L361" s="14" t="s">
        <v>68</v>
      </c>
      <c r="M361" s="14"/>
      <c r="N361" s="14"/>
      <c r="O361" s="15"/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4" t="s">
        <v>33</v>
      </c>
      <c r="V361" s="14" t="s">
        <v>33</v>
      </c>
      <c r="W361" s="14" t="s">
        <v>33</v>
      </c>
      <c r="X361" s="14" t="s">
        <v>33</v>
      </c>
      <c r="Y361" s="14" t="s">
        <v>33</v>
      </c>
      <c r="AM361">
        <f>COUNTIF(P361:T361,"&gt;0")</f>
      </c>
      <c r="AN361">
        <f>COUNTIF(P361,"&gt;0")</f>
      </c>
      <c r="AO361">
        <f>COUNTIF(Q361,"&gt;0")</f>
      </c>
      <c r="AP361">
        <f>COUNTIF(R361,"&gt;0")</f>
      </c>
      <c r="AQ361">
        <f>COUNTIF(S361,"&gt;0")</f>
      </c>
      <c r="AR361">
        <f>COUNTIF(T361,"&gt;0")</f>
      </c>
      <c r="AX361" t="s">
        <v>440</v>
      </c>
      <c r="AY361" t="s">
        <v>452</v>
      </c>
    </row>
    <row r="362" ht="18" customHeight="1" spans="1:51" x14ac:dyDescent="0.25">
      <c r="A362" s="14"/>
      <c r="B362" s="14"/>
      <c r="C362" s="14"/>
      <c r="D362" s="14"/>
      <c r="E362" s="14"/>
      <c r="F362" s="15"/>
      <c r="G362" s="15"/>
      <c r="H362" s="14" t="s">
        <v>71</v>
      </c>
      <c r="I362" s="16"/>
      <c r="J362" s="17"/>
      <c r="K362" s="14"/>
      <c r="L362" s="14"/>
      <c r="M362" s="14"/>
      <c r="N362" s="14"/>
      <c r="O362" s="15"/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1" t="s">
        <v>33</v>
      </c>
      <c r="V362" s="21" t="s">
        <v>33</v>
      </c>
      <c r="W362" s="21" t="s">
        <v>33</v>
      </c>
      <c r="X362" s="21" t="s">
        <v>33</v>
      </c>
      <c r="Y362" s="21" t="s">
        <v>33</v>
      </c>
      <c r="AL362">
        <f>COUNTIF(P362:T362,"&gt;0")</f>
      </c>
      <c r="AS362">
        <f>COUNTIF(P362,"&gt;0")</f>
      </c>
      <c r="AT362">
        <f>COUNTIF(Q362,"&gt;0")</f>
      </c>
      <c r="AU362">
        <f>COUNTIF(R362,"&gt;0")</f>
      </c>
      <c r="AV362">
        <f>COUNTIF(S362,"&gt;0")</f>
      </c>
      <c r="AW362">
        <f>COUNTIF(T362,"&gt;0")</f>
      </c>
      <c r="AX362" t="s">
        <v>440</v>
      </c>
      <c r="AY362" t="s">
        <v>452</v>
      </c>
    </row>
    <row r="363" ht="28" customHeight="1" spans="1:51" x14ac:dyDescent="0.25">
      <c r="A363" s="14"/>
      <c r="B363" s="14"/>
      <c r="C363" s="14"/>
      <c r="D363" s="14"/>
      <c r="E363" s="14"/>
      <c r="F363" s="15" t="s">
        <v>328</v>
      </c>
      <c r="G363" s="15" t="s">
        <v>390</v>
      </c>
      <c r="H363" s="14" t="s">
        <v>66</v>
      </c>
      <c r="I363" s="16">
        <v>3</v>
      </c>
      <c r="J363" s="17">
        <v>3</v>
      </c>
      <c r="K363" s="14" t="s">
        <v>157</v>
      </c>
      <c r="L363" s="14" t="s">
        <v>68</v>
      </c>
      <c r="M363" s="14"/>
      <c r="N363" s="14"/>
      <c r="O363" s="15"/>
      <c r="P363" s="19">
        <v>0</v>
      </c>
      <c r="Q363" s="19">
        <v>0</v>
      </c>
      <c r="R363" s="19">
        <v>0</v>
      </c>
      <c r="S363" s="19">
        <v>0</v>
      </c>
      <c r="T363" s="19">
        <v>0</v>
      </c>
      <c r="U363" s="14" t="s">
        <v>33</v>
      </c>
      <c r="V363" s="14" t="s">
        <v>33</v>
      </c>
      <c r="W363" s="14" t="s">
        <v>33</v>
      </c>
      <c r="X363" s="14" t="s">
        <v>33</v>
      </c>
      <c r="Y363" s="14" t="s">
        <v>33</v>
      </c>
      <c r="AM363">
        <f>COUNTIF(P363:T363,"&gt;0")</f>
      </c>
      <c r="AN363">
        <f>COUNTIF(P363,"&gt;0")</f>
      </c>
      <c r="AO363">
        <f>COUNTIF(Q363,"&gt;0")</f>
      </c>
      <c r="AP363">
        <f>COUNTIF(R363,"&gt;0")</f>
      </c>
      <c r="AQ363">
        <f>COUNTIF(S363,"&gt;0")</f>
      </c>
      <c r="AR363">
        <f>COUNTIF(T363,"&gt;0")</f>
      </c>
      <c r="AX363" t="s">
        <v>440</v>
      </c>
      <c r="AY363" t="s">
        <v>453</v>
      </c>
    </row>
    <row r="364" ht="18" customHeight="1" spans="1:51" x14ac:dyDescent="0.25">
      <c r="A364" s="14"/>
      <c r="B364" s="14"/>
      <c r="C364" s="14"/>
      <c r="D364" s="14"/>
      <c r="E364" s="14"/>
      <c r="F364" s="15"/>
      <c r="G364" s="15"/>
      <c r="H364" s="14" t="s">
        <v>71</v>
      </c>
      <c r="I364" s="16"/>
      <c r="J364" s="17"/>
      <c r="K364" s="14"/>
      <c r="L364" s="14"/>
      <c r="M364" s="14"/>
      <c r="N364" s="14"/>
      <c r="O364" s="15"/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1" t="s">
        <v>33</v>
      </c>
      <c r="V364" s="21" t="s">
        <v>33</v>
      </c>
      <c r="W364" s="21" t="s">
        <v>33</v>
      </c>
      <c r="X364" s="21" t="s">
        <v>33</v>
      </c>
      <c r="Y364" s="21" t="s">
        <v>33</v>
      </c>
      <c r="AL364">
        <f>COUNTIF(P364:T364,"&gt;0")</f>
      </c>
      <c r="AS364">
        <f>COUNTIF(P364,"&gt;0")</f>
      </c>
      <c r="AT364">
        <f>COUNTIF(Q364,"&gt;0")</f>
      </c>
      <c r="AU364">
        <f>COUNTIF(R364,"&gt;0")</f>
      </c>
      <c r="AV364">
        <f>COUNTIF(S364,"&gt;0")</f>
      </c>
      <c r="AW364">
        <f>COUNTIF(T364,"&gt;0")</f>
      </c>
      <c r="AX364" t="s">
        <v>440</v>
      </c>
      <c r="AY364" t="s">
        <v>453</v>
      </c>
    </row>
    <row r="365" ht="28" customHeight="1" spans="1:51" x14ac:dyDescent="0.25">
      <c r="A365" s="14"/>
      <c r="B365" s="14"/>
      <c r="C365" s="14"/>
      <c r="D365" s="14"/>
      <c r="E365" s="14"/>
      <c r="F365" s="15" t="s">
        <v>392</v>
      </c>
      <c r="G365" s="15" t="s">
        <v>393</v>
      </c>
      <c r="H365" s="14" t="s">
        <v>66</v>
      </c>
      <c r="I365" s="16">
        <v>3</v>
      </c>
      <c r="J365" s="17">
        <v>3</v>
      </c>
      <c r="K365" s="14" t="s">
        <v>157</v>
      </c>
      <c r="L365" s="14" t="s">
        <v>68</v>
      </c>
      <c r="M365" s="14"/>
      <c r="N365" s="14"/>
      <c r="O365" s="15"/>
      <c r="P365" s="19">
        <v>0</v>
      </c>
      <c r="Q365" s="19">
        <v>0</v>
      </c>
      <c r="R365" s="23">
        <v>3</v>
      </c>
      <c r="S365" s="19">
        <v>0</v>
      </c>
      <c r="T365" s="19">
        <v>0</v>
      </c>
      <c r="U365" s="14" t="s">
        <v>33</v>
      </c>
      <c r="V365" s="14" t="s">
        <v>33</v>
      </c>
      <c r="W365" s="14" t="s">
        <v>33</v>
      </c>
      <c r="X365" s="14" t="s">
        <v>33</v>
      </c>
      <c r="Y365" s="14" t="s">
        <v>33</v>
      </c>
      <c r="AM365">
        <f>COUNTIF(P365:T365,"&gt;0")</f>
      </c>
      <c r="AN365">
        <f>COUNTIF(P365,"&gt;0")</f>
      </c>
      <c r="AO365">
        <f>COUNTIF(Q365,"&gt;0")</f>
      </c>
      <c r="AP365">
        <f>COUNTIF(R365,"&gt;0")</f>
      </c>
      <c r="AQ365">
        <f>COUNTIF(S365,"&gt;0")</f>
      </c>
      <c r="AR365">
        <f>COUNTIF(T365,"&gt;0")</f>
      </c>
      <c r="AX365" t="s">
        <v>440</v>
      </c>
      <c r="AY365" t="s">
        <v>454</v>
      </c>
    </row>
    <row r="366" ht="18" customHeight="1" spans="1:51" x14ac:dyDescent="0.25">
      <c r="A366" s="14"/>
      <c r="B366" s="14"/>
      <c r="C366" s="14"/>
      <c r="D366" s="14"/>
      <c r="E366" s="14"/>
      <c r="F366" s="15"/>
      <c r="G366" s="15"/>
      <c r="H366" s="14" t="s">
        <v>71</v>
      </c>
      <c r="I366" s="16"/>
      <c r="J366" s="17"/>
      <c r="K366" s="14"/>
      <c r="L366" s="14"/>
      <c r="M366" s="14"/>
      <c r="N366" s="14"/>
      <c r="O366" s="15"/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 t="s">
        <v>33</v>
      </c>
      <c r="V366" s="21" t="s">
        <v>33</v>
      </c>
      <c r="W366" s="21" t="s">
        <v>33</v>
      </c>
      <c r="X366" s="21" t="s">
        <v>33</v>
      </c>
      <c r="Y366" s="21" t="s">
        <v>33</v>
      </c>
      <c r="AL366">
        <f>COUNTIF(P366:T366,"&gt;0")</f>
      </c>
      <c r="AS366">
        <f>COUNTIF(P366,"&gt;0")</f>
      </c>
      <c r="AT366">
        <f>COUNTIF(Q366,"&gt;0")</f>
      </c>
      <c r="AU366">
        <f>COUNTIF(R366,"&gt;0")</f>
      </c>
      <c r="AV366">
        <f>COUNTIF(S366,"&gt;0")</f>
      </c>
      <c r="AW366">
        <f>COUNTIF(T366,"&gt;0")</f>
      </c>
      <c r="AX366" t="s">
        <v>440</v>
      </c>
      <c r="AY366" t="s">
        <v>454</v>
      </c>
    </row>
    <row r="367" ht="28" customHeight="1" spans="1:51" x14ac:dyDescent="0.25">
      <c r="A367" s="14"/>
      <c r="B367" s="14"/>
      <c r="C367" s="14"/>
      <c r="D367" s="14"/>
      <c r="E367" s="14"/>
      <c r="F367" s="15" t="s">
        <v>395</v>
      </c>
      <c r="G367" s="15" t="s">
        <v>396</v>
      </c>
      <c r="H367" s="14" t="s">
        <v>66</v>
      </c>
      <c r="I367" s="16">
        <v>5</v>
      </c>
      <c r="J367" s="17">
        <v>12</v>
      </c>
      <c r="K367" s="14" t="s">
        <v>141</v>
      </c>
      <c r="L367" s="14" t="s">
        <v>68</v>
      </c>
      <c r="M367" s="14"/>
      <c r="N367" s="14"/>
      <c r="O367" s="15"/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4" t="s">
        <v>33</v>
      </c>
      <c r="V367" s="14" t="s">
        <v>33</v>
      </c>
      <c r="W367" s="14" t="s">
        <v>33</v>
      </c>
      <c r="X367" s="14" t="s">
        <v>33</v>
      </c>
      <c r="Y367" s="14" t="s">
        <v>33</v>
      </c>
      <c r="AM367">
        <f>COUNTIF(P367:T367,"&gt;0")</f>
      </c>
      <c r="AN367">
        <f>COUNTIF(P367,"&gt;0")</f>
      </c>
      <c r="AO367">
        <f>COUNTIF(Q367,"&gt;0")</f>
      </c>
      <c r="AP367">
        <f>COUNTIF(R367,"&gt;0")</f>
      </c>
      <c r="AQ367">
        <f>COUNTIF(S367,"&gt;0")</f>
      </c>
      <c r="AR367">
        <f>COUNTIF(T367,"&gt;0")</f>
      </c>
      <c r="AX367" t="s">
        <v>440</v>
      </c>
      <c r="AY367" t="s">
        <v>455</v>
      </c>
    </row>
    <row r="368" ht="18" customHeight="1" spans="1:51" x14ac:dyDescent="0.25">
      <c r="A368" s="14"/>
      <c r="B368" s="14"/>
      <c r="C368" s="14"/>
      <c r="D368" s="14"/>
      <c r="E368" s="14"/>
      <c r="F368" s="15"/>
      <c r="G368" s="15"/>
      <c r="H368" s="14" t="s">
        <v>71</v>
      </c>
      <c r="I368" s="16"/>
      <c r="J368" s="17"/>
      <c r="K368" s="14"/>
      <c r="L368" s="14"/>
      <c r="M368" s="14"/>
      <c r="N368" s="14"/>
      <c r="O368" s="15"/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1" t="s">
        <v>33</v>
      </c>
      <c r="V368" s="21" t="s">
        <v>33</v>
      </c>
      <c r="W368" s="21" t="s">
        <v>33</v>
      </c>
      <c r="X368" s="21" t="s">
        <v>33</v>
      </c>
      <c r="Y368" s="21" t="s">
        <v>33</v>
      </c>
      <c r="AL368">
        <f>COUNTIF(P368:T368,"&gt;0")</f>
      </c>
      <c r="AS368">
        <f>COUNTIF(P368,"&gt;0")</f>
      </c>
      <c r="AT368">
        <f>COUNTIF(Q368,"&gt;0")</f>
      </c>
      <c r="AU368">
        <f>COUNTIF(R368,"&gt;0")</f>
      </c>
      <c r="AV368">
        <f>COUNTIF(S368,"&gt;0")</f>
      </c>
      <c r="AW368">
        <f>COUNTIF(T368,"&gt;0")</f>
      </c>
      <c r="AX368" t="s">
        <v>440</v>
      </c>
      <c r="AY368" t="s">
        <v>455</v>
      </c>
    </row>
    <row r="369" ht="28" customHeight="1" spans="1:51" x14ac:dyDescent="0.25">
      <c r="A369" s="14"/>
      <c r="B369" s="14"/>
      <c r="C369" s="14"/>
      <c r="D369" s="14"/>
      <c r="E369" s="14"/>
      <c r="F369" s="15" t="s">
        <v>398</v>
      </c>
      <c r="G369" s="15" t="s">
        <v>399</v>
      </c>
      <c r="H369" s="14" t="s">
        <v>66</v>
      </c>
      <c r="I369" s="16">
        <v>5</v>
      </c>
      <c r="J369" s="17">
        <v>12</v>
      </c>
      <c r="K369" s="14" t="s">
        <v>141</v>
      </c>
      <c r="L369" s="14" t="s">
        <v>68</v>
      </c>
      <c r="M369" s="14"/>
      <c r="N369" s="14"/>
      <c r="O369" s="15"/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4" t="s">
        <v>33</v>
      </c>
      <c r="V369" s="14" t="s">
        <v>33</v>
      </c>
      <c r="W369" s="14" t="s">
        <v>33</v>
      </c>
      <c r="X369" s="14" t="s">
        <v>33</v>
      </c>
      <c r="Y369" s="14" t="s">
        <v>33</v>
      </c>
      <c r="AM369">
        <f>COUNTIF(P369:T369,"&gt;0")</f>
      </c>
      <c r="AN369">
        <f>COUNTIF(P369,"&gt;0")</f>
      </c>
      <c r="AO369">
        <f>COUNTIF(Q369,"&gt;0")</f>
      </c>
      <c r="AP369">
        <f>COUNTIF(R369,"&gt;0")</f>
      </c>
      <c r="AQ369">
        <f>COUNTIF(S369,"&gt;0")</f>
      </c>
      <c r="AR369">
        <f>COUNTIF(T369,"&gt;0")</f>
      </c>
      <c r="AX369" t="s">
        <v>440</v>
      </c>
      <c r="AY369" t="s">
        <v>456</v>
      </c>
    </row>
    <row r="370" ht="18" customHeight="1" spans="1:51" x14ac:dyDescent="0.25">
      <c r="A370" s="14"/>
      <c r="B370" s="14"/>
      <c r="C370" s="14"/>
      <c r="D370" s="14"/>
      <c r="E370" s="14"/>
      <c r="F370" s="15"/>
      <c r="G370" s="15"/>
      <c r="H370" s="14" t="s">
        <v>71</v>
      </c>
      <c r="I370" s="16"/>
      <c r="J370" s="17"/>
      <c r="K370" s="14"/>
      <c r="L370" s="14"/>
      <c r="M370" s="14"/>
      <c r="N370" s="14"/>
      <c r="O370" s="15"/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1" t="s">
        <v>33</v>
      </c>
      <c r="V370" s="21" t="s">
        <v>33</v>
      </c>
      <c r="W370" s="21" t="s">
        <v>33</v>
      </c>
      <c r="X370" s="21" t="s">
        <v>33</v>
      </c>
      <c r="Y370" s="21" t="s">
        <v>33</v>
      </c>
      <c r="AL370">
        <f>COUNTIF(P370:T370,"&gt;0")</f>
      </c>
      <c r="AS370">
        <f>COUNTIF(P370,"&gt;0")</f>
      </c>
      <c r="AT370">
        <f>COUNTIF(Q370,"&gt;0")</f>
      </c>
      <c r="AU370">
        <f>COUNTIF(R370,"&gt;0")</f>
      </c>
      <c r="AV370">
        <f>COUNTIF(S370,"&gt;0")</f>
      </c>
      <c r="AW370">
        <f>COUNTIF(T370,"&gt;0")</f>
      </c>
      <c r="AX370" t="s">
        <v>440</v>
      </c>
      <c r="AY370" t="s">
        <v>456</v>
      </c>
    </row>
    <row r="371" ht="28" customHeight="1" spans="1:51" x14ac:dyDescent="0.25">
      <c r="A371" s="14"/>
      <c r="B371" s="14"/>
      <c r="C371" s="14"/>
      <c r="D371" s="14"/>
      <c r="E371" s="14"/>
      <c r="F371" s="15" t="s">
        <v>401</v>
      </c>
      <c r="G371" s="15" t="s">
        <v>402</v>
      </c>
      <c r="H371" s="14" t="s">
        <v>66</v>
      </c>
      <c r="I371" s="16">
        <v>5</v>
      </c>
      <c r="J371" s="17">
        <v>12</v>
      </c>
      <c r="K371" s="14" t="s">
        <v>141</v>
      </c>
      <c r="L371" s="14" t="s">
        <v>68</v>
      </c>
      <c r="M371" s="14"/>
      <c r="N371" s="14"/>
      <c r="O371" s="15"/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4" t="s">
        <v>33</v>
      </c>
      <c r="V371" s="14" t="s">
        <v>33</v>
      </c>
      <c r="W371" s="14" t="s">
        <v>33</v>
      </c>
      <c r="X371" s="14" t="s">
        <v>33</v>
      </c>
      <c r="Y371" s="14" t="s">
        <v>33</v>
      </c>
      <c r="AM371">
        <f>COUNTIF(P371:T371,"&gt;0")</f>
      </c>
      <c r="AN371">
        <f>COUNTIF(P371,"&gt;0")</f>
      </c>
      <c r="AO371">
        <f>COUNTIF(Q371,"&gt;0")</f>
      </c>
      <c r="AP371">
        <f>COUNTIF(R371,"&gt;0")</f>
      </c>
      <c r="AQ371">
        <f>COUNTIF(S371,"&gt;0")</f>
      </c>
      <c r="AR371">
        <f>COUNTIF(T371,"&gt;0")</f>
      </c>
      <c r="AX371" t="s">
        <v>440</v>
      </c>
      <c r="AY371" t="s">
        <v>457</v>
      </c>
    </row>
    <row r="372" ht="18" customHeight="1" spans="1:51" x14ac:dyDescent="0.25">
      <c r="A372" s="14"/>
      <c r="B372" s="14"/>
      <c r="C372" s="14"/>
      <c r="D372" s="14"/>
      <c r="E372" s="14"/>
      <c r="F372" s="15"/>
      <c r="G372" s="15"/>
      <c r="H372" s="14" t="s">
        <v>71</v>
      </c>
      <c r="I372" s="16"/>
      <c r="J372" s="17"/>
      <c r="K372" s="14"/>
      <c r="L372" s="14"/>
      <c r="M372" s="14"/>
      <c r="N372" s="14"/>
      <c r="O372" s="15"/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1" t="s">
        <v>33</v>
      </c>
      <c r="V372" s="21" t="s">
        <v>33</v>
      </c>
      <c r="W372" s="21" t="s">
        <v>33</v>
      </c>
      <c r="X372" s="21" t="s">
        <v>33</v>
      </c>
      <c r="Y372" s="21" t="s">
        <v>33</v>
      </c>
      <c r="AL372">
        <f>COUNTIF(P372:T372,"&gt;0")</f>
      </c>
      <c r="AS372">
        <f>COUNTIF(P372,"&gt;0")</f>
      </c>
      <c r="AT372">
        <f>COUNTIF(Q372,"&gt;0")</f>
      </c>
      <c r="AU372">
        <f>COUNTIF(R372,"&gt;0")</f>
      </c>
      <c r="AV372">
        <f>COUNTIF(S372,"&gt;0")</f>
      </c>
      <c r="AW372">
        <f>COUNTIF(T372,"&gt;0")</f>
      </c>
      <c r="AX372" t="s">
        <v>440</v>
      </c>
      <c r="AY372" t="s">
        <v>457</v>
      </c>
    </row>
    <row r="373" ht="28" customHeight="1" spans="1:51" x14ac:dyDescent="0.25">
      <c r="A373" s="14"/>
      <c r="B373" s="14" t="s">
        <v>458</v>
      </c>
      <c r="C373" s="14" t="s">
        <v>459</v>
      </c>
      <c r="D373" s="14" t="s">
        <v>460</v>
      </c>
      <c r="E373" s="14" t="s">
        <v>118</v>
      </c>
      <c r="F373" s="15" t="s">
        <v>362</v>
      </c>
      <c r="G373" s="15" t="s">
        <v>363</v>
      </c>
      <c r="H373" s="14" t="s">
        <v>66</v>
      </c>
      <c r="I373" s="16">
        <v>2</v>
      </c>
      <c r="J373" s="17">
        <v>1</v>
      </c>
      <c r="K373" s="14" t="s">
        <v>67</v>
      </c>
      <c r="L373" s="14" t="s">
        <v>68</v>
      </c>
      <c r="M373" s="14"/>
      <c r="N373" s="14"/>
      <c r="O373" s="15"/>
      <c r="P373" s="19">
        <v>0</v>
      </c>
      <c r="Q373" s="19">
        <v>0</v>
      </c>
      <c r="R373" s="19">
        <v>0</v>
      </c>
      <c r="S373" s="18">
        <v>2</v>
      </c>
      <c r="T373" s="19">
        <v>0</v>
      </c>
      <c r="U373" s="14" t="s">
        <v>33</v>
      </c>
      <c r="V373" s="14" t="s">
        <v>33</v>
      </c>
      <c r="W373" s="14" t="s">
        <v>33</v>
      </c>
      <c r="X373" s="14" t="s">
        <v>33</v>
      </c>
      <c r="Y373" s="14" t="s">
        <v>33</v>
      </c>
      <c r="AM373">
        <f>COUNTIF(P373:T373,"&gt;0")</f>
      </c>
      <c r="AN373">
        <f>COUNTIF(P373,"&gt;0")</f>
      </c>
      <c r="AO373">
        <f>COUNTIF(Q373,"&gt;0")</f>
      </c>
      <c r="AP373">
        <f>COUNTIF(R373,"&gt;0")</f>
      </c>
      <c r="AQ373">
        <f>COUNTIF(S373,"&gt;0")</f>
      </c>
      <c r="AR373">
        <f>COUNTIF(T373,"&gt;0")</f>
      </c>
      <c r="AX373" t="s">
        <v>458</v>
      </c>
      <c r="AY373" t="s">
        <v>461</v>
      </c>
    </row>
    <row r="374" ht="18" customHeight="1" spans="1:51" x14ac:dyDescent="0.25">
      <c r="A374" s="14"/>
      <c r="B374" s="14"/>
      <c r="C374" s="14"/>
      <c r="D374" s="14"/>
      <c r="E374" s="14"/>
      <c r="F374" s="15"/>
      <c r="G374" s="15"/>
      <c r="H374" s="14" t="s">
        <v>71</v>
      </c>
      <c r="I374" s="16"/>
      <c r="J374" s="17"/>
      <c r="K374" s="14"/>
      <c r="L374" s="14"/>
      <c r="M374" s="14"/>
      <c r="N374" s="14"/>
      <c r="O374" s="15"/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1" t="s">
        <v>33</v>
      </c>
      <c r="V374" s="21" t="s">
        <v>33</v>
      </c>
      <c r="W374" s="21" t="s">
        <v>33</v>
      </c>
      <c r="X374" s="21" t="s">
        <v>33</v>
      </c>
      <c r="Y374" s="21" t="s">
        <v>33</v>
      </c>
      <c r="AL374">
        <f>COUNTIF(P374:T374,"&gt;0")</f>
      </c>
      <c r="AS374">
        <f>COUNTIF(P374,"&gt;0")</f>
      </c>
      <c r="AT374">
        <f>COUNTIF(Q374,"&gt;0")</f>
      </c>
      <c r="AU374">
        <f>COUNTIF(R374,"&gt;0")</f>
      </c>
      <c r="AV374">
        <f>COUNTIF(S374,"&gt;0")</f>
      </c>
      <c r="AW374">
        <f>COUNTIF(T374,"&gt;0")</f>
      </c>
      <c r="AX374" t="s">
        <v>458</v>
      </c>
      <c r="AY374" t="s">
        <v>461</v>
      </c>
    </row>
    <row r="375" ht="28" customHeight="1" spans="1:51" x14ac:dyDescent="0.25">
      <c r="A375" s="14"/>
      <c r="B375" s="14"/>
      <c r="C375" s="14"/>
      <c r="D375" s="14"/>
      <c r="E375" s="14"/>
      <c r="F375" s="15" t="s">
        <v>365</v>
      </c>
      <c r="G375" s="15" t="s">
        <v>366</v>
      </c>
      <c r="H375" s="14" t="s">
        <v>66</v>
      </c>
      <c r="I375" s="16">
        <v>2</v>
      </c>
      <c r="J375" s="17">
        <v>1</v>
      </c>
      <c r="K375" s="14" t="s">
        <v>67</v>
      </c>
      <c r="L375" s="14" t="s">
        <v>68</v>
      </c>
      <c r="M375" s="14"/>
      <c r="N375" s="14"/>
      <c r="O375" s="15"/>
      <c r="P375" s="18">
        <v>2</v>
      </c>
      <c r="Q375" s="19">
        <v>0</v>
      </c>
      <c r="R375" s="19">
        <v>0</v>
      </c>
      <c r="S375" s="19">
        <v>0</v>
      </c>
      <c r="T375" s="19">
        <v>0</v>
      </c>
      <c r="U375" s="14" t="s">
        <v>33</v>
      </c>
      <c r="V375" s="14" t="s">
        <v>33</v>
      </c>
      <c r="W375" s="14" t="s">
        <v>33</v>
      </c>
      <c r="X375" s="14" t="s">
        <v>33</v>
      </c>
      <c r="Y375" s="14" t="s">
        <v>33</v>
      </c>
      <c r="AM375">
        <f>COUNTIF(P375:T375,"&gt;0")</f>
      </c>
      <c r="AN375">
        <f>COUNTIF(P375,"&gt;0")</f>
      </c>
      <c r="AO375">
        <f>COUNTIF(Q375,"&gt;0")</f>
      </c>
      <c r="AP375">
        <f>COUNTIF(R375,"&gt;0")</f>
      </c>
      <c r="AQ375">
        <f>COUNTIF(S375,"&gt;0")</f>
      </c>
      <c r="AR375">
        <f>COUNTIF(T375,"&gt;0")</f>
      </c>
      <c r="AX375" t="s">
        <v>458</v>
      </c>
      <c r="AY375" t="s">
        <v>462</v>
      </c>
    </row>
    <row r="376" ht="18" customHeight="1" spans="1:51" x14ac:dyDescent="0.25">
      <c r="A376" s="14"/>
      <c r="B376" s="14"/>
      <c r="C376" s="14"/>
      <c r="D376" s="14"/>
      <c r="E376" s="14"/>
      <c r="F376" s="15"/>
      <c r="G376" s="15"/>
      <c r="H376" s="14" t="s">
        <v>71</v>
      </c>
      <c r="I376" s="16"/>
      <c r="J376" s="17"/>
      <c r="K376" s="14"/>
      <c r="L376" s="14"/>
      <c r="M376" s="14"/>
      <c r="N376" s="14"/>
      <c r="O376" s="15"/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1" t="s">
        <v>33</v>
      </c>
      <c r="V376" s="21" t="s">
        <v>33</v>
      </c>
      <c r="W376" s="21" t="s">
        <v>33</v>
      </c>
      <c r="X376" s="21" t="s">
        <v>33</v>
      </c>
      <c r="Y376" s="21" t="s">
        <v>33</v>
      </c>
      <c r="AL376">
        <f>COUNTIF(P376:T376,"&gt;0")</f>
      </c>
      <c r="AS376">
        <f>COUNTIF(P376,"&gt;0")</f>
      </c>
      <c r="AT376">
        <f>COUNTIF(Q376,"&gt;0")</f>
      </c>
      <c r="AU376">
        <f>COUNTIF(R376,"&gt;0")</f>
      </c>
      <c r="AV376">
        <f>COUNTIF(S376,"&gt;0")</f>
      </c>
      <c r="AW376">
        <f>COUNTIF(T376,"&gt;0")</f>
      </c>
      <c r="AX376" t="s">
        <v>458</v>
      </c>
      <c r="AY376" t="s">
        <v>462</v>
      </c>
    </row>
    <row r="377" ht="28" customHeight="1" spans="1:51" x14ac:dyDescent="0.25">
      <c r="A377" s="14"/>
      <c r="B377" s="14"/>
      <c r="C377" s="14"/>
      <c r="D377" s="14"/>
      <c r="E377" s="14"/>
      <c r="F377" s="15" t="s">
        <v>365</v>
      </c>
      <c r="G377" s="15" t="s">
        <v>368</v>
      </c>
      <c r="H377" s="14" t="s">
        <v>66</v>
      </c>
      <c r="I377" s="16">
        <v>2</v>
      </c>
      <c r="J377" s="17">
        <v>1</v>
      </c>
      <c r="K377" s="14" t="s">
        <v>67</v>
      </c>
      <c r="L377" s="14" t="s">
        <v>68</v>
      </c>
      <c r="M377" s="14"/>
      <c r="N377" s="14"/>
      <c r="O377" s="15"/>
      <c r="P377" s="19">
        <v>0</v>
      </c>
      <c r="Q377" s="18">
        <v>2</v>
      </c>
      <c r="R377" s="19">
        <v>0</v>
      </c>
      <c r="S377" s="19">
        <v>0</v>
      </c>
      <c r="T377" s="19">
        <v>0</v>
      </c>
      <c r="U377" s="14" t="s">
        <v>33</v>
      </c>
      <c r="V377" s="14" t="s">
        <v>33</v>
      </c>
      <c r="W377" s="14" t="s">
        <v>33</v>
      </c>
      <c r="X377" s="14" t="s">
        <v>33</v>
      </c>
      <c r="Y377" s="14" t="s">
        <v>33</v>
      </c>
      <c r="AM377">
        <f>COUNTIF(P377:T377,"&gt;0")</f>
      </c>
      <c r="AN377">
        <f>COUNTIF(P377,"&gt;0")</f>
      </c>
      <c r="AO377">
        <f>COUNTIF(Q377,"&gt;0")</f>
      </c>
      <c r="AP377">
        <f>COUNTIF(R377,"&gt;0")</f>
      </c>
      <c r="AQ377">
        <f>COUNTIF(S377,"&gt;0")</f>
      </c>
      <c r="AR377">
        <f>COUNTIF(T377,"&gt;0")</f>
      </c>
      <c r="AX377" t="s">
        <v>458</v>
      </c>
      <c r="AY377" t="s">
        <v>463</v>
      </c>
    </row>
    <row r="378" ht="18" customHeight="1" spans="1:51" x14ac:dyDescent="0.25">
      <c r="A378" s="14"/>
      <c r="B378" s="14"/>
      <c r="C378" s="14"/>
      <c r="D378" s="14"/>
      <c r="E378" s="14"/>
      <c r="F378" s="15"/>
      <c r="G378" s="15"/>
      <c r="H378" s="14" t="s">
        <v>71</v>
      </c>
      <c r="I378" s="16"/>
      <c r="J378" s="17"/>
      <c r="K378" s="14"/>
      <c r="L378" s="14"/>
      <c r="M378" s="14"/>
      <c r="N378" s="14"/>
      <c r="O378" s="15"/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1" t="s">
        <v>33</v>
      </c>
      <c r="V378" s="21" t="s">
        <v>33</v>
      </c>
      <c r="W378" s="21" t="s">
        <v>33</v>
      </c>
      <c r="X378" s="21" t="s">
        <v>33</v>
      </c>
      <c r="Y378" s="21" t="s">
        <v>33</v>
      </c>
      <c r="AL378">
        <f>COUNTIF(P378:T378,"&gt;0")</f>
      </c>
      <c r="AS378">
        <f>COUNTIF(P378,"&gt;0")</f>
      </c>
      <c r="AT378">
        <f>COUNTIF(Q378,"&gt;0")</f>
      </c>
      <c r="AU378">
        <f>COUNTIF(R378,"&gt;0")</f>
      </c>
      <c r="AV378">
        <f>COUNTIF(S378,"&gt;0")</f>
      </c>
      <c r="AW378">
        <f>COUNTIF(T378,"&gt;0")</f>
      </c>
      <c r="AX378" t="s">
        <v>458</v>
      </c>
      <c r="AY378" t="s">
        <v>463</v>
      </c>
    </row>
    <row r="379" ht="28" customHeight="1" spans="1:51" x14ac:dyDescent="0.25">
      <c r="A379" s="14"/>
      <c r="B379" s="14"/>
      <c r="C379" s="14"/>
      <c r="D379" s="14"/>
      <c r="E379" s="14"/>
      <c r="F379" s="15" t="s">
        <v>370</v>
      </c>
      <c r="G379" s="15" t="s">
        <v>371</v>
      </c>
      <c r="H379" s="14" t="s">
        <v>66</v>
      </c>
      <c r="I379" s="16">
        <v>2</v>
      </c>
      <c r="J379" s="17">
        <v>1</v>
      </c>
      <c r="K379" s="14" t="s">
        <v>67</v>
      </c>
      <c r="L379" s="14" t="s">
        <v>68</v>
      </c>
      <c r="M379" s="14"/>
      <c r="N379" s="14"/>
      <c r="O379" s="15"/>
      <c r="P379" s="19">
        <v>0</v>
      </c>
      <c r="Q379" s="19">
        <v>0</v>
      </c>
      <c r="R379" s="18">
        <v>2</v>
      </c>
      <c r="S379" s="19">
        <v>0</v>
      </c>
      <c r="T379" s="19">
        <v>0</v>
      </c>
      <c r="U379" s="14" t="s">
        <v>33</v>
      </c>
      <c r="V379" s="14" t="s">
        <v>33</v>
      </c>
      <c r="W379" s="14" t="s">
        <v>33</v>
      </c>
      <c r="X379" s="14" t="s">
        <v>33</v>
      </c>
      <c r="Y379" s="14" t="s">
        <v>33</v>
      </c>
      <c r="AM379">
        <f>COUNTIF(P379:T379,"&gt;0")</f>
      </c>
      <c r="AN379">
        <f>COUNTIF(P379,"&gt;0")</f>
      </c>
      <c r="AO379">
        <f>COUNTIF(Q379,"&gt;0")</f>
      </c>
      <c r="AP379">
        <f>COUNTIF(R379,"&gt;0")</f>
      </c>
      <c r="AQ379">
        <f>COUNTIF(S379,"&gt;0")</f>
      </c>
      <c r="AR379">
        <f>COUNTIF(T379,"&gt;0")</f>
      </c>
      <c r="AX379" t="s">
        <v>458</v>
      </c>
      <c r="AY379" t="s">
        <v>464</v>
      </c>
    </row>
    <row r="380" ht="18" customHeight="1" spans="1:51" x14ac:dyDescent="0.25">
      <c r="A380" s="14"/>
      <c r="B380" s="14"/>
      <c r="C380" s="14"/>
      <c r="D380" s="14"/>
      <c r="E380" s="14"/>
      <c r="F380" s="15"/>
      <c r="G380" s="15"/>
      <c r="H380" s="14" t="s">
        <v>71</v>
      </c>
      <c r="I380" s="16"/>
      <c r="J380" s="17"/>
      <c r="K380" s="14"/>
      <c r="L380" s="14"/>
      <c r="M380" s="14"/>
      <c r="N380" s="14"/>
      <c r="O380" s="15"/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1" t="s">
        <v>33</v>
      </c>
      <c r="V380" s="21" t="s">
        <v>33</v>
      </c>
      <c r="W380" s="21" t="s">
        <v>33</v>
      </c>
      <c r="X380" s="21" t="s">
        <v>33</v>
      </c>
      <c r="Y380" s="21" t="s">
        <v>33</v>
      </c>
      <c r="AL380">
        <f>COUNTIF(P380:T380,"&gt;0")</f>
      </c>
      <c r="AS380">
        <f>COUNTIF(P380,"&gt;0")</f>
      </c>
      <c r="AT380">
        <f>COUNTIF(Q380,"&gt;0")</f>
      </c>
      <c r="AU380">
        <f>COUNTIF(R380,"&gt;0")</f>
      </c>
      <c r="AV380">
        <f>COUNTIF(S380,"&gt;0")</f>
      </c>
      <c r="AW380">
        <f>COUNTIF(T380,"&gt;0")</f>
      </c>
      <c r="AX380" t="s">
        <v>458</v>
      </c>
      <c r="AY380" t="s">
        <v>464</v>
      </c>
    </row>
    <row r="381" ht="28" customHeight="1" spans="1:51" x14ac:dyDescent="0.25">
      <c r="A381" s="14"/>
      <c r="B381" s="14"/>
      <c r="C381" s="14"/>
      <c r="D381" s="14"/>
      <c r="E381" s="14"/>
      <c r="F381" s="15" t="s">
        <v>373</v>
      </c>
      <c r="G381" s="15" t="s">
        <v>374</v>
      </c>
      <c r="H381" s="14" t="s">
        <v>66</v>
      </c>
      <c r="I381" s="16">
        <v>2</v>
      </c>
      <c r="J381" s="17">
        <v>1</v>
      </c>
      <c r="K381" s="14" t="s">
        <v>67</v>
      </c>
      <c r="L381" s="14" t="s">
        <v>68</v>
      </c>
      <c r="M381" s="14"/>
      <c r="N381" s="14"/>
      <c r="O381" s="15"/>
      <c r="P381" s="19">
        <v>0</v>
      </c>
      <c r="Q381" s="19">
        <v>0</v>
      </c>
      <c r="R381" s="19">
        <v>0</v>
      </c>
      <c r="S381" s="18">
        <v>2</v>
      </c>
      <c r="T381" s="19">
        <v>0</v>
      </c>
      <c r="U381" s="14" t="s">
        <v>33</v>
      </c>
      <c r="V381" s="14" t="s">
        <v>33</v>
      </c>
      <c r="W381" s="14" t="s">
        <v>33</v>
      </c>
      <c r="X381" s="14" t="s">
        <v>33</v>
      </c>
      <c r="Y381" s="14" t="s">
        <v>33</v>
      </c>
      <c r="AM381">
        <f>COUNTIF(P381:T381,"&gt;0")</f>
      </c>
      <c r="AN381">
        <f>COUNTIF(P381,"&gt;0")</f>
      </c>
      <c r="AO381">
        <f>COUNTIF(Q381,"&gt;0")</f>
      </c>
      <c r="AP381">
        <f>COUNTIF(R381,"&gt;0")</f>
      </c>
      <c r="AQ381">
        <f>COUNTIF(S381,"&gt;0")</f>
      </c>
      <c r="AR381">
        <f>COUNTIF(T381,"&gt;0")</f>
      </c>
      <c r="AX381" t="s">
        <v>458</v>
      </c>
      <c r="AY381" t="s">
        <v>465</v>
      </c>
    </row>
    <row r="382" ht="18" customHeight="1" spans="1:51" x14ac:dyDescent="0.25">
      <c r="A382" s="14"/>
      <c r="B382" s="14"/>
      <c r="C382" s="14"/>
      <c r="D382" s="14"/>
      <c r="E382" s="14"/>
      <c r="F382" s="15"/>
      <c r="G382" s="15"/>
      <c r="H382" s="14" t="s">
        <v>71</v>
      </c>
      <c r="I382" s="16"/>
      <c r="J382" s="17"/>
      <c r="K382" s="14"/>
      <c r="L382" s="14"/>
      <c r="M382" s="14"/>
      <c r="N382" s="14"/>
      <c r="O382" s="15"/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1" t="s">
        <v>33</v>
      </c>
      <c r="V382" s="21" t="s">
        <v>33</v>
      </c>
      <c r="W382" s="21" t="s">
        <v>33</v>
      </c>
      <c r="X382" s="21" t="s">
        <v>33</v>
      </c>
      <c r="Y382" s="21" t="s">
        <v>33</v>
      </c>
      <c r="AL382">
        <f>COUNTIF(P382:T382,"&gt;0")</f>
      </c>
      <c r="AS382">
        <f>COUNTIF(P382,"&gt;0")</f>
      </c>
      <c r="AT382">
        <f>COUNTIF(Q382,"&gt;0")</f>
      </c>
      <c r="AU382">
        <f>COUNTIF(R382,"&gt;0")</f>
      </c>
      <c r="AV382">
        <f>COUNTIF(S382,"&gt;0")</f>
      </c>
      <c r="AW382">
        <f>COUNTIF(T382,"&gt;0")</f>
      </c>
      <c r="AX382" t="s">
        <v>458</v>
      </c>
      <c r="AY382" t="s">
        <v>465</v>
      </c>
    </row>
    <row r="383" ht="28" customHeight="1" spans="1:51" x14ac:dyDescent="0.25">
      <c r="A383" s="14"/>
      <c r="B383" s="14"/>
      <c r="C383" s="14"/>
      <c r="D383" s="14"/>
      <c r="E383" s="14"/>
      <c r="F383" s="15" t="s">
        <v>376</v>
      </c>
      <c r="G383" s="15" t="s">
        <v>377</v>
      </c>
      <c r="H383" s="14" t="s">
        <v>66</v>
      </c>
      <c r="I383" s="16">
        <v>2</v>
      </c>
      <c r="J383" s="17">
        <v>1</v>
      </c>
      <c r="K383" s="14" t="s">
        <v>67</v>
      </c>
      <c r="L383" s="14" t="s">
        <v>68</v>
      </c>
      <c r="M383" s="14"/>
      <c r="N383" s="14"/>
      <c r="O383" s="15"/>
      <c r="P383" s="18">
        <v>2</v>
      </c>
      <c r="Q383" s="19">
        <v>0</v>
      </c>
      <c r="R383" s="19">
        <v>0</v>
      </c>
      <c r="S383" s="19">
        <v>0</v>
      </c>
      <c r="T383" s="19">
        <v>0</v>
      </c>
      <c r="U383" s="14" t="s">
        <v>33</v>
      </c>
      <c r="V383" s="14" t="s">
        <v>33</v>
      </c>
      <c r="W383" s="14" t="s">
        <v>33</v>
      </c>
      <c r="X383" s="14" t="s">
        <v>33</v>
      </c>
      <c r="Y383" s="14" t="s">
        <v>33</v>
      </c>
      <c r="AM383">
        <f>COUNTIF(P383:T383,"&gt;0")</f>
      </c>
      <c r="AN383">
        <f>COUNTIF(P383,"&gt;0")</f>
      </c>
      <c r="AO383">
        <f>COUNTIF(Q383,"&gt;0")</f>
      </c>
      <c r="AP383">
        <f>COUNTIF(R383,"&gt;0")</f>
      </c>
      <c r="AQ383">
        <f>COUNTIF(S383,"&gt;0")</f>
      </c>
      <c r="AR383">
        <f>COUNTIF(T383,"&gt;0")</f>
      </c>
      <c r="AX383" t="s">
        <v>458</v>
      </c>
      <c r="AY383" t="s">
        <v>466</v>
      </c>
    </row>
    <row r="384" ht="18" customHeight="1" spans="1:51" x14ac:dyDescent="0.25">
      <c r="A384" s="14"/>
      <c r="B384" s="14"/>
      <c r="C384" s="14"/>
      <c r="D384" s="14"/>
      <c r="E384" s="14"/>
      <c r="F384" s="15"/>
      <c r="G384" s="15"/>
      <c r="H384" s="14" t="s">
        <v>71</v>
      </c>
      <c r="I384" s="16"/>
      <c r="J384" s="17"/>
      <c r="K384" s="14"/>
      <c r="L384" s="14"/>
      <c r="M384" s="14"/>
      <c r="N384" s="14"/>
      <c r="O384" s="15"/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1" t="s">
        <v>33</v>
      </c>
      <c r="V384" s="21" t="s">
        <v>33</v>
      </c>
      <c r="W384" s="21" t="s">
        <v>33</v>
      </c>
      <c r="X384" s="21" t="s">
        <v>33</v>
      </c>
      <c r="Y384" s="21" t="s">
        <v>33</v>
      </c>
      <c r="AL384">
        <f>COUNTIF(P384:T384,"&gt;0")</f>
      </c>
      <c r="AS384">
        <f>COUNTIF(P384,"&gt;0")</f>
      </c>
      <c r="AT384">
        <f>COUNTIF(Q384,"&gt;0")</f>
      </c>
      <c r="AU384">
        <f>COUNTIF(R384,"&gt;0")</f>
      </c>
      <c r="AV384">
        <f>COUNTIF(S384,"&gt;0")</f>
      </c>
      <c r="AW384">
        <f>COUNTIF(T384,"&gt;0")</f>
      </c>
      <c r="AX384" t="s">
        <v>458</v>
      </c>
      <c r="AY384" t="s">
        <v>466</v>
      </c>
    </row>
    <row r="385" ht="28" customHeight="1" spans="1:51" x14ac:dyDescent="0.25">
      <c r="A385" s="14"/>
      <c r="B385" s="14"/>
      <c r="C385" s="14"/>
      <c r="D385" s="14"/>
      <c r="E385" s="14"/>
      <c r="F385" s="15" t="s">
        <v>379</v>
      </c>
      <c r="G385" s="15" t="s">
        <v>380</v>
      </c>
      <c r="H385" s="14" t="s">
        <v>66</v>
      </c>
      <c r="I385" s="16">
        <v>2</v>
      </c>
      <c r="J385" s="17">
        <v>1</v>
      </c>
      <c r="K385" s="14" t="s">
        <v>67</v>
      </c>
      <c r="L385" s="14" t="s">
        <v>68</v>
      </c>
      <c r="M385" s="14"/>
      <c r="N385" s="14"/>
      <c r="O385" s="15"/>
      <c r="P385" s="19">
        <v>0</v>
      </c>
      <c r="Q385" s="18">
        <v>2</v>
      </c>
      <c r="R385" s="19">
        <v>0</v>
      </c>
      <c r="S385" s="19">
        <v>0</v>
      </c>
      <c r="T385" s="19">
        <v>0</v>
      </c>
      <c r="U385" s="14" t="s">
        <v>33</v>
      </c>
      <c r="V385" s="14" t="s">
        <v>33</v>
      </c>
      <c r="W385" s="14" t="s">
        <v>33</v>
      </c>
      <c r="X385" s="14" t="s">
        <v>33</v>
      </c>
      <c r="Y385" s="14" t="s">
        <v>33</v>
      </c>
      <c r="AM385">
        <f>COUNTIF(P385:T385,"&gt;0")</f>
      </c>
      <c r="AN385">
        <f>COUNTIF(P385,"&gt;0")</f>
      </c>
      <c r="AO385">
        <f>COUNTIF(Q385,"&gt;0")</f>
      </c>
      <c r="AP385">
        <f>COUNTIF(R385,"&gt;0")</f>
      </c>
      <c r="AQ385">
        <f>COUNTIF(S385,"&gt;0")</f>
      </c>
      <c r="AR385">
        <f>COUNTIF(T385,"&gt;0")</f>
      </c>
      <c r="AX385" t="s">
        <v>458</v>
      </c>
      <c r="AY385" t="s">
        <v>467</v>
      </c>
    </row>
    <row r="386" ht="18" customHeight="1" spans="1:51" x14ac:dyDescent="0.25">
      <c r="A386" s="14"/>
      <c r="B386" s="14"/>
      <c r="C386" s="14"/>
      <c r="D386" s="14"/>
      <c r="E386" s="14"/>
      <c r="F386" s="15"/>
      <c r="G386" s="15"/>
      <c r="H386" s="14" t="s">
        <v>71</v>
      </c>
      <c r="I386" s="16"/>
      <c r="J386" s="17"/>
      <c r="K386" s="14"/>
      <c r="L386" s="14"/>
      <c r="M386" s="14"/>
      <c r="N386" s="14"/>
      <c r="O386" s="15"/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1" t="s">
        <v>33</v>
      </c>
      <c r="V386" s="21" t="s">
        <v>33</v>
      </c>
      <c r="W386" s="21" t="s">
        <v>33</v>
      </c>
      <c r="X386" s="21" t="s">
        <v>33</v>
      </c>
      <c r="Y386" s="21" t="s">
        <v>33</v>
      </c>
      <c r="AL386">
        <f>COUNTIF(P386:T386,"&gt;0")</f>
      </c>
      <c r="AS386">
        <f>COUNTIF(P386,"&gt;0")</f>
      </c>
      <c r="AT386">
        <f>COUNTIF(Q386,"&gt;0")</f>
      </c>
      <c r="AU386">
        <f>COUNTIF(R386,"&gt;0")</f>
      </c>
      <c r="AV386">
        <f>COUNTIF(S386,"&gt;0")</f>
      </c>
      <c r="AW386">
        <f>COUNTIF(T386,"&gt;0")</f>
      </c>
      <c r="AX386" t="s">
        <v>458</v>
      </c>
      <c r="AY386" t="s">
        <v>467</v>
      </c>
    </row>
    <row r="387" ht="28" customHeight="1" spans="1:51" x14ac:dyDescent="0.25">
      <c r="A387" s="14"/>
      <c r="B387" s="14"/>
      <c r="C387" s="14"/>
      <c r="D387" s="14"/>
      <c r="E387" s="14"/>
      <c r="F387" s="15" t="s">
        <v>382</v>
      </c>
      <c r="G387" s="15" t="s">
        <v>383</v>
      </c>
      <c r="H387" s="14" t="s">
        <v>66</v>
      </c>
      <c r="I387" s="16">
        <v>3</v>
      </c>
      <c r="J387" s="17">
        <v>3</v>
      </c>
      <c r="K387" s="14" t="s">
        <v>157</v>
      </c>
      <c r="L387" s="14" t="s">
        <v>68</v>
      </c>
      <c r="M387" s="14"/>
      <c r="N387" s="14"/>
      <c r="O387" s="15"/>
      <c r="P387" s="19">
        <v>0</v>
      </c>
      <c r="Q387" s="19">
        <v>0</v>
      </c>
      <c r="R387" s="19">
        <v>0</v>
      </c>
      <c r="S387" s="19">
        <v>0</v>
      </c>
      <c r="T387" s="19">
        <v>0</v>
      </c>
      <c r="U387" s="14" t="s">
        <v>33</v>
      </c>
      <c r="V387" s="14" t="s">
        <v>33</v>
      </c>
      <c r="W387" s="14" t="s">
        <v>33</v>
      </c>
      <c r="X387" s="14" t="s">
        <v>33</v>
      </c>
      <c r="Y387" s="14" t="s">
        <v>33</v>
      </c>
      <c r="AM387">
        <f>COUNTIF(P387:T387,"&gt;0")</f>
      </c>
      <c r="AN387">
        <f>COUNTIF(P387,"&gt;0")</f>
      </c>
      <c r="AO387">
        <f>COUNTIF(Q387,"&gt;0")</f>
      </c>
      <c r="AP387">
        <f>COUNTIF(R387,"&gt;0")</f>
      </c>
      <c r="AQ387">
        <f>COUNTIF(S387,"&gt;0")</f>
      </c>
      <c r="AR387">
        <f>COUNTIF(T387,"&gt;0")</f>
      </c>
      <c r="AX387" t="s">
        <v>458</v>
      </c>
      <c r="AY387" t="s">
        <v>468</v>
      </c>
    </row>
    <row r="388" ht="18" customHeight="1" spans="1:51" x14ac:dyDescent="0.25">
      <c r="A388" s="14"/>
      <c r="B388" s="14"/>
      <c r="C388" s="14"/>
      <c r="D388" s="14"/>
      <c r="E388" s="14"/>
      <c r="F388" s="15"/>
      <c r="G388" s="15"/>
      <c r="H388" s="14" t="s">
        <v>71</v>
      </c>
      <c r="I388" s="16"/>
      <c r="J388" s="17"/>
      <c r="K388" s="14"/>
      <c r="L388" s="14"/>
      <c r="M388" s="14"/>
      <c r="N388" s="14"/>
      <c r="O388" s="15"/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 t="s">
        <v>33</v>
      </c>
      <c r="V388" s="21" t="s">
        <v>33</v>
      </c>
      <c r="W388" s="21" t="s">
        <v>33</v>
      </c>
      <c r="X388" s="21" t="s">
        <v>33</v>
      </c>
      <c r="Y388" s="21" t="s">
        <v>33</v>
      </c>
      <c r="AL388">
        <f>COUNTIF(P388:T388,"&gt;0")</f>
      </c>
      <c r="AS388">
        <f>COUNTIF(P388,"&gt;0")</f>
      </c>
      <c r="AT388">
        <f>COUNTIF(Q388,"&gt;0")</f>
      </c>
      <c r="AU388">
        <f>COUNTIF(R388,"&gt;0")</f>
      </c>
      <c r="AV388">
        <f>COUNTIF(S388,"&gt;0")</f>
      </c>
      <c r="AW388">
        <f>COUNTIF(T388,"&gt;0")</f>
      </c>
      <c r="AX388" t="s">
        <v>458</v>
      </c>
      <c r="AY388" t="s">
        <v>468</v>
      </c>
    </row>
    <row r="389" ht="28" customHeight="1" spans="1:51" x14ac:dyDescent="0.25">
      <c r="A389" s="14"/>
      <c r="B389" s="14"/>
      <c r="C389" s="14"/>
      <c r="D389" s="14"/>
      <c r="E389" s="14"/>
      <c r="F389" s="15" t="s">
        <v>385</v>
      </c>
      <c r="G389" s="15" t="s">
        <v>386</v>
      </c>
      <c r="H389" s="14" t="s">
        <v>66</v>
      </c>
      <c r="I389" s="16">
        <v>3</v>
      </c>
      <c r="J389" s="17">
        <v>3</v>
      </c>
      <c r="K389" s="14" t="s">
        <v>157</v>
      </c>
      <c r="L389" s="14" t="s">
        <v>68</v>
      </c>
      <c r="M389" s="14"/>
      <c r="N389" s="14"/>
      <c r="O389" s="15"/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4" t="s">
        <v>33</v>
      </c>
      <c r="V389" s="14" t="s">
        <v>33</v>
      </c>
      <c r="W389" s="14" t="s">
        <v>33</v>
      </c>
      <c r="X389" s="14" t="s">
        <v>33</v>
      </c>
      <c r="Y389" s="14" t="s">
        <v>33</v>
      </c>
      <c r="AM389">
        <f>COUNTIF(P389:T389,"&gt;0")</f>
      </c>
      <c r="AN389">
        <f>COUNTIF(P389,"&gt;0")</f>
      </c>
      <c r="AO389">
        <f>COUNTIF(Q389,"&gt;0")</f>
      </c>
      <c r="AP389">
        <f>COUNTIF(R389,"&gt;0")</f>
      </c>
      <c r="AQ389">
        <f>COUNTIF(S389,"&gt;0")</f>
      </c>
      <c r="AR389">
        <f>COUNTIF(T389,"&gt;0")</f>
      </c>
      <c r="AX389" t="s">
        <v>458</v>
      </c>
      <c r="AY389" t="s">
        <v>469</v>
      </c>
    </row>
    <row r="390" ht="18" customHeight="1" spans="1:51" x14ac:dyDescent="0.25">
      <c r="A390" s="14"/>
      <c r="B390" s="14"/>
      <c r="C390" s="14"/>
      <c r="D390" s="14"/>
      <c r="E390" s="14"/>
      <c r="F390" s="15"/>
      <c r="G390" s="15"/>
      <c r="H390" s="14" t="s">
        <v>71</v>
      </c>
      <c r="I390" s="16"/>
      <c r="J390" s="17"/>
      <c r="K390" s="14"/>
      <c r="L390" s="14"/>
      <c r="M390" s="14"/>
      <c r="N390" s="14"/>
      <c r="O390" s="15"/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1" t="s">
        <v>33</v>
      </c>
      <c r="V390" s="21" t="s">
        <v>33</v>
      </c>
      <c r="W390" s="21" t="s">
        <v>33</v>
      </c>
      <c r="X390" s="21" t="s">
        <v>33</v>
      </c>
      <c r="Y390" s="21" t="s">
        <v>33</v>
      </c>
      <c r="AL390">
        <f>COUNTIF(P390:T390,"&gt;0")</f>
      </c>
      <c r="AS390">
        <f>COUNTIF(P390,"&gt;0")</f>
      </c>
      <c r="AT390">
        <f>COUNTIF(Q390,"&gt;0")</f>
      </c>
      <c r="AU390">
        <f>COUNTIF(R390,"&gt;0")</f>
      </c>
      <c r="AV390">
        <f>COUNTIF(S390,"&gt;0")</f>
      </c>
      <c r="AW390">
        <f>COUNTIF(T390,"&gt;0")</f>
      </c>
      <c r="AX390" t="s">
        <v>458</v>
      </c>
      <c r="AY390" t="s">
        <v>469</v>
      </c>
    </row>
    <row r="391" ht="28" customHeight="1" spans="1:51" x14ac:dyDescent="0.25">
      <c r="A391" s="14"/>
      <c r="B391" s="14"/>
      <c r="C391" s="14"/>
      <c r="D391" s="14"/>
      <c r="E391" s="14"/>
      <c r="F391" s="15" t="s">
        <v>385</v>
      </c>
      <c r="G391" s="15" t="s">
        <v>388</v>
      </c>
      <c r="H391" s="14" t="s">
        <v>66</v>
      </c>
      <c r="I391" s="16">
        <v>3</v>
      </c>
      <c r="J391" s="17">
        <v>3</v>
      </c>
      <c r="K391" s="14" t="s">
        <v>157</v>
      </c>
      <c r="L391" s="14" t="s">
        <v>68</v>
      </c>
      <c r="M391" s="14"/>
      <c r="N391" s="14"/>
      <c r="O391" s="15"/>
      <c r="P391" s="19">
        <v>0</v>
      </c>
      <c r="Q391" s="19">
        <v>0</v>
      </c>
      <c r="R391" s="19">
        <v>0</v>
      </c>
      <c r="S391" s="23">
        <v>3</v>
      </c>
      <c r="T391" s="19">
        <v>0</v>
      </c>
      <c r="U391" s="14" t="s">
        <v>33</v>
      </c>
      <c r="V391" s="14" t="s">
        <v>33</v>
      </c>
      <c r="W391" s="14" t="s">
        <v>33</v>
      </c>
      <c r="X391" s="14" t="s">
        <v>33</v>
      </c>
      <c r="Y391" s="14" t="s">
        <v>33</v>
      </c>
      <c r="AM391">
        <f>COUNTIF(P391:T391,"&gt;0")</f>
      </c>
      <c r="AN391">
        <f>COUNTIF(P391,"&gt;0")</f>
      </c>
      <c r="AO391">
        <f>COUNTIF(Q391,"&gt;0")</f>
      </c>
      <c r="AP391">
        <f>COUNTIF(R391,"&gt;0")</f>
      </c>
      <c r="AQ391">
        <f>COUNTIF(S391,"&gt;0")</f>
      </c>
      <c r="AR391">
        <f>COUNTIF(T391,"&gt;0")</f>
      </c>
      <c r="AX391" t="s">
        <v>458</v>
      </c>
      <c r="AY391" t="s">
        <v>470</v>
      </c>
    </row>
    <row r="392" ht="18" customHeight="1" spans="1:51" x14ac:dyDescent="0.25">
      <c r="A392" s="14"/>
      <c r="B392" s="14"/>
      <c r="C392" s="14"/>
      <c r="D392" s="14"/>
      <c r="E392" s="14"/>
      <c r="F392" s="15"/>
      <c r="G392" s="15"/>
      <c r="H392" s="14" t="s">
        <v>71</v>
      </c>
      <c r="I392" s="16"/>
      <c r="J392" s="17"/>
      <c r="K392" s="14"/>
      <c r="L392" s="14"/>
      <c r="M392" s="14"/>
      <c r="N392" s="14"/>
      <c r="O392" s="15"/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1" t="s">
        <v>33</v>
      </c>
      <c r="V392" s="21" t="s">
        <v>33</v>
      </c>
      <c r="W392" s="21" t="s">
        <v>33</v>
      </c>
      <c r="X392" s="21" t="s">
        <v>33</v>
      </c>
      <c r="Y392" s="21" t="s">
        <v>33</v>
      </c>
      <c r="AL392">
        <f>COUNTIF(P392:T392,"&gt;0")</f>
      </c>
      <c r="AS392">
        <f>COUNTIF(P392,"&gt;0")</f>
      </c>
      <c r="AT392">
        <f>COUNTIF(Q392,"&gt;0")</f>
      </c>
      <c r="AU392">
        <f>COUNTIF(R392,"&gt;0")</f>
      </c>
      <c r="AV392">
        <f>COUNTIF(S392,"&gt;0")</f>
      </c>
      <c r="AW392">
        <f>COUNTIF(T392,"&gt;0")</f>
      </c>
      <c r="AX392" t="s">
        <v>458</v>
      </c>
      <c r="AY392" t="s">
        <v>470</v>
      </c>
    </row>
    <row r="393" ht="28" customHeight="1" spans="1:51" x14ac:dyDescent="0.25">
      <c r="A393" s="14"/>
      <c r="B393" s="14"/>
      <c r="C393" s="14"/>
      <c r="D393" s="14"/>
      <c r="E393" s="14"/>
      <c r="F393" s="15" t="s">
        <v>328</v>
      </c>
      <c r="G393" s="15" t="s">
        <v>390</v>
      </c>
      <c r="H393" s="14" t="s">
        <v>66</v>
      </c>
      <c r="I393" s="16">
        <v>3</v>
      </c>
      <c r="J393" s="17">
        <v>3</v>
      </c>
      <c r="K393" s="14" t="s">
        <v>157</v>
      </c>
      <c r="L393" s="14" t="s">
        <v>68</v>
      </c>
      <c r="M393" s="14"/>
      <c r="N393" s="14"/>
      <c r="O393" s="15"/>
      <c r="P393" s="19">
        <v>0</v>
      </c>
      <c r="Q393" s="19">
        <v>0</v>
      </c>
      <c r="R393" s="19">
        <v>0</v>
      </c>
      <c r="S393" s="19">
        <v>0</v>
      </c>
      <c r="T393" s="19">
        <v>0</v>
      </c>
      <c r="U393" s="14" t="s">
        <v>33</v>
      </c>
      <c r="V393" s="14" t="s">
        <v>33</v>
      </c>
      <c r="W393" s="14" t="s">
        <v>33</v>
      </c>
      <c r="X393" s="14" t="s">
        <v>33</v>
      </c>
      <c r="Y393" s="14" t="s">
        <v>33</v>
      </c>
      <c r="AM393">
        <f>COUNTIF(P393:T393,"&gt;0")</f>
      </c>
      <c r="AN393">
        <f>COUNTIF(P393,"&gt;0")</f>
      </c>
      <c r="AO393">
        <f>COUNTIF(Q393,"&gt;0")</f>
      </c>
      <c r="AP393">
        <f>COUNTIF(R393,"&gt;0")</f>
      </c>
      <c r="AQ393">
        <f>COUNTIF(S393,"&gt;0")</f>
      </c>
      <c r="AR393">
        <f>COUNTIF(T393,"&gt;0")</f>
      </c>
      <c r="AX393" t="s">
        <v>458</v>
      </c>
      <c r="AY393" t="s">
        <v>471</v>
      </c>
    </row>
    <row r="394" ht="18" customHeight="1" spans="1:51" x14ac:dyDescent="0.25">
      <c r="A394" s="14"/>
      <c r="B394" s="14"/>
      <c r="C394" s="14"/>
      <c r="D394" s="14"/>
      <c r="E394" s="14"/>
      <c r="F394" s="15"/>
      <c r="G394" s="15"/>
      <c r="H394" s="14" t="s">
        <v>71</v>
      </c>
      <c r="I394" s="16"/>
      <c r="J394" s="17"/>
      <c r="K394" s="14"/>
      <c r="L394" s="14"/>
      <c r="M394" s="14"/>
      <c r="N394" s="14"/>
      <c r="O394" s="15"/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1" t="s">
        <v>33</v>
      </c>
      <c r="V394" s="21" t="s">
        <v>33</v>
      </c>
      <c r="W394" s="21" t="s">
        <v>33</v>
      </c>
      <c r="X394" s="21" t="s">
        <v>33</v>
      </c>
      <c r="Y394" s="21" t="s">
        <v>33</v>
      </c>
      <c r="AL394">
        <f>COUNTIF(P394:T394,"&gt;0")</f>
      </c>
      <c r="AS394">
        <f>COUNTIF(P394,"&gt;0")</f>
      </c>
      <c r="AT394">
        <f>COUNTIF(Q394,"&gt;0")</f>
      </c>
      <c r="AU394">
        <f>COUNTIF(R394,"&gt;0")</f>
      </c>
      <c r="AV394">
        <f>COUNTIF(S394,"&gt;0")</f>
      </c>
      <c r="AW394">
        <f>COUNTIF(T394,"&gt;0")</f>
      </c>
      <c r="AX394" t="s">
        <v>458</v>
      </c>
      <c r="AY394" t="s">
        <v>471</v>
      </c>
    </row>
    <row r="395" ht="28" customHeight="1" spans="1:51" x14ac:dyDescent="0.25">
      <c r="A395" s="14"/>
      <c r="B395" s="14"/>
      <c r="C395" s="14"/>
      <c r="D395" s="14"/>
      <c r="E395" s="14"/>
      <c r="F395" s="15" t="s">
        <v>392</v>
      </c>
      <c r="G395" s="15" t="s">
        <v>393</v>
      </c>
      <c r="H395" s="14" t="s">
        <v>66</v>
      </c>
      <c r="I395" s="16">
        <v>3</v>
      </c>
      <c r="J395" s="17">
        <v>3</v>
      </c>
      <c r="K395" s="14" t="s">
        <v>157</v>
      </c>
      <c r="L395" s="14" t="s">
        <v>68</v>
      </c>
      <c r="M395" s="14"/>
      <c r="N395" s="14"/>
      <c r="O395" s="15"/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4" t="s">
        <v>33</v>
      </c>
      <c r="V395" s="14" t="s">
        <v>33</v>
      </c>
      <c r="W395" s="14" t="s">
        <v>33</v>
      </c>
      <c r="X395" s="14" t="s">
        <v>33</v>
      </c>
      <c r="Y395" s="14" t="s">
        <v>33</v>
      </c>
      <c r="AM395">
        <f>COUNTIF(P395:T395,"&gt;0")</f>
      </c>
      <c r="AN395">
        <f>COUNTIF(P395,"&gt;0")</f>
      </c>
      <c r="AO395">
        <f>COUNTIF(Q395,"&gt;0")</f>
      </c>
      <c r="AP395">
        <f>COUNTIF(R395,"&gt;0")</f>
      </c>
      <c r="AQ395">
        <f>COUNTIF(S395,"&gt;0")</f>
      </c>
      <c r="AR395">
        <f>COUNTIF(T395,"&gt;0")</f>
      </c>
      <c r="AX395" t="s">
        <v>458</v>
      </c>
      <c r="AY395" t="s">
        <v>472</v>
      </c>
    </row>
    <row r="396" ht="18" customHeight="1" spans="1:51" x14ac:dyDescent="0.25">
      <c r="A396" s="14"/>
      <c r="B396" s="14"/>
      <c r="C396" s="14"/>
      <c r="D396" s="14"/>
      <c r="E396" s="14"/>
      <c r="F396" s="15"/>
      <c r="G396" s="15"/>
      <c r="H396" s="14" t="s">
        <v>71</v>
      </c>
      <c r="I396" s="16"/>
      <c r="J396" s="17"/>
      <c r="K396" s="14"/>
      <c r="L396" s="14"/>
      <c r="M396" s="14"/>
      <c r="N396" s="14"/>
      <c r="O396" s="15"/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1" t="s">
        <v>33</v>
      </c>
      <c r="V396" s="21" t="s">
        <v>33</v>
      </c>
      <c r="W396" s="21" t="s">
        <v>33</v>
      </c>
      <c r="X396" s="21" t="s">
        <v>33</v>
      </c>
      <c r="Y396" s="21" t="s">
        <v>33</v>
      </c>
      <c r="AL396">
        <f>COUNTIF(P396:T396,"&gt;0")</f>
      </c>
      <c r="AS396">
        <f>COUNTIF(P396,"&gt;0")</f>
      </c>
      <c r="AT396">
        <f>COUNTIF(Q396,"&gt;0")</f>
      </c>
      <c r="AU396">
        <f>COUNTIF(R396,"&gt;0")</f>
      </c>
      <c r="AV396">
        <f>COUNTIF(S396,"&gt;0")</f>
      </c>
      <c r="AW396">
        <f>COUNTIF(T396,"&gt;0")</f>
      </c>
      <c r="AX396" t="s">
        <v>458</v>
      </c>
      <c r="AY396" t="s">
        <v>472</v>
      </c>
    </row>
    <row r="397" ht="28" customHeight="1" spans="1:51" x14ac:dyDescent="0.25">
      <c r="A397" s="14"/>
      <c r="B397" s="14"/>
      <c r="C397" s="14"/>
      <c r="D397" s="14"/>
      <c r="E397" s="14"/>
      <c r="F397" s="15" t="s">
        <v>395</v>
      </c>
      <c r="G397" s="15" t="s">
        <v>396</v>
      </c>
      <c r="H397" s="14" t="s">
        <v>66</v>
      </c>
      <c r="I397" s="16">
        <v>5</v>
      </c>
      <c r="J397" s="17">
        <v>12</v>
      </c>
      <c r="K397" s="14" t="s">
        <v>141</v>
      </c>
      <c r="L397" s="14" t="s">
        <v>68</v>
      </c>
      <c r="M397" s="14"/>
      <c r="N397" s="14"/>
      <c r="O397" s="15"/>
      <c r="P397" s="19">
        <v>0</v>
      </c>
      <c r="Q397" s="19">
        <v>0</v>
      </c>
      <c r="R397" s="25">
        <v>5</v>
      </c>
      <c r="S397" s="19">
        <v>0</v>
      </c>
      <c r="T397" s="19">
        <v>0</v>
      </c>
      <c r="U397" s="14" t="s">
        <v>33</v>
      </c>
      <c r="V397" s="14" t="s">
        <v>33</v>
      </c>
      <c r="W397" s="14" t="s">
        <v>33</v>
      </c>
      <c r="X397" s="14" t="s">
        <v>33</v>
      </c>
      <c r="Y397" s="14" t="s">
        <v>33</v>
      </c>
      <c r="AM397">
        <f>COUNTIF(P397:T397,"&gt;0")</f>
      </c>
      <c r="AN397">
        <f>COUNTIF(P397,"&gt;0")</f>
      </c>
      <c r="AO397">
        <f>COUNTIF(Q397,"&gt;0")</f>
      </c>
      <c r="AP397">
        <f>COUNTIF(R397,"&gt;0")</f>
      </c>
      <c r="AQ397">
        <f>COUNTIF(S397,"&gt;0")</f>
      </c>
      <c r="AR397">
        <f>COUNTIF(T397,"&gt;0")</f>
      </c>
      <c r="AX397" t="s">
        <v>458</v>
      </c>
      <c r="AY397" t="s">
        <v>473</v>
      </c>
    </row>
    <row r="398" ht="18" customHeight="1" spans="1:51" x14ac:dyDescent="0.25">
      <c r="A398" s="14"/>
      <c r="B398" s="14"/>
      <c r="C398" s="14"/>
      <c r="D398" s="14"/>
      <c r="E398" s="14"/>
      <c r="F398" s="15"/>
      <c r="G398" s="15"/>
      <c r="H398" s="14" t="s">
        <v>71</v>
      </c>
      <c r="I398" s="16"/>
      <c r="J398" s="17"/>
      <c r="K398" s="14"/>
      <c r="L398" s="14"/>
      <c r="M398" s="14"/>
      <c r="N398" s="14"/>
      <c r="O398" s="15"/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1" t="s">
        <v>33</v>
      </c>
      <c r="V398" s="21" t="s">
        <v>33</v>
      </c>
      <c r="W398" s="21" t="s">
        <v>33</v>
      </c>
      <c r="X398" s="21" t="s">
        <v>33</v>
      </c>
      <c r="Y398" s="21" t="s">
        <v>33</v>
      </c>
      <c r="AL398">
        <f>COUNTIF(P398:T398,"&gt;0")</f>
      </c>
      <c r="AS398">
        <f>COUNTIF(P398,"&gt;0")</f>
      </c>
      <c r="AT398">
        <f>COUNTIF(Q398,"&gt;0")</f>
      </c>
      <c r="AU398">
        <f>COUNTIF(R398,"&gt;0")</f>
      </c>
      <c r="AV398">
        <f>COUNTIF(S398,"&gt;0")</f>
      </c>
      <c r="AW398">
        <f>COUNTIF(T398,"&gt;0")</f>
      </c>
      <c r="AX398" t="s">
        <v>458</v>
      </c>
      <c r="AY398" t="s">
        <v>473</v>
      </c>
    </row>
    <row r="399" ht="28" customHeight="1" spans="1:51" x14ac:dyDescent="0.25">
      <c r="A399" s="14"/>
      <c r="B399" s="14"/>
      <c r="C399" s="14"/>
      <c r="D399" s="14"/>
      <c r="E399" s="14"/>
      <c r="F399" s="15" t="s">
        <v>398</v>
      </c>
      <c r="G399" s="15" t="s">
        <v>399</v>
      </c>
      <c r="H399" s="14" t="s">
        <v>66</v>
      </c>
      <c r="I399" s="16">
        <v>5</v>
      </c>
      <c r="J399" s="17">
        <v>12</v>
      </c>
      <c r="K399" s="14" t="s">
        <v>141</v>
      </c>
      <c r="L399" s="14" t="s">
        <v>68</v>
      </c>
      <c r="M399" s="14"/>
      <c r="N399" s="14"/>
      <c r="O399" s="15"/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4" t="s">
        <v>33</v>
      </c>
      <c r="V399" s="14" t="s">
        <v>33</v>
      </c>
      <c r="W399" s="14" t="s">
        <v>33</v>
      </c>
      <c r="X399" s="14" t="s">
        <v>33</v>
      </c>
      <c r="Y399" s="14" t="s">
        <v>33</v>
      </c>
      <c r="AM399">
        <f>COUNTIF(P399:T399,"&gt;0")</f>
      </c>
      <c r="AN399">
        <f>COUNTIF(P399,"&gt;0")</f>
      </c>
      <c r="AO399">
        <f>COUNTIF(Q399,"&gt;0")</f>
      </c>
      <c r="AP399">
        <f>COUNTIF(R399,"&gt;0")</f>
      </c>
      <c r="AQ399">
        <f>COUNTIF(S399,"&gt;0")</f>
      </c>
      <c r="AR399">
        <f>COUNTIF(T399,"&gt;0")</f>
      </c>
      <c r="AX399" t="s">
        <v>458</v>
      </c>
      <c r="AY399" t="s">
        <v>474</v>
      </c>
    </row>
    <row r="400" ht="18" customHeight="1" spans="1:51" x14ac:dyDescent="0.25">
      <c r="A400" s="14"/>
      <c r="B400" s="14"/>
      <c r="C400" s="14"/>
      <c r="D400" s="14"/>
      <c r="E400" s="14"/>
      <c r="F400" s="15"/>
      <c r="G400" s="15"/>
      <c r="H400" s="14" t="s">
        <v>71</v>
      </c>
      <c r="I400" s="16"/>
      <c r="J400" s="17"/>
      <c r="K400" s="14"/>
      <c r="L400" s="14"/>
      <c r="M400" s="14"/>
      <c r="N400" s="14"/>
      <c r="O400" s="15"/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1" t="s">
        <v>33</v>
      </c>
      <c r="V400" s="21" t="s">
        <v>33</v>
      </c>
      <c r="W400" s="21" t="s">
        <v>33</v>
      </c>
      <c r="X400" s="21" t="s">
        <v>33</v>
      </c>
      <c r="Y400" s="21" t="s">
        <v>33</v>
      </c>
      <c r="AL400">
        <f>COUNTIF(P400:T400,"&gt;0")</f>
      </c>
      <c r="AS400">
        <f>COUNTIF(P400,"&gt;0")</f>
      </c>
      <c r="AT400">
        <f>COUNTIF(Q400,"&gt;0")</f>
      </c>
      <c r="AU400">
        <f>COUNTIF(R400,"&gt;0")</f>
      </c>
      <c r="AV400">
        <f>COUNTIF(S400,"&gt;0")</f>
      </c>
      <c r="AW400">
        <f>COUNTIF(T400,"&gt;0")</f>
      </c>
      <c r="AX400" t="s">
        <v>458</v>
      </c>
      <c r="AY400" t="s">
        <v>474</v>
      </c>
    </row>
    <row r="401" ht="28" customHeight="1" spans="1:51" x14ac:dyDescent="0.25">
      <c r="A401" s="14"/>
      <c r="B401" s="14"/>
      <c r="C401" s="14"/>
      <c r="D401" s="14"/>
      <c r="E401" s="14"/>
      <c r="F401" s="15" t="s">
        <v>401</v>
      </c>
      <c r="G401" s="15" t="s">
        <v>402</v>
      </c>
      <c r="H401" s="14" t="s">
        <v>66</v>
      </c>
      <c r="I401" s="16">
        <v>5</v>
      </c>
      <c r="J401" s="17">
        <v>12</v>
      </c>
      <c r="K401" s="14" t="s">
        <v>141</v>
      </c>
      <c r="L401" s="14" t="s">
        <v>68</v>
      </c>
      <c r="M401" s="14"/>
      <c r="N401" s="14"/>
      <c r="O401" s="15"/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4" t="s">
        <v>33</v>
      </c>
      <c r="V401" s="14" t="s">
        <v>33</v>
      </c>
      <c r="W401" s="14" t="s">
        <v>33</v>
      </c>
      <c r="X401" s="14" t="s">
        <v>33</v>
      </c>
      <c r="Y401" s="14" t="s">
        <v>33</v>
      </c>
      <c r="AM401">
        <f>COUNTIF(P401:T401,"&gt;0")</f>
      </c>
      <c r="AN401">
        <f>COUNTIF(P401,"&gt;0")</f>
      </c>
      <c r="AO401">
        <f>COUNTIF(Q401,"&gt;0")</f>
      </c>
      <c r="AP401">
        <f>COUNTIF(R401,"&gt;0")</f>
      </c>
      <c r="AQ401">
        <f>COUNTIF(S401,"&gt;0")</f>
      </c>
      <c r="AR401">
        <f>COUNTIF(T401,"&gt;0")</f>
      </c>
      <c r="AX401" t="s">
        <v>458</v>
      </c>
      <c r="AY401" t="s">
        <v>475</v>
      </c>
    </row>
    <row r="402" ht="18" customHeight="1" spans="1:51" x14ac:dyDescent="0.25">
      <c r="A402" s="14"/>
      <c r="B402" s="14"/>
      <c r="C402" s="14"/>
      <c r="D402" s="14"/>
      <c r="E402" s="14"/>
      <c r="F402" s="15"/>
      <c r="G402" s="15"/>
      <c r="H402" s="14" t="s">
        <v>71</v>
      </c>
      <c r="I402" s="16"/>
      <c r="J402" s="17"/>
      <c r="K402" s="14"/>
      <c r="L402" s="14"/>
      <c r="M402" s="14"/>
      <c r="N402" s="14"/>
      <c r="O402" s="15"/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1" t="s">
        <v>33</v>
      </c>
      <c r="V402" s="21" t="s">
        <v>33</v>
      </c>
      <c r="W402" s="21" t="s">
        <v>33</v>
      </c>
      <c r="X402" s="21" t="s">
        <v>33</v>
      </c>
      <c r="Y402" s="21" t="s">
        <v>33</v>
      </c>
      <c r="AL402">
        <f>COUNTIF(P402:T402,"&gt;0")</f>
      </c>
      <c r="AS402">
        <f>COUNTIF(P402,"&gt;0")</f>
      </c>
      <c r="AT402">
        <f>COUNTIF(Q402,"&gt;0")</f>
      </c>
      <c r="AU402">
        <f>COUNTIF(R402,"&gt;0")</f>
      </c>
      <c r="AV402">
        <f>COUNTIF(S402,"&gt;0")</f>
      </c>
      <c r="AW402">
        <f>COUNTIF(T402,"&gt;0")</f>
      </c>
      <c r="AX402" t="s">
        <v>458</v>
      </c>
      <c r="AY402" t="s">
        <v>475</v>
      </c>
    </row>
    <row r="403" ht="28" customHeight="1" spans="1:51" x14ac:dyDescent="0.25">
      <c r="A403" s="14"/>
      <c r="B403" s="14" t="s">
        <v>476</v>
      </c>
      <c r="C403" s="14" t="s">
        <v>477</v>
      </c>
      <c r="D403" s="14" t="s">
        <v>478</v>
      </c>
      <c r="E403" s="14" t="s">
        <v>118</v>
      </c>
      <c r="F403" s="15" t="s">
        <v>362</v>
      </c>
      <c r="G403" s="15" t="s">
        <v>363</v>
      </c>
      <c r="H403" s="14" t="s">
        <v>66</v>
      </c>
      <c r="I403" s="16">
        <v>2</v>
      </c>
      <c r="J403" s="17">
        <v>1</v>
      </c>
      <c r="K403" s="14" t="s">
        <v>67</v>
      </c>
      <c r="L403" s="14" t="s">
        <v>68</v>
      </c>
      <c r="M403" s="14"/>
      <c r="N403" s="14"/>
      <c r="O403" s="15"/>
      <c r="P403" s="19">
        <v>0</v>
      </c>
      <c r="Q403" s="19">
        <v>0</v>
      </c>
      <c r="R403" s="18">
        <v>2</v>
      </c>
      <c r="S403" s="19">
        <v>0</v>
      </c>
      <c r="T403" s="19">
        <v>0</v>
      </c>
      <c r="U403" s="14" t="s">
        <v>33</v>
      </c>
      <c r="V403" s="14" t="s">
        <v>33</v>
      </c>
      <c r="W403" s="14" t="s">
        <v>33</v>
      </c>
      <c r="X403" s="14" t="s">
        <v>33</v>
      </c>
      <c r="Y403" s="14" t="s">
        <v>33</v>
      </c>
      <c r="AM403">
        <f>COUNTIF(P403:T403,"&gt;0")</f>
      </c>
      <c r="AN403">
        <f>COUNTIF(P403,"&gt;0")</f>
      </c>
      <c r="AO403">
        <f>COUNTIF(Q403,"&gt;0")</f>
      </c>
      <c r="AP403">
        <f>COUNTIF(R403,"&gt;0")</f>
      </c>
      <c r="AQ403">
        <f>COUNTIF(S403,"&gt;0")</f>
      </c>
      <c r="AR403">
        <f>COUNTIF(T403,"&gt;0")</f>
      </c>
      <c r="AX403" t="s">
        <v>476</v>
      </c>
      <c r="AY403" t="s">
        <v>479</v>
      </c>
    </row>
    <row r="404" ht="18" customHeight="1" spans="1:51" x14ac:dyDescent="0.25">
      <c r="A404" s="14"/>
      <c r="B404" s="14"/>
      <c r="C404" s="14"/>
      <c r="D404" s="14"/>
      <c r="E404" s="14"/>
      <c r="F404" s="15"/>
      <c r="G404" s="15"/>
      <c r="H404" s="14" t="s">
        <v>71</v>
      </c>
      <c r="I404" s="16"/>
      <c r="J404" s="17"/>
      <c r="K404" s="14"/>
      <c r="L404" s="14"/>
      <c r="M404" s="14"/>
      <c r="N404" s="14"/>
      <c r="O404" s="15"/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1" t="s">
        <v>33</v>
      </c>
      <c r="V404" s="21" t="s">
        <v>33</v>
      </c>
      <c r="W404" s="21" t="s">
        <v>33</v>
      </c>
      <c r="X404" s="21" t="s">
        <v>33</v>
      </c>
      <c r="Y404" s="21" t="s">
        <v>33</v>
      </c>
      <c r="AL404">
        <f>COUNTIF(P404:T404,"&gt;0")</f>
      </c>
      <c r="AS404">
        <f>COUNTIF(P404,"&gt;0")</f>
      </c>
      <c r="AT404">
        <f>COUNTIF(Q404,"&gt;0")</f>
      </c>
      <c r="AU404">
        <f>COUNTIF(R404,"&gt;0")</f>
      </c>
      <c r="AV404">
        <f>COUNTIF(S404,"&gt;0")</f>
      </c>
      <c r="AW404">
        <f>COUNTIF(T404,"&gt;0")</f>
      </c>
      <c r="AX404" t="s">
        <v>476</v>
      </c>
      <c r="AY404" t="s">
        <v>479</v>
      </c>
    </row>
    <row r="405" ht="28" customHeight="1" spans="1:51" x14ac:dyDescent="0.25">
      <c r="A405" s="14"/>
      <c r="B405" s="14"/>
      <c r="C405" s="14"/>
      <c r="D405" s="14"/>
      <c r="E405" s="14"/>
      <c r="F405" s="15" t="s">
        <v>365</v>
      </c>
      <c r="G405" s="15" t="s">
        <v>366</v>
      </c>
      <c r="H405" s="14" t="s">
        <v>66</v>
      </c>
      <c r="I405" s="16">
        <v>2</v>
      </c>
      <c r="J405" s="17">
        <v>1</v>
      </c>
      <c r="K405" s="14" t="s">
        <v>67</v>
      </c>
      <c r="L405" s="14" t="s">
        <v>68</v>
      </c>
      <c r="M405" s="14"/>
      <c r="N405" s="14"/>
      <c r="O405" s="15"/>
      <c r="P405" s="19">
        <v>0</v>
      </c>
      <c r="Q405" s="19">
        <v>0</v>
      </c>
      <c r="R405" s="19">
        <v>0</v>
      </c>
      <c r="S405" s="18">
        <v>2</v>
      </c>
      <c r="T405" s="19">
        <v>0</v>
      </c>
      <c r="U405" s="14" t="s">
        <v>33</v>
      </c>
      <c r="V405" s="14" t="s">
        <v>33</v>
      </c>
      <c r="W405" s="14" t="s">
        <v>33</v>
      </c>
      <c r="X405" s="14" t="s">
        <v>33</v>
      </c>
      <c r="Y405" s="14" t="s">
        <v>33</v>
      </c>
      <c r="AM405">
        <f>COUNTIF(P405:T405,"&gt;0")</f>
      </c>
      <c r="AN405">
        <f>COUNTIF(P405,"&gt;0")</f>
      </c>
      <c r="AO405">
        <f>COUNTIF(Q405,"&gt;0")</f>
      </c>
      <c r="AP405">
        <f>COUNTIF(R405,"&gt;0")</f>
      </c>
      <c r="AQ405">
        <f>COUNTIF(S405,"&gt;0")</f>
      </c>
      <c r="AR405">
        <f>COUNTIF(T405,"&gt;0")</f>
      </c>
      <c r="AX405" t="s">
        <v>476</v>
      </c>
      <c r="AY405" t="s">
        <v>480</v>
      </c>
    </row>
    <row r="406" ht="18" customHeight="1" spans="1:51" x14ac:dyDescent="0.25">
      <c r="A406" s="14"/>
      <c r="B406" s="14"/>
      <c r="C406" s="14"/>
      <c r="D406" s="14"/>
      <c r="E406" s="14"/>
      <c r="F406" s="15"/>
      <c r="G406" s="15"/>
      <c r="H406" s="14" t="s">
        <v>71</v>
      </c>
      <c r="I406" s="16"/>
      <c r="J406" s="17"/>
      <c r="K406" s="14"/>
      <c r="L406" s="14"/>
      <c r="M406" s="14"/>
      <c r="N406" s="14"/>
      <c r="O406" s="15"/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1" t="s">
        <v>33</v>
      </c>
      <c r="V406" s="21" t="s">
        <v>33</v>
      </c>
      <c r="W406" s="21" t="s">
        <v>33</v>
      </c>
      <c r="X406" s="21" t="s">
        <v>33</v>
      </c>
      <c r="Y406" s="21" t="s">
        <v>33</v>
      </c>
      <c r="AL406">
        <f>COUNTIF(P406:T406,"&gt;0")</f>
      </c>
      <c r="AS406">
        <f>COUNTIF(P406,"&gt;0")</f>
      </c>
      <c r="AT406">
        <f>COUNTIF(Q406,"&gt;0")</f>
      </c>
      <c r="AU406">
        <f>COUNTIF(R406,"&gt;0")</f>
      </c>
      <c r="AV406">
        <f>COUNTIF(S406,"&gt;0")</f>
      </c>
      <c r="AW406">
        <f>COUNTIF(T406,"&gt;0")</f>
      </c>
      <c r="AX406" t="s">
        <v>476</v>
      </c>
      <c r="AY406" t="s">
        <v>480</v>
      </c>
    </row>
    <row r="407" ht="28" customHeight="1" spans="1:51" x14ac:dyDescent="0.25">
      <c r="A407" s="14"/>
      <c r="B407" s="14"/>
      <c r="C407" s="14"/>
      <c r="D407" s="14"/>
      <c r="E407" s="14"/>
      <c r="F407" s="15" t="s">
        <v>365</v>
      </c>
      <c r="G407" s="15" t="s">
        <v>368</v>
      </c>
      <c r="H407" s="14" t="s">
        <v>66</v>
      </c>
      <c r="I407" s="16">
        <v>2</v>
      </c>
      <c r="J407" s="17">
        <v>1</v>
      </c>
      <c r="K407" s="14" t="s">
        <v>67</v>
      </c>
      <c r="L407" s="14" t="s">
        <v>68</v>
      </c>
      <c r="M407" s="14"/>
      <c r="N407" s="14"/>
      <c r="O407" s="15"/>
      <c r="P407" s="18">
        <v>2</v>
      </c>
      <c r="Q407" s="19">
        <v>0</v>
      </c>
      <c r="R407" s="19">
        <v>0</v>
      </c>
      <c r="S407" s="19">
        <v>0</v>
      </c>
      <c r="T407" s="19">
        <v>0</v>
      </c>
      <c r="U407" s="14" t="s">
        <v>33</v>
      </c>
      <c r="V407" s="14" t="s">
        <v>33</v>
      </c>
      <c r="W407" s="14" t="s">
        <v>33</v>
      </c>
      <c r="X407" s="14" t="s">
        <v>33</v>
      </c>
      <c r="Y407" s="14" t="s">
        <v>33</v>
      </c>
      <c r="AM407">
        <f>COUNTIF(P407:T407,"&gt;0")</f>
      </c>
      <c r="AN407">
        <f>COUNTIF(P407,"&gt;0")</f>
      </c>
      <c r="AO407">
        <f>COUNTIF(Q407,"&gt;0")</f>
      </c>
      <c r="AP407">
        <f>COUNTIF(R407,"&gt;0")</f>
      </c>
      <c r="AQ407">
        <f>COUNTIF(S407,"&gt;0")</f>
      </c>
      <c r="AR407">
        <f>COUNTIF(T407,"&gt;0")</f>
      </c>
      <c r="AX407" t="s">
        <v>476</v>
      </c>
      <c r="AY407" t="s">
        <v>481</v>
      </c>
    </row>
    <row r="408" ht="18" customHeight="1" spans="1:51" x14ac:dyDescent="0.25">
      <c r="A408" s="14"/>
      <c r="B408" s="14"/>
      <c r="C408" s="14"/>
      <c r="D408" s="14"/>
      <c r="E408" s="14"/>
      <c r="F408" s="15"/>
      <c r="G408" s="15"/>
      <c r="H408" s="14" t="s">
        <v>71</v>
      </c>
      <c r="I408" s="16"/>
      <c r="J408" s="17"/>
      <c r="K408" s="14"/>
      <c r="L408" s="14"/>
      <c r="M408" s="14"/>
      <c r="N408" s="14"/>
      <c r="O408" s="15"/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1" t="s">
        <v>33</v>
      </c>
      <c r="V408" s="21" t="s">
        <v>33</v>
      </c>
      <c r="W408" s="21" t="s">
        <v>33</v>
      </c>
      <c r="X408" s="21" t="s">
        <v>33</v>
      </c>
      <c r="Y408" s="21" t="s">
        <v>33</v>
      </c>
      <c r="AL408">
        <f>COUNTIF(P408:T408,"&gt;0")</f>
      </c>
      <c r="AS408">
        <f>COUNTIF(P408,"&gt;0")</f>
      </c>
      <c r="AT408">
        <f>COUNTIF(Q408,"&gt;0")</f>
      </c>
      <c r="AU408">
        <f>COUNTIF(R408,"&gt;0")</f>
      </c>
      <c r="AV408">
        <f>COUNTIF(S408,"&gt;0")</f>
      </c>
      <c r="AW408">
        <f>COUNTIF(T408,"&gt;0")</f>
      </c>
      <c r="AX408" t="s">
        <v>476</v>
      </c>
      <c r="AY408" t="s">
        <v>481</v>
      </c>
    </row>
    <row r="409" ht="28" customHeight="1" spans="1:51" x14ac:dyDescent="0.25">
      <c r="A409" s="14"/>
      <c r="B409" s="14"/>
      <c r="C409" s="14"/>
      <c r="D409" s="14"/>
      <c r="E409" s="14"/>
      <c r="F409" s="15" t="s">
        <v>370</v>
      </c>
      <c r="G409" s="15" t="s">
        <v>371</v>
      </c>
      <c r="H409" s="14" t="s">
        <v>66</v>
      </c>
      <c r="I409" s="16">
        <v>2</v>
      </c>
      <c r="J409" s="17">
        <v>1</v>
      </c>
      <c r="K409" s="14" t="s">
        <v>67</v>
      </c>
      <c r="L409" s="14" t="s">
        <v>68</v>
      </c>
      <c r="M409" s="14"/>
      <c r="N409" s="14"/>
      <c r="O409" s="15"/>
      <c r="P409" s="19">
        <v>0</v>
      </c>
      <c r="Q409" s="18">
        <v>2</v>
      </c>
      <c r="R409" s="19">
        <v>0</v>
      </c>
      <c r="S409" s="19">
        <v>0</v>
      </c>
      <c r="T409" s="19">
        <v>0</v>
      </c>
      <c r="U409" s="14" t="s">
        <v>33</v>
      </c>
      <c r="V409" s="14" t="s">
        <v>33</v>
      </c>
      <c r="W409" s="14" t="s">
        <v>33</v>
      </c>
      <c r="X409" s="14" t="s">
        <v>33</v>
      </c>
      <c r="Y409" s="14" t="s">
        <v>33</v>
      </c>
      <c r="AM409">
        <f>COUNTIF(P409:T409,"&gt;0")</f>
      </c>
      <c r="AN409">
        <f>COUNTIF(P409,"&gt;0")</f>
      </c>
      <c r="AO409">
        <f>COUNTIF(Q409,"&gt;0")</f>
      </c>
      <c r="AP409">
        <f>COUNTIF(R409,"&gt;0")</f>
      </c>
      <c r="AQ409">
        <f>COUNTIF(S409,"&gt;0")</f>
      </c>
      <c r="AR409">
        <f>COUNTIF(T409,"&gt;0")</f>
      </c>
      <c r="AX409" t="s">
        <v>476</v>
      </c>
      <c r="AY409" t="s">
        <v>482</v>
      </c>
    </row>
    <row r="410" ht="18" customHeight="1" spans="1:51" x14ac:dyDescent="0.25">
      <c r="A410" s="14"/>
      <c r="B410" s="14"/>
      <c r="C410" s="14"/>
      <c r="D410" s="14"/>
      <c r="E410" s="14"/>
      <c r="F410" s="15"/>
      <c r="G410" s="15"/>
      <c r="H410" s="14" t="s">
        <v>71</v>
      </c>
      <c r="I410" s="16"/>
      <c r="J410" s="17"/>
      <c r="K410" s="14"/>
      <c r="L410" s="14"/>
      <c r="M410" s="14"/>
      <c r="N410" s="14"/>
      <c r="O410" s="15"/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1" t="s">
        <v>33</v>
      </c>
      <c r="V410" s="21" t="s">
        <v>33</v>
      </c>
      <c r="W410" s="21" t="s">
        <v>33</v>
      </c>
      <c r="X410" s="21" t="s">
        <v>33</v>
      </c>
      <c r="Y410" s="21" t="s">
        <v>33</v>
      </c>
      <c r="AL410">
        <f>COUNTIF(P410:T410,"&gt;0")</f>
      </c>
      <c r="AS410">
        <f>COUNTIF(P410,"&gt;0")</f>
      </c>
      <c r="AT410">
        <f>COUNTIF(Q410,"&gt;0")</f>
      </c>
      <c r="AU410">
        <f>COUNTIF(R410,"&gt;0")</f>
      </c>
      <c r="AV410">
        <f>COUNTIF(S410,"&gt;0")</f>
      </c>
      <c r="AW410">
        <f>COUNTIF(T410,"&gt;0")</f>
      </c>
      <c r="AX410" t="s">
        <v>476</v>
      </c>
      <c r="AY410" t="s">
        <v>482</v>
      </c>
    </row>
    <row r="411" ht="28" customHeight="1" spans="1:51" x14ac:dyDescent="0.25">
      <c r="A411" s="14"/>
      <c r="B411" s="14"/>
      <c r="C411" s="14"/>
      <c r="D411" s="14"/>
      <c r="E411" s="14"/>
      <c r="F411" s="15" t="s">
        <v>373</v>
      </c>
      <c r="G411" s="15" t="s">
        <v>374</v>
      </c>
      <c r="H411" s="14" t="s">
        <v>66</v>
      </c>
      <c r="I411" s="16">
        <v>2</v>
      </c>
      <c r="J411" s="17">
        <v>1</v>
      </c>
      <c r="K411" s="14" t="s">
        <v>67</v>
      </c>
      <c r="L411" s="14" t="s">
        <v>68</v>
      </c>
      <c r="M411" s="14"/>
      <c r="N411" s="14"/>
      <c r="O411" s="15"/>
      <c r="P411" s="19">
        <v>0</v>
      </c>
      <c r="Q411" s="19">
        <v>0</v>
      </c>
      <c r="R411" s="18">
        <v>2</v>
      </c>
      <c r="S411" s="19">
        <v>0</v>
      </c>
      <c r="T411" s="19">
        <v>0</v>
      </c>
      <c r="U411" s="14" t="s">
        <v>33</v>
      </c>
      <c r="V411" s="14" t="s">
        <v>33</v>
      </c>
      <c r="W411" s="14" t="s">
        <v>33</v>
      </c>
      <c r="X411" s="14" t="s">
        <v>33</v>
      </c>
      <c r="Y411" s="14" t="s">
        <v>33</v>
      </c>
      <c r="AM411">
        <f>COUNTIF(P411:T411,"&gt;0")</f>
      </c>
      <c r="AN411">
        <f>COUNTIF(P411,"&gt;0")</f>
      </c>
      <c r="AO411">
        <f>COUNTIF(Q411,"&gt;0")</f>
      </c>
      <c r="AP411">
        <f>COUNTIF(R411,"&gt;0")</f>
      </c>
      <c r="AQ411">
        <f>COUNTIF(S411,"&gt;0")</f>
      </c>
      <c r="AR411">
        <f>COUNTIF(T411,"&gt;0")</f>
      </c>
      <c r="AX411" t="s">
        <v>476</v>
      </c>
      <c r="AY411" t="s">
        <v>483</v>
      </c>
    </row>
    <row r="412" ht="18" customHeight="1" spans="1:51" x14ac:dyDescent="0.25">
      <c r="A412" s="14"/>
      <c r="B412" s="14"/>
      <c r="C412" s="14"/>
      <c r="D412" s="14"/>
      <c r="E412" s="14"/>
      <c r="F412" s="15"/>
      <c r="G412" s="15"/>
      <c r="H412" s="14" t="s">
        <v>71</v>
      </c>
      <c r="I412" s="16"/>
      <c r="J412" s="17"/>
      <c r="K412" s="14"/>
      <c r="L412" s="14"/>
      <c r="M412" s="14"/>
      <c r="N412" s="14"/>
      <c r="O412" s="15"/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1" t="s">
        <v>33</v>
      </c>
      <c r="V412" s="21" t="s">
        <v>33</v>
      </c>
      <c r="W412" s="21" t="s">
        <v>33</v>
      </c>
      <c r="X412" s="21" t="s">
        <v>33</v>
      </c>
      <c r="Y412" s="21" t="s">
        <v>33</v>
      </c>
      <c r="AL412">
        <f>COUNTIF(P412:T412,"&gt;0")</f>
      </c>
      <c r="AS412">
        <f>COUNTIF(P412,"&gt;0")</f>
      </c>
      <c r="AT412">
        <f>COUNTIF(Q412,"&gt;0")</f>
      </c>
      <c r="AU412">
        <f>COUNTIF(R412,"&gt;0")</f>
      </c>
      <c r="AV412">
        <f>COUNTIF(S412,"&gt;0")</f>
      </c>
      <c r="AW412">
        <f>COUNTIF(T412,"&gt;0")</f>
      </c>
      <c r="AX412" t="s">
        <v>476</v>
      </c>
      <c r="AY412" t="s">
        <v>483</v>
      </c>
    </row>
    <row r="413" ht="28" customHeight="1" spans="1:51" x14ac:dyDescent="0.25">
      <c r="A413" s="14"/>
      <c r="B413" s="14"/>
      <c r="C413" s="14"/>
      <c r="D413" s="14"/>
      <c r="E413" s="14"/>
      <c r="F413" s="15" t="s">
        <v>376</v>
      </c>
      <c r="G413" s="15" t="s">
        <v>377</v>
      </c>
      <c r="H413" s="14" t="s">
        <v>66</v>
      </c>
      <c r="I413" s="16">
        <v>2</v>
      </c>
      <c r="J413" s="17">
        <v>1</v>
      </c>
      <c r="K413" s="14" t="s">
        <v>67</v>
      </c>
      <c r="L413" s="14" t="s">
        <v>68</v>
      </c>
      <c r="M413" s="14"/>
      <c r="N413" s="14"/>
      <c r="O413" s="15"/>
      <c r="P413" s="19">
        <v>0</v>
      </c>
      <c r="Q413" s="19">
        <v>0</v>
      </c>
      <c r="R413" s="19">
        <v>0</v>
      </c>
      <c r="S413" s="18">
        <v>2</v>
      </c>
      <c r="T413" s="19">
        <v>0</v>
      </c>
      <c r="U413" s="14" t="s">
        <v>33</v>
      </c>
      <c r="V413" s="14" t="s">
        <v>33</v>
      </c>
      <c r="W413" s="14" t="s">
        <v>33</v>
      </c>
      <c r="X413" s="14" t="s">
        <v>33</v>
      </c>
      <c r="Y413" s="14" t="s">
        <v>33</v>
      </c>
      <c r="AM413">
        <f>COUNTIF(P413:T413,"&gt;0")</f>
      </c>
      <c r="AN413">
        <f>COUNTIF(P413,"&gt;0")</f>
      </c>
      <c r="AO413">
        <f>COUNTIF(Q413,"&gt;0")</f>
      </c>
      <c r="AP413">
        <f>COUNTIF(R413,"&gt;0")</f>
      </c>
      <c r="AQ413">
        <f>COUNTIF(S413,"&gt;0")</f>
      </c>
      <c r="AR413">
        <f>COUNTIF(T413,"&gt;0")</f>
      </c>
      <c r="AX413" t="s">
        <v>476</v>
      </c>
      <c r="AY413" t="s">
        <v>484</v>
      </c>
    </row>
    <row r="414" ht="18" customHeight="1" spans="1:51" x14ac:dyDescent="0.25">
      <c r="A414" s="14"/>
      <c r="B414" s="14"/>
      <c r="C414" s="14"/>
      <c r="D414" s="14"/>
      <c r="E414" s="14"/>
      <c r="F414" s="15"/>
      <c r="G414" s="15"/>
      <c r="H414" s="14" t="s">
        <v>71</v>
      </c>
      <c r="I414" s="16"/>
      <c r="J414" s="17"/>
      <c r="K414" s="14"/>
      <c r="L414" s="14"/>
      <c r="M414" s="14"/>
      <c r="N414" s="14"/>
      <c r="O414" s="15"/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1" t="s">
        <v>33</v>
      </c>
      <c r="V414" s="21" t="s">
        <v>33</v>
      </c>
      <c r="W414" s="21" t="s">
        <v>33</v>
      </c>
      <c r="X414" s="21" t="s">
        <v>33</v>
      </c>
      <c r="Y414" s="21" t="s">
        <v>33</v>
      </c>
      <c r="AL414">
        <f>COUNTIF(P414:T414,"&gt;0")</f>
      </c>
      <c r="AS414">
        <f>COUNTIF(P414,"&gt;0")</f>
      </c>
      <c r="AT414">
        <f>COUNTIF(Q414,"&gt;0")</f>
      </c>
      <c r="AU414">
        <f>COUNTIF(R414,"&gt;0")</f>
      </c>
      <c r="AV414">
        <f>COUNTIF(S414,"&gt;0")</f>
      </c>
      <c r="AW414">
        <f>COUNTIF(T414,"&gt;0")</f>
      </c>
      <c r="AX414" t="s">
        <v>476</v>
      </c>
      <c r="AY414" t="s">
        <v>484</v>
      </c>
    </row>
    <row r="415" ht="28" customHeight="1" spans="1:51" x14ac:dyDescent="0.25">
      <c r="A415" s="14"/>
      <c r="B415" s="14"/>
      <c r="C415" s="14"/>
      <c r="D415" s="14"/>
      <c r="E415" s="14"/>
      <c r="F415" s="15" t="s">
        <v>379</v>
      </c>
      <c r="G415" s="15" t="s">
        <v>380</v>
      </c>
      <c r="H415" s="14" t="s">
        <v>66</v>
      </c>
      <c r="I415" s="16">
        <v>2</v>
      </c>
      <c r="J415" s="17">
        <v>1</v>
      </c>
      <c r="K415" s="14" t="s">
        <v>67</v>
      </c>
      <c r="L415" s="14" t="s">
        <v>68</v>
      </c>
      <c r="M415" s="14"/>
      <c r="N415" s="14"/>
      <c r="O415" s="15"/>
      <c r="P415" s="18">
        <v>2</v>
      </c>
      <c r="Q415" s="19">
        <v>0</v>
      </c>
      <c r="R415" s="19">
        <v>0</v>
      </c>
      <c r="S415" s="19">
        <v>0</v>
      </c>
      <c r="T415" s="19">
        <v>0</v>
      </c>
      <c r="U415" s="14" t="s">
        <v>33</v>
      </c>
      <c r="V415" s="14" t="s">
        <v>33</v>
      </c>
      <c r="W415" s="14" t="s">
        <v>33</v>
      </c>
      <c r="X415" s="14" t="s">
        <v>33</v>
      </c>
      <c r="Y415" s="14" t="s">
        <v>33</v>
      </c>
      <c r="AM415">
        <f>COUNTIF(P415:T415,"&gt;0")</f>
      </c>
      <c r="AN415">
        <f>COUNTIF(P415,"&gt;0")</f>
      </c>
      <c r="AO415">
        <f>COUNTIF(Q415,"&gt;0")</f>
      </c>
      <c r="AP415">
        <f>COUNTIF(R415,"&gt;0")</f>
      </c>
      <c r="AQ415">
        <f>COUNTIF(S415,"&gt;0")</f>
      </c>
      <c r="AR415">
        <f>COUNTIF(T415,"&gt;0")</f>
      </c>
      <c r="AX415" t="s">
        <v>476</v>
      </c>
      <c r="AY415" t="s">
        <v>485</v>
      </c>
    </row>
    <row r="416" ht="18" customHeight="1" spans="1:51" x14ac:dyDescent="0.25">
      <c r="A416" s="14"/>
      <c r="B416" s="14"/>
      <c r="C416" s="14"/>
      <c r="D416" s="14"/>
      <c r="E416" s="14"/>
      <c r="F416" s="15"/>
      <c r="G416" s="15"/>
      <c r="H416" s="14" t="s">
        <v>71</v>
      </c>
      <c r="I416" s="16"/>
      <c r="J416" s="17"/>
      <c r="K416" s="14"/>
      <c r="L416" s="14"/>
      <c r="M416" s="14"/>
      <c r="N416" s="14"/>
      <c r="O416" s="15"/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1" t="s">
        <v>33</v>
      </c>
      <c r="V416" s="21" t="s">
        <v>33</v>
      </c>
      <c r="W416" s="21" t="s">
        <v>33</v>
      </c>
      <c r="X416" s="21" t="s">
        <v>33</v>
      </c>
      <c r="Y416" s="21" t="s">
        <v>33</v>
      </c>
      <c r="AL416">
        <f>COUNTIF(P416:T416,"&gt;0")</f>
      </c>
      <c r="AS416">
        <f>COUNTIF(P416,"&gt;0")</f>
      </c>
      <c r="AT416">
        <f>COUNTIF(Q416,"&gt;0")</f>
      </c>
      <c r="AU416">
        <f>COUNTIF(R416,"&gt;0")</f>
      </c>
      <c r="AV416">
        <f>COUNTIF(S416,"&gt;0")</f>
      </c>
      <c r="AW416">
        <f>COUNTIF(T416,"&gt;0")</f>
      </c>
      <c r="AX416" t="s">
        <v>476</v>
      </c>
      <c r="AY416" t="s">
        <v>485</v>
      </c>
    </row>
    <row r="417" ht="28" customHeight="1" spans="1:51" x14ac:dyDescent="0.25">
      <c r="A417" s="14"/>
      <c r="B417" s="14"/>
      <c r="C417" s="14"/>
      <c r="D417" s="14"/>
      <c r="E417" s="14"/>
      <c r="F417" s="15" t="s">
        <v>382</v>
      </c>
      <c r="G417" s="15" t="s">
        <v>383</v>
      </c>
      <c r="H417" s="14" t="s">
        <v>66</v>
      </c>
      <c r="I417" s="16">
        <v>3</v>
      </c>
      <c r="J417" s="17">
        <v>3</v>
      </c>
      <c r="K417" s="14" t="s">
        <v>157</v>
      </c>
      <c r="L417" s="14" t="s">
        <v>68</v>
      </c>
      <c r="M417" s="14"/>
      <c r="N417" s="14"/>
      <c r="O417" s="15"/>
      <c r="P417" s="23">
        <v>3</v>
      </c>
      <c r="Q417" s="19">
        <v>0</v>
      </c>
      <c r="R417" s="19">
        <v>0</v>
      </c>
      <c r="S417" s="19">
        <v>0</v>
      </c>
      <c r="T417" s="19">
        <v>0</v>
      </c>
      <c r="U417" s="14" t="s">
        <v>33</v>
      </c>
      <c r="V417" s="14" t="s">
        <v>33</v>
      </c>
      <c r="W417" s="14" t="s">
        <v>33</v>
      </c>
      <c r="X417" s="14" t="s">
        <v>33</v>
      </c>
      <c r="Y417" s="14" t="s">
        <v>33</v>
      </c>
      <c r="AM417">
        <f>COUNTIF(P417:T417,"&gt;0")</f>
      </c>
      <c r="AN417">
        <f>COUNTIF(P417,"&gt;0")</f>
      </c>
      <c r="AO417">
        <f>COUNTIF(Q417,"&gt;0")</f>
      </c>
      <c r="AP417">
        <f>COUNTIF(R417,"&gt;0")</f>
      </c>
      <c r="AQ417">
        <f>COUNTIF(S417,"&gt;0")</f>
      </c>
      <c r="AR417">
        <f>COUNTIF(T417,"&gt;0")</f>
      </c>
      <c r="AX417" t="s">
        <v>476</v>
      </c>
      <c r="AY417" t="s">
        <v>486</v>
      </c>
    </row>
    <row r="418" ht="18" customHeight="1" spans="1:51" x14ac:dyDescent="0.25">
      <c r="A418" s="14"/>
      <c r="B418" s="14"/>
      <c r="C418" s="14"/>
      <c r="D418" s="14"/>
      <c r="E418" s="14"/>
      <c r="F418" s="15"/>
      <c r="G418" s="15"/>
      <c r="H418" s="14" t="s">
        <v>71</v>
      </c>
      <c r="I418" s="16"/>
      <c r="J418" s="17"/>
      <c r="K418" s="14"/>
      <c r="L418" s="14"/>
      <c r="M418" s="14"/>
      <c r="N418" s="14"/>
      <c r="O418" s="15"/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1" t="s">
        <v>33</v>
      </c>
      <c r="V418" s="21" t="s">
        <v>33</v>
      </c>
      <c r="W418" s="21" t="s">
        <v>33</v>
      </c>
      <c r="X418" s="21" t="s">
        <v>33</v>
      </c>
      <c r="Y418" s="21" t="s">
        <v>33</v>
      </c>
      <c r="AL418">
        <f>COUNTIF(P418:T418,"&gt;0")</f>
      </c>
      <c r="AS418">
        <f>COUNTIF(P418,"&gt;0")</f>
      </c>
      <c r="AT418">
        <f>COUNTIF(Q418,"&gt;0")</f>
      </c>
      <c r="AU418">
        <f>COUNTIF(R418,"&gt;0")</f>
      </c>
      <c r="AV418">
        <f>COUNTIF(S418,"&gt;0")</f>
      </c>
      <c r="AW418">
        <f>COUNTIF(T418,"&gt;0")</f>
      </c>
      <c r="AX418" t="s">
        <v>476</v>
      </c>
      <c r="AY418" t="s">
        <v>486</v>
      </c>
    </row>
    <row r="419" ht="28" customHeight="1" spans="1:51" x14ac:dyDescent="0.25">
      <c r="A419" s="14"/>
      <c r="B419" s="14"/>
      <c r="C419" s="14"/>
      <c r="D419" s="14"/>
      <c r="E419" s="14"/>
      <c r="F419" s="15" t="s">
        <v>385</v>
      </c>
      <c r="G419" s="15" t="s">
        <v>386</v>
      </c>
      <c r="H419" s="14" t="s">
        <v>66</v>
      </c>
      <c r="I419" s="16">
        <v>3</v>
      </c>
      <c r="J419" s="17">
        <v>3</v>
      </c>
      <c r="K419" s="14" t="s">
        <v>157</v>
      </c>
      <c r="L419" s="14" t="s">
        <v>68</v>
      </c>
      <c r="M419" s="14"/>
      <c r="N419" s="14"/>
      <c r="O419" s="15"/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4" t="s">
        <v>33</v>
      </c>
      <c r="V419" s="14" t="s">
        <v>33</v>
      </c>
      <c r="W419" s="14" t="s">
        <v>33</v>
      </c>
      <c r="X419" s="14" t="s">
        <v>33</v>
      </c>
      <c r="Y419" s="14" t="s">
        <v>33</v>
      </c>
      <c r="AM419">
        <f>COUNTIF(P419:T419,"&gt;0")</f>
      </c>
      <c r="AN419">
        <f>COUNTIF(P419,"&gt;0")</f>
      </c>
      <c r="AO419">
        <f>COUNTIF(Q419,"&gt;0")</f>
      </c>
      <c r="AP419">
        <f>COUNTIF(R419,"&gt;0")</f>
      </c>
      <c r="AQ419">
        <f>COUNTIF(S419,"&gt;0")</f>
      </c>
      <c r="AR419">
        <f>COUNTIF(T419,"&gt;0")</f>
      </c>
      <c r="AX419" t="s">
        <v>476</v>
      </c>
      <c r="AY419" t="s">
        <v>487</v>
      </c>
    </row>
    <row r="420" ht="18" customHeight="1" spans="1:51" x14ac:dyDescent="0.25">
      <c r="A420" s="14"/>
      <c r="B420" s="14"/>
      <c r="C420" s="14"/>
      <c r="D420" s="14"/>
      <c r="E420" s="14"/>
      <c r="F420" s="15"/>
      <c r="G420" s="15"/>
      <c r="H420" s="14" t="s">
        <v>71</v>
      </c>
      <c r="I420" s="16"/>
      <c r="J420" s="17"/>
      <c r="K420" s="14"/>
      <c r="L420" s="14"/>
      <c r="M420" s="14"/>
      <c r="N420" s="14"/>
      <c r="O420" s="15"/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1" t="s">
        <v>33</v>
      </c>
      <c r="V420" s="21" t="s">
        <v>33</v>
      </c>
      <c r="W420" s="21" t="s">
        <v>33</v>
      </c>
      <c r="X420" s="21" t="s">
        <v>33</v>
      </c>
      <c r="Y420" s="21" t="s">
        <v>33</v>
      </c>
      <c r="AL420">
        <f>COUNTIF(P420:T420,"&gt;0")</f>
      </c>
      <c r="AS420">
        <f>COUNTIF(P420,"&gt;0")</f>
      </c>
      <c r="AT420">
        <f>COUNTIF(Q420,"&gt;0")</f>
      </c>
      <c r="AU420">
        <f>COUNTIF(R420,"&gt;0")</f>
      </c>
      <c r="AV420">
        <f>COUNTIF(S420,"&gt;0")</f>
      </c>
      <c r="AW420">
        <f>COUNTIF(T420,"&gt;0")</f>
      </c>
      <c r="AX420" t="s">
        <v>476</v>
      </c>
      <c r="AY420" t="s">
        <v>487</v>
      </c>
    </row>
    <row r="421" ht="28" customHeight="1" spans="1:51" x14ac:dyDescent="0.25">
      <c r="A421" s="14"/>
      <c r="B421" s="14"/>
      <c r="C421" s="14"/>
      <c r="D421" s="14"/>
      <c r="E421" s="14"/>
      <c r="F421" s="15" t="s">
        <v>385</v>
      </c>
      <c r="G421" s="15" t="s">
        <v>388</v>
      </c>
      <c r="H421" s="14" t="s">
        <v>66</v>
      </c>
      <c r="I421" s="16">
        <v>3</v>
      </c>
      <c r="J421" s="17">
        <v>3</v>
      </c>
      <c r="K421" s="14" t="s">
        <v>157</v>
      </c>
      <c r="L421" s="14" t="s">
        <v>68</v>
      </c>
      <c r="M421" s="14"/>
      <c r="N421" s="14"/>
      <c r="O421" s="15"/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4" t="s">
        <v>33</v>
      </c>
      <c r="V421" s="14" t="s">
        <v>33</v>
      </c>
      <c r="W421" s="14" t="s">
        <v>33</v>
      </c>
      <c r="X421" s="14" t="s">
        <v>33</v>
      </c>
      <c r="Y421" s="14" t="s">
        <v>33</v>
      </c>
      <c r="AM421">
        <f>COUNTIF(P421:T421,"&gt;0")</f>
      </c>
      <c r="AN421">
        <f>COUNTIF(P421,"&gt;0")</f>
      </c>
      <c r="AO421">
        <f>COUNTIF(Q421,"&gt;0")</f>
      </c>
      <c r="AP421">
        <f>COUNTIF(R421,"&gt;0")</f>
      </c>
      <c r="AQ421">
        <f>COUNTIF(S421,"&gt;0")</f>
      </c>
      <c r="AR421">
        <f>COUNTIF(T421,"&gt;0")</f>
      </c>
      <c r="AX421" t="s">
        <v>476</v>
      </c>
      <c r="AY421" t="s">
        <v>488</v>
      </c>
    </row>
    <row r="422" ht="18" customHeight="1" spans="1:51" x14ac:dyDescent="0.25">
      <c r="A422" s="14"/>
      <c r="B422" s="14"/>
      <c r="C422" s="14"/>
      <c r="D422" s="14"/>
      <c r="E422" s="14"/>
      <c r="F422" s="15"/>
      <c r="G422" s="15"/>
      <c r="H422" s="14" t="s">
        <v>71</v>
      </c>
      <c r="I422" s="16"/>
      <c r="J422" s="17"/>
      <c r="K422" s="14"/>
      <c r="L422" s="14"/>
      <c r="M422" s="14"/>
      <c r="N422" s="14"/>
      <c r="O422" s="15"/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1" t="s">
        <v>33</v>
      </c>
      <c r="V422" s="21" t="s">
        <v>33</v>
      </c>
      <c r="W422" s="21" t="s">
        <v>33</v>
      </c>
      <c r="X422" s="21" t="s">
        <v>33</v>
      </c>
      <c r="Y422" s="21" t="s">
        <v>33</v>
      </c>
      <c r="AL422">
        <f>COUNTIF(P422:T422,"&gt;0")</f>
      </c>
      <c r="AS422">
        <f>COUNTIF(P422,"&gt;0")</f>
      </c>
      <c r="AT422">
        <f>COUNTIF(Q422,"&gt;0")</f>
      </c>
      <c r="AU422">
        <f>COUNTIF(R422,"&gt;0")</f>
      </c>
      <c r="AV422">
        <f>COUNTIF(S422,"&gt;0")</f>
      </c>
      <c r="AW422">
        <f>COUNTIF(T422,"&gt;0")</f>
      </c>
      <c r="AX422" t="s">
        <v>476</v>
      </c>
      <c r="AY422" t="s">
        <v>488</v>
      </c>
    </row>
    <row r="423" ht="28" customHeight="1" spans="1:51" x14ac:dyDescent="0.25">
      <c r="A423" s="14"/>
      <c r="B423" s="14"/>
      <c r="C423" s="14"/>
      <c r="D423" s="14"/>
      <c r="E423" s="14"/>
      <c r="F423" s="15" t="s">
        <v>328</v>
      </c>
      <c r="G423" s="15" t="s">
        <v>390</v>
      </c>
      <c r="H423" s="14" t="s">
        <v>66</v>
      </c>
      <c r="I423" s="16">
        <v>3</v>
      </c>
      <c r="J423" s="17">
        <v>3</v>
      </c>
      <c r="K423" s="14" t="s">
        <v>157</v>
      </c>
      <c r="L423" s="14" t="s">
        <v>68</v>
      </c>
      <c r="M423" s="14"/>
      <c r="N423" s="14"/>
      <c r="O423" s="15"/>
      <c r="P423" s="19">
        <v>0</v>
      </c>
      <c r="Q423" s="23">
        <v>3</v>
      </c>
      <c r="R423" s="19">
        <v>0</v>
      </c>
      <c r="S423" s="19">
        <v>0</v>
      </c>
      <c r="T423" s="19">
        <v>0</v>
      </c>
      <c r="U423" s="14" t="s">
        <v>33</v>
      </c>
      <c r="V423" s="14" t="s">
        <v>33</v>
      </c>
      <c r="W423" s="14" t="s">
        <v>33</v>
      </c>
      <c r="X423" s="14" t="s">
        <v>33</v>
      </c>
      <c r="Y423" s="14" t="s">
        <v>33</v>
      </c>
      <c r="AM423">
        <f>COUNTIF(P423:T423,"&gt;0")</f>
      </c>
      <c r="AN423">
        <f>COUNTIF(P423,"&gt;0")</f>
      </c>
      <c r="AO423">
        <f>COUNTIF(Q423,"&gt;0")</f>
      </c>
      <c r="AP423">
        <f>COUNTIF(R423,"&gt;0")</f>
      </c>
      <c r="AQ423">
        <f>COUNTIF(S423,"&gt;0")</f>
      </c>
      <c r="AR423">
        <f>COUNTIF(T423,"&gt;0")</f>
      </c>
      <c r="AX423" t="s">
        <v>476</v>
      </c>
      <c r="AY423" t="s">
        <v>489</v>
      </c>
    </row>
    <row r="424" ht="18" customHeight="1" spans="1:51" x14ac:dyDescent="0.25">
      <c r="A424" s="14"/>
      <c r="B424" s="14"/>
      <c r="C424" s="14"/>
      <c r="D424" s="14"/>
      <c r="E424" s="14"/>
      <c r="F424" s="15"/>
      <c r="G424" s="15"/>
      <c r="H424" s="14" t="s">
        <v>71</v>
      </c>
      <c r="I424" s="16"/>
      <c r="J424" s="17"/>
      <c r="K424" s="14"/>
      <c r="L424" s="14"/>
      <c r="M424" s="14"/>
      <c r="N424" s="14"/>
      <c r="O424" s="15"/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1" t="s">
        <v>33</v>
      </c>
      <c r="V424" s="21" t="s">
        <v>33</v>
      </c>
      <c r="W424" s="21" t="s">
        <v>33</v>
      </c>
      <c r="X424" s="21" t="s">
        <v>33</v>
      </c>
      <c r="Y424" s="21" t="s">
        <v>33</v>
      </c>
      <c r="AL424">
        <f>COUNTIF(P424:T424,"&gt;0")</f>
      </c>
      <c r="AS424">
        <f>COUNTIF(P424,"&gt;0")</f>
      </c>
      <c r="AT424">
        <f>COUNTIF(Q424,"&gt;0")</f>
      </c>
      <c r="AU424">
        <f>COUNTIF(R424,"&gt;0")</f>
      </c>
      <c r="AV424">
        <f>COUNTIF(S424,"&gt;0")</f>
      </c>
      <c r="AW424">
        <f>COUNTIF(T424,"&gt;0")</f>
      </c>
      <c r="AX424" t="s">
        <v>476</v>
      </c>
      <c r="AY424" t="s">
        <v>489</v>
      </c>
    </row>
    <row r="425" ht="28" customHeight="1" spans="1:51" x14ac:dyDescent="0.25">
      <c r="A425" s="14"/>
      <c r="B425" s="14"/>
      <c r="C425" s="14"/>
      <c r="D425" s="14"/>
      <c r="E425" s="14"/>
      <c r="F425" s="15" t="s">
        <v>392</v>
      </c>
      <c r="G425" s="15" t="s">
        <v>393</v>
      </c>
      <c r="H425" s="14" t="s">
        <v>66</v>
      </c>
      <c r="I425" s="16">
        <v>3</v>
      </c>
      <c r="J425" s="17">
        <v>3</v>
      </c>
      <c r="K425" s="14" t="s">
        <v>157</v>
      </c>
      <c r="L425" s="14" t="s">
        <v>68</v>
      </c>
      <c r="M425" s="14"/>
      <c r="N425" s="14"/>
      <c r="O425" s="15"/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4" t="s">
        <v>33</v>
      </c>
      <c r="V425" s="14" t="s">
        <v>33</v>
      </c>
      <c r="W425" s="14" t="s">
        <v>33</v>
      </c>
      <c r="X425" s="14" t="s">
        <v>33</v>
      </c>
      <c r="Y425" s="14" t="s">
        <v>33</v>
      </c>
      <c r="AM425">
        <f>COUNTIF(P425:T425,"&gt;0")</f>
      </c>
      <c r="AN425">
        <f>COUNTIF(P425,"&gt;0")</f>
      </c>
      <c r="AO425">
        <f>COUNTIF(Q425,"&gt;0")</f>
      </c>
      <c r="AP425">
        <f>COUNTIF(R425,"&gt;0")</f>
      </c>
      <c r="AQ425">
        <f>COUNTIF(S425,"&gt;0")</f>
      </c>
      <c r="AR425">
        <f>COUNTIF(T425,"&gt;0")</f>
      </c>
      <c r="AX425" t="s">
        <v>476</v>
      </c>
      <c r="AY425" t="s">
        <v>490</v>
      </c>
    </row>
    <row r="426" ht="18" customHeight="1" spans="1:51" x14ac:dyDescent="0.25">
      <c r="A426" s="14"/>
      <c r="B426" s="14"/>
      <c r="C426" s="14"/>
      <c r="D426" s="14"/>
      <c r="E426" s="14"/>
      <c r="F426" s="15"/>
      <c r="G426" s="15"/>
      <c r="H426" s="14" t="s">
        <v>71</v>
      </c>
      <c r="I426" s="16"/>
      <c r="J426" s="17"/>
      <c r="K426" s="14"/>
      <c r="L426" s="14"/>
      <c r="M426" s="14"/>
      <c r="N426" s="14"/>
      <c r="O426" s="15"/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1" t="s">
        <v>33</v>
      </c>
      <c r="V426" s="21" t="s">
        <v>33</v>
      </c>
      <c r="W426" s="21" t="s">
        <v>33</v>
      </c>
      <c r="X426" s="21" t="s">
        <v>33</v>
      </c>
      <c r="Y426" s="21" t="s">
        <v>33</v>
      </c>
      <c r="AL426">
        <f>COUNTIF(P426:T426,"&gt;0")</f>
      </c>
      <c r="AS426">
        <f>COUNTIF(P426,"&gt;0")</f>
      </c>
      <c r="AT426">
        <f>COUNTIF(Q426,"&gt;0")</f>
      </c>
      <c r="AU426">
        <f>COUNTIF(R426,"&gt;0")</f>
      </c>
      <c r="AV426">
        <f>COUNTIF(S426,"&gt;0")</f>
      </c>
      <c r="AW426">
        <f>COUNTIF(T426,"&gt;0")</f>
      </c>
      <c r="AX426" t="s">
        <v>476</v>
      </c>
      <c r="AY426" t="s">
        <v>490</v>
      </c>
    </row>
    <row r="427" ht="28" customHeight="1" spans="1:51" x14ac:dyDescent="0.25">
      <c r="A427" s="14"/>
      <c r="B427" s="14"/>
      <c r="C427" s="14"/>
      <c r="D427" s="14"/>
      <c r="E427" s="14"/>
      <c r="F427" s="15" t="s">
        <v>395</v>
      </c>
      <c r="G427" s="15" t="s">
        <v>396</v>
      </c>
      <c r="H427" s="14" t="s">
        <v>66</v>
      </c>
      <c r="I427" s="16">
        <v>5</v>
      </c>
      <c r="J427" s="17">
        <v>12</v>
      </c>
      <c r="K427" s="14" t="s">
        <v>141</v>
      </c>
      <c r="L427" s="14" t="s">
        <v>68</v>
      </c>
      <c r="M427" s="14"/>
      <c r="N427" s="14"/>
      <c r="O427" s="15"/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4" t="s">
        <v>33</v>
      </c>
      <c r="V427" s="14" t="s">
        <v>33</v>
      </c>
      <c r="W427" s="14" t="s">
        <v>33</v>
      </c>
      <c r="X427" s="14" t="s">
        <v>33</v>
      </c>
      <c r="Y427" s="14" t="s">
        <v>33</v>
      </c>
      <c r="AM427">
        <f>COUNTIF(P427:T427,"&gt;0")</f>
      </c>
      <c r="AN427">
        <f>COUNTIF(P427,"&gt;0")</f>
      </c>
      <c r="AO427">
        <f>COUNTIF(Q427,"&gt;0")</f>
      </c>
      <c r="AP427">
        <f>COUNTIF(R427,"&gt;0")</f>
      </c>
      <c r="AQ427">
        <f>COUNTIF(S427,"&gt;0")</f>
      </c>
      <c r="AR427">
        <f>COUNTIF(T427,"&gt;0")</f>
      </c>
      <c r="AX427" t="s">
        <v>476</v>
      </c>
      <c r="AY427" t="s">
        <v>491</v>
      </c>
    </row>
    <row r="428" ht="18" customHeight="1" spans="1:51" x14ac:dyDescent="0.25">
      <c r="A428" s="14"/>
      <c r="B428" s="14"/>
      <c r="C428" s="14"/>
      <c r="D428" s="14"/>
      <c r="E428" s="14"/>
      <c r="F428" s="15"/>
      <c r="G428" s="15"/>
      <c r="H428" s="14" t="s">
        <v>71</v>
      </c>
      <c r="I428" s="16"/>
      <c r="J428" s="17"/>
      <c r="K428" s="14"/>
      <c r="L428" s="14"/>
      <c r="M428" s="14"/>
      <c r="N428" s="14"/>
      <c r="O428" s="15"/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1" t="s">
        <v>33</v>
      </c>
      <c r="V428" s="21" t="s">
        <v>33</v>
      </c>
      <c r="W428" s="21" t="s">
        <v>33</v>
      </c>
      <c r="X428" s="21" t="s">
        <v>33</v>
      </c>
      <c r="Y428" s="21" t="s">
        <v>33</v>
      </c>
      <c r="AL428">
        <f>COUNTIF(P428:T428,"&gt;0")</f>
      </c>
      <c r="AS428">
        <f>COUNTIF(P428,"&gt;0")</f>
      </c>
      <c r="AT428">
        <f>COUNTIF(Q428,"&gt;0")</f>
      </c>
      <c r="AU428">
        <f>COUNTIF(R428,"&gt;0")</f>
      </c>
      <c r="AV428">
        <f>COUNTIF(S428,"&gt;0")</f>
      </c>
      <c r="AW428">
        <f>COUNTIF(T428,"&gt;0")</f>
      </c>
      <c r="AX428" t="s">
        <v>476</v>
      </c>
      <c r="AY428" t="s">
        <v>491</v>
      </c>
    </row>
    <row r="429" ht="28" customHeight="1" spans="1:51" x14ac:dyDescent="0.25">
      <c r="A429" s="14"/>
      <c r="B429" s="14"/>
      <c r="C429" s="14"/>
      <c r="D429" s="14"/>
      <c r="E429" s="14"/>
      <c r="F429" s="15" t="s">
        <v>398</v>
      </c>
      <c r="G429" s="15" t="s">
        <v>399</v>
      </c>
      <c r="H429" s="14" t="s">
        <v>66</v>
      </c>
      <c r="I429" s="16">
        <v>5</v>
      </c>
      <c r="J429" s="17">
        <v>12</v>
      </c>
      <c r="K429" s="14" t="s">
        <v>141</v>
      </c>
      <c r="L429" s="14" t="s">
        <v>68</v>
      </c>
      <c r="M429" s="14"/>
      <c r="N429" s="14"/>
      <c r="O429" s="15"/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4" t="s">
        <v>33</v>
      </c>
      <c r="V429" s="14" t="s">
        <v>33</v>
      </c>
      <c r="W429" s="14" t="s">
        <v>33</v>
      </c>
      <c r="X429" s="14" t="s">
        <v>33</v>
      </c>
      <c r="Y429" s="14" t="s">
        <v>33</v>
      </c>
      <c r="AM429">
        <f>COUNTIF(P429:T429,"&gt;0")</f>
      </c>
      <c r="AN429">
        <f>COUNTIF(P429,"&gt;0")</f>
      </c>
      <c r="AO429">
        <f>COUNTIF(Q429,"&gt;0")</f>
      </c>
      <c r="AP429">
        <f>COUNTIF(R429,"&gt;0")</f>
      </c>
      <c r="AQ429">
        <f>COUNTIF(S429,"&gt;0")</f>
      </c>
      <c r="AR429">
        <f>COUNTIF(T429,"&gt;0")</f>
      </c>
      <c r="AX429" t="s">
        <v>476</v>
      </c>
      <c r="AY429" t="s">
        <v>492</v>
      </c>
    </row>
    <row r="430" ht="18" customHeight="1" spans="1:51" x14ac:dyDescent="0.25">
      <c r="A430" s="14"/>
      <c r="B430" s="14"/>
      <c r="C430" s="14"/>
      <c r="D430" s="14"/>
      <c r="E430" s="14"/>
      <c r="F430" s="15"/>
      <c r="G430" s="15"/>
      <c r="H430" s="14" t="s">
        <v>71</v>
      </c>
      <c r="I430" s="16"/>
      <c r="J430" s="17"/>
      <c r="K430" s="14"/>
      <c r="L430" s="14"/>
      <c r="M430" s="14"/>
      <c r="N430" s="14"/>
      <c r="O430" s="15"/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1" t="s">
        <v>33</v>
      </c>
      <c r="V430" s="21" t="s">
        <v>33</v>
      </c>
      <c r="W430" s="21" t="s">
        <v>33</v>
      </c>
      <c r="X430" s="21" t="s">
        <v>33</v>
      </c>
      <c r="Y430" s="21" t="s">
        <v>33</v>
      </c>
      <c r="AL430">
        <f>COUNTIF(P430:T430,"&gt;0")</f>
      </c>
      <c r="AS430">
        <f>COUNTIF(P430,"&gt;0")</f>
      </c>
      <c r="AT430">
        <f>COUNTIF(Q430,"&gt;0")</f>
      </c>
      <c r="AU430">
        <f>COUNTIF(R430,"&gt;0")</f>
      </c>
      <c r="AV430">
        <f>COUNTIF(S430,"&gt;0")</f>
      </c>
      <c r="AW430">
        <f>COUNTIF(T430,"&gt;0")</f>
      </c>
      <c r="AX430" t="s">
        <v>476</v>
      </c>
      <c r="AY430" t="s">
        <v>492</v>
      </c>
    </row>
    <row r="431" ht="28" customHeight="1" spans="1:51" x14ac:dyDescent="0.25">
      <c r="A431" s="14"/>
      <c r="B431" s="14"/>
      <c r="C431" s="14"/>
      <c r="D431" s="14"/>
      <c r="E431" s="14"/>
      <c r="F431" s="15" t="s">
        <v>401</v>
      </c>
      <c r="G431" s="15" t="s">
        <v>402</v>
      </c>
      <c r="H431" s="14" t="s">
        <v>66</v>
      </c>
      <c r="I431" s="16">
        <v>5</v>
      </c>
      <c r="J431" s="17">
        <v>12</v>
      </c>
      <c r="K431" s="14" t="s">
        <v>141</v>
      </c>
      <c r="L431" s="14" t="s">
        <v>68</v>
      </c>
      <c r="M431" s="14"/>
      <c r="N431" s="14"/>
      <c r="O431" s="15"/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4" t="s">
        <v>33</v>
      </c>
      <c r="V431" s="14" t="s">
        <v>33</v>
      </c>
      <c r="W431" s="14" t="s">
        <v>33</v>
      </c>
      <c r="X431" s="14" t="s">
        <v>33</v>
      </c>
      <c r="Y431" s="14" t="s">
        <v>33</v>
      </c>
      <c r="AM431">
        <f>COUNTIF(P431:T431,"&gt;0")</f>
      </c>
      <c r="AN431">
        <f>COUNTIF(P431,"&gt;0")</f>
      </c>
      <c r="AO431">
        <f>COUNTIF(Q431,"&gt;0")</f>
      </c>
      <c r="AP431">
        <f>COUNTIF(R431,"&gt;0")</f>
      </c>
      <c r="AQ431">
        <f>COUNTIF(S431,"&gt;0")</f>
      </c>
      <c r="AR431">
        <f>COUNTIF(T431,"&gt;0")</f>
      </c>
      <c r="AX431" t="s">
        <v>476</v>
      </c>
      <c r="AY431" t="s">
        <v>493</v>
      </c>
    </row>
    <row r="432" ht="18" customHeight="1" spans="1:51" x14ac:dyDescent="0.25">
      <c r="A432" s="14"/>
      <c r="B432" s="14"/>
      <c r="C432" s="14"/>
      <c r="D432" s="14"/>
      <c r="E432" s="14"/>
      <c r="F432" s="15"/>
      <c r="G432" s="15"/>
      <c r="H432" s="14" t="s">
        <v>71</v>
      </c>
      <c r="I432" s="16"/>
      <c r="J432" s="17"/>
      <c r="K432" s="14"/>
      <c r="L432" s="14"/>
      <c r="M432" s="14"/>
      <c r="N432" s="14"/>
      <c r="O432" s="15"/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1" t="s">
        <v>33</v>
      </c>
      <c r="V432" s="21" t="s">
        <v>33</v>
      </c>
      <c r="W432" s="21" t="s">
        <v>33</v>
      </c>
      <c r="X432" s="21" t="s">
        <v>33</v>
      </c>
      <c r="Y432" s="21" t="s">
        <v>33</v>
      </c>
      <c r="AL432">
        <f>COUNTIF(P432:T432,"&gt;0")</f>
      </c>
      <c r="AS432">
        <f>COUNTIF(P432,"&gt;0")</f>
      </c>
      <c r="AT432">
        <f>COUNTIF(Q432,"&gt;0")</f>
      </c>
      <c r="AU432">
        <f>COUNTIF(R432,"&gt;0")</f>
      </c>
      <c r="AV432">
        <f>COUNTIF(S432,"&gt;0")</f>
      </c>
      <c r="AW432">
        <f>COUNTIF(T432,"&gt;0")</f>
      </c>
      <c r="AX432" t="s">
        <v>476</v>
      </c>
      <c r="AY432" t="s">
        <v>493</v>
      </c>
    </row>
    <row r="433" ht="28" customHeight="1" spans="1:51" x14ac:dyDescent="0.25">
      <c r="A433" s="14"/>
      <c r="B433" s="14" t="s">
        <v>494</v>
      </c>
      <c r="C433" s="14" t="s">
        <v>495</v>
      </c>
      <c r="D433" s="14" t="s">
        <v>496</v>
      </c>
      <c r="E433" s="14" t="s">
        <v>497</v>
      </c>
      <c r="F433" s="15" t="s">
        <v>498</v>
      </c>
      <c r="G433" s="15" t="s">
        <v>499</v>
      </c>
      <c r="H433" s="14" t="s">
        <v>66</v>
      </c>
      <c r="I433" s="16">
        <v>2</v>
      </c>
      <c r="J433" s="17">
        <v>1</v>
      </c>
      <c r="K433" s="14" t="s">
        <v>67</v>
      </c>
      <c r="L433" s="14" t="s">
        <v>68</v>
      </c>
      <c r="M433" s="14"/>
      <c r="N433" s="14"/>
      <c r="O433" s="15"/>
      <c r="P433" s="19">
        <v>0</v>
      </c>
      <c r="Q433" s="18">
        <v>2</v>
      </c>
      <c r="R433" s="19">
        <v>0</v>
      </c>
      <c r="S433" s="19">
        <v>0</v>
      </c>
      <c r="T433" s="19">
        <v>0</v>
      </c>
      <c r="U433" s="14" t="s">
        <v>33</v>
      </c>
      <c r="V433" s="14" t="s">
        <v>33</v>
      </c>
      <c r="W433" s="14" t="s">
        <v>33</v>
      </c>
      <c r="X433" s="14" t="s">
        <v>33</v>
      </c>
      <c r="Y433" s="14" t="s">
        <v>33</v>
      </c>
      <c r="AM433">
        <f>COUNTIF(P433:T433,"&gt;0")</f>
      </c>
      <c r="AN433">
        <f>COUNTIF(P433,"&gt;0")</f>
      </c>
      <c r="AO433">
        <f>COUNTIF(Q433,"&gt;0")</f>
      </c>
      <c r="AP433">
        <f>COUNTIF(R433,"&gt;0")</f>
      </c>
      <c r="AQ433">
        <f>COUNTIF(S433,"&gt;0")</f>
      </c>
      <c r="AR433">
        <f>COUNTIF(T433,"&gt;0")</f>
      </c>
      <c r="AX433" t="s">
        <v>494</v>
      </c>
      <c r="AY433" t="s">
        <v>500</v>
      </c>
    </row>
    <row r="434" ht="18" customHeight="1" spans="1:51" x14ac:dyDescent="0.25">
      <c r="A434" s="14"/>
      <c r="B434" s="14"/>
      <c r="C434" s="14"/>
      <c r="D434" s="14"/>
      <c r="E434" s="14"/>
      <c r="F434" s="15"/>
      <c r="G434" s="15"/>
      <c r="H434" s="14" t="s">
        <v>71</v>
      </c>
      <c r="I434" s="16"/>
      <c r="J434" s="17"/>
      <c r="K434" s="14"/>
      <c r="L434" s="14"/>
      <c r="M434" s="14"/>
      <c r="N434" s="14"/>
      <c r="O434" s="15"/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1" t="s">
        <v>33</v>
      </c>
      <c r="V434" s="21" t="s">
        <v>33</v>
      </c>
      <c r="W434" s="21" t="s">
        <v>33</v>
      </c>
      <c r="X434" s="21" t="s">
        <v>33</v>
      </c>
      <c r="Y434" s="21" t="s">
        <v>33</v>
      </c>
      <c r="AL434">
        <f>COUNTIF(P434:T434,"&gt;0")</f>
      </c>
      <c r="AS434">
        <f>COUNTIF(P434,"&gt;0")</f>
      </c>
      <c r="AT434">
        <f>COUNTIF(Q434,"&gt;0")</f>
      </c>
      <c r="AU434">
        <f>COUNTIF(R434,"&gt;0")</f>
      </c>
      <c r="AV434">
        <f>COUNTIF(S434,"&gt;0")</f>
      </c>
      <c r="AW434">
        <f>COUNTIF(T434,"&gt;0")</f>
      </c>
      <c r="AX434" t="s">
        <v>494</v>
      </c>
      <c r="AY434" t="s">
        <v>500</v>
      </c>
    </row>
    <row r="435" ht="28" customHeight="1" spans="1:51" x14ac:dyDescent="0.25">
      <c r="A435" s="14"/>
      <c r="B435" s="14"/>
      <c r="C435" s="14"/>
      <c r="D435" s="14"/>
      <c r="E435" s="14"/>
      <c r="F435" s="15" t="s">
        <v>498</v>
      </c>
      <c r="G435" s="15" t="s">
        <v>501</v>
      </c>
      <c r="H435" s="14" t="s">
        <v>66</v>
      </c>
      <c r="I435" s="16">
        <v>2</v>
      </c>
      <c r="J435" s="17">
        <v>1</v>
      </c>
      <c r="K435" s="14" t="s">
        <v>67</v>
      </c>
      <c r="L435" s="14" t="s">
        <v>68</v>
      </c>
      <c r="M435" s="14"/>
      <c r="N435" s="14"/>
      <c r="O435" s="15"/>
      <c r="P435" s="19">
        <v>0</v>
      </c>
      <c r="Q435" s="19">
        <v>0</v>
      </c>
      <c r="R435" s="18">
        <v>2</v>
      </c>
      <c r="S435" s="19">
        <v>0</v>
      </c>
      <c r="T435" s="19">
        <v>0</v>
      </c>
      <c r="U435" s="14" t="s">
        <v>33</v>
      </c>
      <c r="V435" s="14" t="s">
        <v>33</v>
      </c>
      <c r="W435" s="14" t="s">
        <v>33</v>
      </c>
      <c r="X435" s="14" t="s">
        <v>33</v>
      </c>
      <c r="Y435" s="14" t="s">
        <v>33</v>
      </c>
      <c r="AM435">
        <f>COUNTIF(P435:T435,"&gt;0")</f>
      </c>
      <c r="AN435">
        <f>COUNTIF(P435,"&gt;0")</f>
      </c>
      <c r="AO435">
        <f>COUNTIF(Q435,"&gt;0")</f>
      </c>
      <c r="AP435">
        <f>COUNTIF(R435,"&gt;0")</f>
      </c>
      <c r="AQ435">
        <f>COUNTIF(S435,"&gt;0")</f>
      </c>
      <c r="AR435">
        <f>COUNTIF(T435,"&gt;0")</f>
      </c>
      <c r="AX435" t="s">
        <v>494</v>
      </c>
      <c r="AY435" t="s">
        <v>502</v>
      </c>
    </row>
    <row r="436" ht="18" customHeight="1" spans="1:51" x14ac:dyDescent="0.25">
      <c r="A436" s="14"/>
      <c r="B436" s="14"/>
      <c r="C436" s="14"/>
      <c r="D436" s="14"/>
      <c r="E436" s="14"/>
      <c r="F436" s="15"/>
      <c r="G436" s="15"/>
      <c r="H436" s="14" t="s">
        <v>71</v>
      </c>
      <c r="I436" s="16"/>
      <c r="J436" s="17"/>
      <c r="K436" s="14"/>
      <c r="L436" s="14"/>
      <c r="M436" s="14"/>
      <c r="N436" s="14"/>
      <c r="O436" s="15"/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1" t="s">
        <v>33</v>
      </c>
      <c r="V436" s="21" t="s">
        <v>33</v>
      </c>
      <c r="W436" s="21" t="s">
        <v>33</v>
      </c>
      <c r="X436" s="21" t="s">
        <v>33</v>
      </c>
      <c r="Y436" s="21" t="s">
        <v>33</v>
      </c>
      <c r="AL436">
        <f>COUNTIF(P436:T436,"&gt;0")</f>
      </c>
      <c r="AS436">
        <f>COUNTIF(P436,"&gt;0")</f>
      </c>
      <c r="AT436">
        <f>COUNTIF(Q436,"&gt;0")</f>
      </c>
      <c r="AU436">
        <f>COUNTIF(R436,"&gt;0")</f>
      </c>
      <c r="AV436">
        <f>COUNTIF(S436,"&gt;0")</f>
      </c>
      <c r="AW436">
        <f>COUNTIF(T436,"&gt;0")</f>
      </c>
      <c r="AX436" t="s">
        <v>494</v>
      </c>
      <c r="AY436" t="s">
        <v>502</v>
      </c>
    </row>
    <row r="437" ht="28" customHeight="1" spans="1:51" x14ac:dyDescent="0.25">
      <c r="A437" s="14"/>
      <c r="B437" s="14"/>
      <c r="C437" s="14"/>
      <c r="D437" s="14"/>
      <c r="E437" s="14"/>
      <c r="F437" s="15" t="s">
        <v>503</v>
      </c>
      <c r="G437" s="15" t="s">
        <v>504</v>
      </c>
      <c r="H437" s="14" t="s">
        <v>66</v>
      </c>
      <c r="I437" s="16">
        <v>2</v>
      </c>
      <c r="J437" s="17">
        <v>1</v>
      </c>
      <c r="K437" s="14" t="s">
        <v>67</v>
      </c>
      <c r="L437" s="14" t="s">
        <v>68</v>
      </c>
      <c r="M437" s="14"/>
      <c r="N437" s="14"/>
      <c r="O437" s="15"/>
      <c r="P437" s="19">
        <v>0</v>
      </c>
      <c r="Q437" s="19">
        <v>0</v>
      </c>
      <c r="R437" s="19">
        <v>0</v>
      </c>
      <c r="S437" s="18">
        <v>2</v>
      </c>
      <c r="T437" s="19">
        <v>0</v>
      </c>
      <c r="U437" s="14" t="s">
        <v>33</v>
      </c>
      <c r="V437" s="14" t="s">
        <v>33</v>
      </c>
      <c r="W437" s="14" t="s">
        <v>33</v>
      </c>
      <c r="X437" s="14" t="s">
        <v>33</v>
      </c>
      <c r="Y437" s="14" t="s">
        <v>33</v>
      </c>
      <c r="AM437">
        <f>COUNTIF(P437:T437,"&gt;0")</f>
      </c>
      <c r="AN437">
        <f>COUNTIF(P437,"&gt;0")</f>
      </c>
      <c r="AO437">
        <f>COUNTIF(Q437,"&gt;0")</f>
      </c>
      <c r="AP437">
        <f>COUNTIF(R437,"&gt;0")</f>
      </c>
      <c r="AQ437">
        <f>COUNTIF(S437,"&gt;0")</f>
      </c>
      <c r="AR437">
        <f>COUNTIF(T437,"&gt;0")</f>
      </c>
      <c r="AX437" t="s">
        <v>494</v>
      </c>
      <c r="AY437" t="s">
        <v>505</v>
      </c>
    </row>
    <row r="438" ht="18" customHeight="1" spans="1:51" x14ac:dyDescent="0.25">
      <c r="A438" s="14"/>
      <c r="B438" s="14"/>
      <c r="C438" s="14"/>
      <c r="D438" s="14"/>
      <c r="E438" s="14"/>
      <c r="F438" s="15"/>
      <c r="G438" s="15"/>
      <c r="H438" s="14" t="s">
        <v>71</v>
      </c>
      <c r="I438" s="16"/>
      <c r="J438" s="17"/>
      <c r="K438" s="14"/>
      <c r="L438" s="14"/>
      <c r="M438" s="14"/>
      <c r="N438" s="14"/>
      <c r="O438" s="15"/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1" t="s">
        <v>33</v>
      </c>
      <c r="V438" s="21" t="s">
        <v>33</v>
      </c>
      <c r="W438" s="21" t="s">
        <v>33</v>
      </c>
      <c r="X438" s="21" t="s">
        <v>33</v>
      </c>
      <c r="Y438" s="21" t="s">
        <v>33</v>
      </c>
      <c r="AL438">
        <f>COUNTIF(P438:T438,"&gt;0")</f>
      </c>
      <c r="AS438">
        <f>COUNTIF(P438,"&gt;0")</f>
      </c>
      <c r="AT438">
        <f>COUNTIF(Q438,"&gt;0")</f>
      </c>
      <c r="AU438">
        <f>COUNTIF(R438,"&gt;0")</f>
      </c>
      <c r="AV438">
        <f>COUNTIF(S438,"&gt;0")</f>
      </c>
      <c r="AW438">
        <f>COUNTIF(T438,"&gt;0")</f>
      </c>
      <c r="AX438" t="s">
        <v>494</v>
      </c>
      <c r="AY438" t="s">
        <v>505</v>
      </c>
    </row>
    <row r="439" ht="28" customHeight="1" spans="1:51" x14ac:dyDescent="0.25">
      <c r="A439" s="14"/>
      <c r="B439" s="14"/>
      <c r="C439" s="14"/>
      <c r="D439" s="14"/>
      <c r="E439" s="14"/>
      <c r="F439" s="15" t="s">
        <v>506</v>
      </c>
      <c r="G439" s="15" t="s">
        <v>507</v>
      </c>
      <c r="H439" s="14" t="s">
        <v>66</v>
      </c>
      <c r="I439" s="16">
        <v>2</v>
      </c>
      <c r="J439" s="17">
        <v>1</v>
      </c>
      <c r="K439" s="14" t="s">
        <v>67</v>
      </c>
      <c r="L439" s="14" t="s">
        <v>68</v>
      </c>
      <c r="M439" s="14"/>
      <c r="N439" s="14"/>
      <c r="O439" s="15"/>
      <c r="P439" s="18">
        <v>2</v>
      </c>
      <c r="Q439" s="19">
        <v>0</v>
      </c>
      <c r="R439" s="19">
        <v>0</v>
      </c>
      <c r="S439" s="19">
        <v>0</v>
      </c>
      <c r="T439" s="19">
        <v>0</v>
      </c>
      <c r="U439" s="14" t="s">
        <v>33</v>
      </c>
      <c r="V439" s="14" t="s">
        <v>33</v>
      </c>
      <c r="W439" s="14" t="s">
        <v>33</v>
      </c>
      <c r="X439" s="14" t="s">
        <v>33</v>
      </c>
      <c r="Y439" s="14" t="s">
        <v>33</v>
      </c>
      <c r="AM439">
        <f>COUNTIF(P439:T439,"&gt;0")</f>
      </c>
      <c r="AN439">
        <f>COUNTIF(P439,"&gt;0")</f>
      </c>
      <c r="AO439">
        <f>COUNTIF(Q439,"&gt;0")</f>
      </c>
      <c r="AP439">
        <f>COUNTIF(R439,"&gt;0")</f>
      </c>
      <c r="AQ439">
        <f>COUNTIF(S439,"&gt;0")</f>
      </c>
      <c r="AR439">
        <f>COUNTIF(T439,"&gt;0")</f>
      </c>
      <c r="AX439" t="s">
        <v>494</v>
      </c>
      <c r="AY439" t="s">
        <v>508</v>
      </c>
    </row>
    <row r="440" ht="18" customHeight="1" spans="1:51" x14ac:dyDescent="0.25">
      <c r="A440" s="14"/>
      <c r="B440" s="14"/>
      <c r="C440" s="14"/>
      <c r="D440" s="14"/>
      <c r="E440" s="14"/>
      <c r="F440" s="15"/>
      <c r="G440" s="15"/>
      <c r="H440" s="14" t="s">
        <v>71</v>
      </c>
      <c r="I440" s="16"/>
      <c r="J440" s="17"/>
      <c r="K440" s="14"/>
      <c r="L440" s="14"/>
      <c r="M440" s="14"/>
      <c r="N440" s="14"/>
      <c r="O440" s="15"/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1" t="s">
        <v>33</v>
      </c>
      <c r="V440" s="21" t="s">
        <v>33</v>
      </c>
      <c r="W440" s="21" t="s">
        <v>33</v>
      </c>
      <c r="X440" s="21" t="s">
        <v>33</v>
      </c>
      <c r="Y440" s="21" t="s">
        <v>33</v>
      </c>
      <c r="AL440">
        <f>COUNTIF(P440:T440,"&gt;0")</f>
      </c>
      <c r="AS440">
        <f>COUNTIF(P440,"&gt;0")</f>
      </c>
      <c r="AT440">
        <f>COUNTIF(Q440,"&gt;0")</f>
      </c>
      <c r="AU440">
        <f>COUNTIF(R440,"&gt;0")</f>
      </c>
      <c r="AV440">
        <f>COUNTIF(S440,"&gt;0")</f>
      </c>
      <c r="AW440">
        <f>COUNTIF(T440,"&gt;0")</f>
      </c>
      <c r="AX440" t="s">
        <v>494</v>
      </c>
      <c r="AY440" t="s">
        <v>508</v>
      </c>
    </row>
    <row r="441" ht="28" customHeight="1" spans="1:51" x14ac:dyDescent="0.25">
      <c r="A441" s="14"/>
      <c r="B441" s="14"/>
      <c r="C441" s="14"/>
      <c r="D441" s="14"/>
      <c r="E441" s="14"/>
      <c r="F441" s="15" t="s">
        <v>509</v>
      </c>
      <c r="G441" s="15" t="s">
        <v>510</v>
      </c>
      <c r="H441" s="14" t="s">
        <v>66</v>
      </c>
      <c r="I441" s="16">
        <v>2</v>
      </c>
      <c r="J441" s="17">
        <v>1</v>
      </c>
      <c r="K441" s="14" t="s">
        <v>67</v>
      </c>
      <c r="L441" s="14" t="s">
        <v>68</v>
      </c>
      <c r="M441" s="14"/>
      <c r="N441" s="14"/>
      <c r="O441" s="15"/>
      <c r="P441" s="19">
        <v>0</v>
      </c>
      <c r="Q441" s="18">
        <v>2</v>
      </c>
      <c r="R441" s="19">
        <v>0</v>
      </c>
      <c r="S441" s="19">
        <v>0</v>
      </c>
      <c r="T441" s="19">
        <v>0</v>
      </c>
      <c r="U441" s="14" t="s">
        <v>33</v>
      </c>
      <c r="V441" s="14" t="s">
        <v>33</v>
      </c>
      <c r="W441" s="14" t="s">
        <v>33</v>
      </c>
      <c r="X441" s="14" t="s">
        <v>33</v>
      </c>
      <c r="Y441" s="14" t="s">
        <v>33</v>
      </c>
      <c r="AM441">
        <f>COUNTIF(P441:T441,"&gt;0")</f>
      </c>
      <c r="AN441">
        <f>COUNTIF(P441,"&gt;0")</f>
      </c>
      <c r="AO441">
        <f>COUNTIF(Q441,"&gt;0")</f>
      </c>
      <c r="AP441">
        <f>COUNTIF(R441,"&gt;0")</f>
      </c>
      <c r="AQ441">
        <f>COUNTIF(S441,"&gt;0")</f>
      </c>
      <c r="AR441">
        <f>COUNTIF(T441,"&gt;0")</f>
      </c>
      <c r="AX441" t="s">
        <v>494</v>
      </c>
      <c r="AY441" t="s">
        <v>511</v>
      </c>
    </row>
    <row r="442" ht="18" customHeight="1" spans="1:51" x14ac:dyDescent="0.25">
      <c r="A442" s="14"/>
      <c r="B442" s="14"/>
      <c r="C442" s="14"/>
      <c r="D442" s="14"/>
      <c r="E442" s="14"/>
      <c r="F442" s="15"/>
      <c r="G442" s="15"/>
      <c r="H442" s="14" t="s">
        <v>71</v>
      </c>
      <c r="I442" s="16"/>
      <c r="J442" s="17"/>
      <c r="K442" s="14"/>
      <c r="L442" s="14"/>
      <c r="M442" s="14"/>
      <c r="N442" s="14"/>
      <c r="O442" s="15"/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1" t="s">
        <v>33</v>
      </c>
      <c r="V442" s="21" t="s">
        <v>33</v>
      </c>
      <c r="W442" s="21" t="s">
        <v>33</v>
      </c>
      <c r="X442" s="21" t="s">
        <v>33</v>
      </c>
      <c r="Y442" s="21" t="s">
        <v>33</v>
      </c>
      <c r="AL442">
        <f>COUNTIF(P442:T442,"&gt;0")</f>
      </c>
      <c r="AS442">
        <f>COUNTIF(P442,"&gt;0")</f>
      </c>
      <c r="AT442">
        <f>COUNTIF(Q442,"&gt;0")</f>
      </c>
      <c r="AU442">
        <f>COUNTIF(R442,"&gt;0")</f>
      </c>
      <c r="AV442">
        <f>COUNTIF(S442,"&gt;0")</f>
      </c>
      <c r="AW442">
        <f>COUNTIF(T442,"&gt;0")</f>
      </c>
      <c r="AX442" t="s">
        <v>494</v>
      </c>
      <c r="AY442" t="s">
        <v>511</v>
      </c>
    </row>
    <row r="443" ht="28" customHeight="1" spans="1:51" x14ac:dyDescent="0.25">
      <c r="A443" s="14"/>
      <c r="B443" s="14"/>
      <c r="C443" s="14"/>
      <c r="D443" s="14"/>
      <c r="E443" s="14"/>
      <c r="F443" s="15" t="s">
        <v>512</v>
      </c>
      <c r="G443" s="15" t="s">
        <v>513</v>
      </c>
      <c r="H443" s="14" t="s">
        <v>66</v>
      </c>
      <c r="I443" s="16">
        <v>2</v>
      </c>
      <c r="J443" s="17">
        <v>1</v>
      </c>
      <c r="K443" s="14" t="s">
        <v>67</v>
      </c>
      <c r="L443" s="14" t="s">
        <v>68</v>
      </c>
      <c r="M443" s="14"/>
      <c r="N443" s="14"/>
      <c r="O443" s="15"/>
      <c r="P443" s="19">
        <v>0</v>
      </c>
      <c r="Q443" s="19">
        <v>0</v>
      </c>
      <c r="R443" s="18">
        <v>2</v>
      </c>
      <c r="S443" s="19">
        <v>0</v>
      </c>
      <c r="T443" s="19">
        <v>0</v>
      </c>
      <c r="U443" s="14" t="s">
        <v>33</v>
      </c>
      <c r="V443" s="14" t="s">
        <v>33</v>
      </c>
      <c r="W443" s="14" t="s">
        <v>33</v>
      </c>
      <c r="X443" s="14" t="s">
        <v>33</v>
      </c>
      <c r="Y443" s="14" t="s">
        <v>33</v>
      </c>
      <c r="AM443">
        <f>COUNTIF(P443:T443,"&gt;0")</f>
      </c>
      <c r="AN443">
        <f>COUNTIF(P443,"&gt;0")</f>
      </c>
      <c r="AO443">
        <f>COUNTIF(Q443,"&gt;0")</f>
      </c>
      <c r="AP443">
        <f>COUNTIF(R443,"&gt;0")</f>
      </c>
      <c r="AQ443">
        <f>COUNTIF(S443,"&gt;0")</f>
      </c>
      <c r="AR443">
        <f>COUNTIF(T443,"&gt;0")</f>
      </c>
      <c r="AX443" t="s">
        <v>494</v>
      </c>
      <c r="AY443" t="s">
        <v>514</v>
      </c>
    </row>
    <row r="444" ht="18" customHeight="1" spans="1:51" x14ac:dyDescent="0.25">
      <c r="A444" s="14"/>
      <c r="B444" s="14"/>
      <c r="C444" s="14"/>
      <c r="D444" s="14"/>
      <c r="E444" s="14"/>
      <c r="F444" s="15"/>
      <c r="G444" s="15"/>
      <c r="H444" s="14" t="s">
        <v>71</v>
      </c>
      <c r="I444" s="16"/>
      <c r="J444" s="17"/>
      <c r="K444" s="14"/>
      <c r="L444" s="14"/>
      <c r="M444" s="14"/>
      <c r="N444" s="14"/>
      <c r="O444" s="15"/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1" t="s">
        <v>33</v>
      </c>
      <c r="V444" s="21" t="s">
        <v>33</v>
      </c>
      <c r="W444" s="21" t="s">
        <v>33</v>
      </c>
      <c r="X444" s="21" t="s">
        <v>33</v>
      </c>
      <c r="Y444" s="21" t="s">
        <v>33</v>
      </c>
      <c r="AL444">
        <f>COUNTIF(P444:T444,"&gt;0")</f>
      </c>
      <c r="AS444">
        <f>COUNTIF(P444,"&gt;0")</f>
      </c>
      <c r="AT444">
        <f>COUNTIF(Q444,"&gt;0")</f>
      </c>
      <c r="AU444">
        <f>COUNTIF(R444,"&gt;0")</f>
      </c>
      <c r="AV444">
        <f>COUNTIF(S444,"&gt;0")</f>
      </c>
      <c r="AW444">
        <f>COUNTIF(T444,"&gt;0")</f>
      </c>
      <c r="AX444" t="s">
        <v>494</v>
      </c>
      <c r="AY444" t="s">
        <v>514</v>
      </c>
    </row>
    <row r="445" ht="28" customHeight="1" spans="1:51" x14ac:dyDescent="0.25">
      <c r="A445" s="14"/>
      <c r="B445" s="14"/>
      <c r="C445" s="14"/>
      <c r="D445" s="14"/>
      <c r="E445" s="14"/>
      <c r="F445" s="15" t="s">
        <v>515</v>
      </c>
      <c r="G445" s="15" t="s">
        <v>516</v>
      </c>
      <c r="H445" s="14" t="s">
        <v>66</v>
      </c>
      <c r="I445" s="16">
        <v>2</v>
      </c>
      <c r="J445" s="17">
        <v>1</v>
      </c>
      <c r="K445" s="14" t="s">
        <v>67</v>
      </c>
      <c r="L445" s="14" t="s">
        <v>68</v>
      </c>
      <c r="M445" s="14"/>
      <c r="N445" s="14"/>
      <c r="O445" s="15"/>
      <c r="P445" s="19">
        <v>0</v>
      </c>
      <c r="Q445" s="19">
        <v>0</v>
      </c>
      <c r="R445" s="19">
        <v>0</v>
      </c>
      <c r="S445" s="18">
        <v>2</v>
      </c>
      <c r="T445" s="19">
        <v>0</v>
      </c>
      <c r="U445" s="14" t="s">
        <v>33</v>
      </c>
      <c r="V445" s="14" t="s">
        <v>33</v>
      </c>
      <c r="W445" s="14" t="s">
        <v>33</v>
      </c>
      <c r="X445" s="14" t="s">
        <v>33</v>
      </c>
      <c r="Y445" s="14" t="s">
        <v>33</v>
      </c>
      <c r="AM445">
        <f>COUNTIF(P445:T445,"&gt;0")</f>
      </c>
      <c r="AN445">
        <f>COUNTIF(P445,"&gt;0")</f>
      </c>
      <c r="AO445">
        <f>COUNTIF(Q445,"&gt;0")</f>
      </c>
      <c r="AP445">
        <f>COUNTIF(R445,"&gt;0")</f>
      </c>
      <c r="AQ445">
        <f>COUNTIF(S445,"&gt;0")</f>
      </c>
      <c r="AR445">
        <f>COUNTIF(T445,"&gt;0")</f>
      </c>
      <c r="AX445" t="s">
        <v>494</v>
      </c>
      <c r="AY445" t="s">
        <v>517</v>
      </c>
    </row>
    <row r="446" ht="18" customHeight="1" spans="1:51" x14ac:dyDescent="0.25">
      <c r="A446" s="14"/>
      <c r="B446" s="14"/>
      <c r="C446" s="14"/>
      <c r="D446" s="14"/>
      <c r="E446" s="14"/>
      <c r="F446" s="15"/>
      <c r="G446" s="15"/>
      <c r="H446" s="14" t="s">
        <v>71</v>
      </c>
      <c r="I446" s="16"/>
      <c r="J446" s="17"/>
      <c r="K446" s="14"/>
      <c r="L446" s="14"/>
      <c r="M446" s="14"/>
      <c r="N446" s="14"/>
      <c r="O446" s="15"/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1" t="s">
        <v>33</v>
      </c>
      <c r="V446" s="21" t="s">
        <v>33</v>
      </c>
      <c r="W446" s="21" t="s">
        <v>33</v>
      </c>
      <c r="X446" s="21" t="s">
        <v>33</v>
      </c>
      <c r="Y446" s="21" t="s">
        <v>33</v>
      </c>
      <c r="AL446">
        <f>COUNTIF(P446:T446,"&gt;0")</f>
      </c>
      <c r="AS446">
        <f>COUNTIF(P446,"&gt;0")</f>
      </c>
      <c r="AT446">
        <f>COUNTIF(Q446,"&gt;0")</f>
      </c>
      <c r="AU446">
        <f>COUNTIF(R446,"&gt;0")</f>
      </c>
      <c r="AV446">
        <f>COUNTIF(S446,"&gt;0")</f>
      </c>
      <c r="AW446">
        <f>COUNTIF(T446,"&gt;0")</f>
      </c>
      <c r="AX446" t="s">
        <v>494</v>
      </c>
      <c r="AY446" t="s">
        <v>517</v>
      </c>
    </row>
    <row r="447" ht="28" customHeight="1" spans="1:51" x14ac:dyDescent="0.25">
      <c r="A447" s="14"/>
      <c r="B447" s="14"/>
      <c r="C447" s="14"/>
      <c r="D447" s="14"/>
      <c r="E447" s="14"/>
      <c r="F447" s="15" t="s">
        <v>518</v>
      </c>
      <c r="G447" s="15" t="s">
        <v>519</v>
      </c>
      <c r="H447" s="14" t="s">
        <v>66</v>
      </c>
      <c r="I447" s="16">
        <v>2</v>
      </c>
      <c r="J447" s="17">
        <v>1</v>
      </c>
      <c r="K447" s="14" t="s">
        <v>67</v>
      </c>
      <c r="L447" s="14" t="s">
        <v>68</v>
      </c>
      <c r="M447" s="14"/>
      <c r="N447" s="14"/>
      <c r="O447" s="15"/>
      <c r="P447" s="18">
        <v>2</v>
      </c>
      <c r="Q447" s="19">
        <v>0</v>
      </c>
      <c r="R447" s="19">
        <v>0</v>
      </c>
      <c r="S447" s="19">
        <v>0</v>
      </c>
      <c r="T447" s="19">
        <v>0</v>
      </c>
      <c r="U447" s="14" t="s">
        <v>33</v>
      </c>
      <c r="V447" s="14" t="s">
        <v>33</v>
      </c>
      <c r="W447" s="14" t="s">
        <v>33</v>
      </c>
      <c r="X447" s="14" t="s">
        <v>33</v>
      </c>
      <c r="Y447" s="14" t="s">
        <v>33</v>
      </c>
      <c r="AM447">
        <f>COUNTIF(P447:T447,"&gt;0")</f>
      </c>
      <c r="AN447">
        <f>COUNTIF(P447,"&gt;0")</f>
      </c>
      <c r="AO447">
        <f>COUNTIF(Q447,"&gt;0")</f>
      </c>
      <c r="AP447">
        <f>COUNTIF(R447,"&gt;0")</f>
      </c>
      <c r="AQ447">
        <f>COUNTIF(S447,"&gt;0")</f>
      </c>
      <c r="AR447">
        <f>COUNTIF(T447,"&gt;0")</f>
      </c>
      <c r="AX447" t="s">
        <v>494</v>
      </c>
      <c r="AY447" t="s">
        <v>520</v>
      </c>
    </row>
    <row r="448" ht="18" customHeight="1" spans="1:51" x14ac:dyDescent="0.25">
      <c r="A448" s="14"/>
      <c r="B448" s="14"/>
      <c r="C448" s="14"/>
      <c r="D448" s="14"/>
      <c r="E448" s="14"/>
      <c r="F448" s="15"/>
      <c r="G448" s="15"/>
      <c r="H448" s="14" t="s">
        <v>71</v>
      </c>
      <c r="I448" s="16"/>
      <c r="J448" s="17"/>
      <c r="K448" s="14"/>
      <c r="L448" s="14"/>
      <c r="M448" s="14"/>
      <c r="N448" s="14"/>
      <c r="O448" s="15"/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1" t="s">
        <v>33</v>
      </c>
      <c r="V448" s="21" t="s">
        <v>33</v>
      </c>
      <c r="W448" s="21" t="s">
        <v>33</v>
      </c>
      <c r="X448" s="21" t="s">
        <v>33</v>
      </c>
      <c r="Y448" s="21" t="s">
        <v>33</v>
      </c>
      <c r="AL448">
        <f>COUNTIF(P448:T448,"&gt;0")</f>
      </c>
      <c r="AS448">
        <f>COUNTIF(P448,"&gt;0")</f>
      </c>
      <c r="AT448">
        <f>COUNTIF(Q448,"&gt;0")</f>
      </c>
      <c r="AU448">
        <f>COUNTIF(R448,"&gt;0")</f>
      </c>
      <c r="AV448">
        <f>COUNTIF(S448,"&gt;0")</f>
      </c>
      <c r="AW448">
        <f>COUNTIF(T448,"&gt;0")</f>
      </c>
      <c r="AX448" t="s">
        <v>494</v>
      </c>
      <c r="AY448" t="s">
        <v>520</v>
      </c>
    </row>
    <row r="449" ht="28" customHeight="1" spans="1:51" x14ac:dyDescent="0.25">
      <c r="A449" s="14"/>
      <c r="B449" s="14"/>
      <c r="C449" s="14"/>
      <c r="D449" s="14"/>
      <c r="E449" s="14"/>
      <c r="F449" s="15" t="s">
        <v>239</v>
      </c>
      <c r="G449" s="15" t="s">
        <v>521</v>
      </c>
      <c r="H449" s="14" t="s">
        <v>66</v>
      </c>
      <c r="I449" s="16">
        <v>2</v>
      </c>
      <c r="J449" s="17">
        <v>1</v>
      </c>
      <c r="K449" s="14" t="s">
        <v>67</v>
      </c>
      <c r="L449" s="14" t="s">
        <v>68</v>
      </c>
      <c r="M449" s="14"/>
      <c r="N449" s="14"/>
      <c r="O449" s="15"/>
      <c r="P449" s="19">
        <v>0</v>
      </c>
      <c r="Q449" s="18">
        <v>2</v>
      </c>
      <c r="R449" s="19">
        <v>0</v>
      </c>
      <c r="S449" s="19">
        <v>0</v>
      </c>
      <c r="T449" s="19">
        <v>0</v>
      </c>
      <c r="U449" s="14" t="s">
        <v>33</v>
      </c>
      <c r="V449" s="14" t="s">
        <v>33</v>
      </c>
      <c r="W449" s="14" t="s">
        <v>33</v>
      </c>
      <c r="X449" s="14" t="s">
        <v>33</v>
      </c>
      <c r="Y449" s="14" t="s">
        <v>33</v>
      </c>
      <c r="AM449">
        <f>COUNTIF(P449:T449,"&gt;0")</f>
      </c>
      <c r="AN449">
        <f>COUNTIF(P449,"&gt;0")</f>
      </c>
      <c r="AO449">
        <f>COUNTIF(Q449,"&gt;0")</f>
      </c>
      <c r="AP449">
        <f>COUNTIF(R449,"&gt;0")</f>
      </c>
      <c r="AQ449">
        <f>COUNTIF(S449,"&gt;0")</f>
      </c>
      <c r="AR449">
        <f>COUNTIF(T449,"&gt;0")</f>
      </c>
      <c r="AX449" t="s">
        <v>494</v>
      </c>
      <c r="AY449" t="s">
        <v>522</v>
      </c>
    </row>
    <row r="450" ht="18" customHeight="1" spans="1:51" x14ac:dyDescent="0.25">
      <c r="A450" s="14"/>
      <c r="B450" s="14"/>
      <c r="C450" s="14"/>
      <c r="D450" s="14"/>
      <c r="E450" s="14"/>
      <c r="F450" s="15"/>
      <c r="G450" s="15"/>
      <c r="H450" s="14" t="s">
        <v>71</v>
      </c>
      <c r="I450" s="16"/>
      <c r="J450" s="17"/>
      <c r="K450" s="14"/>
      <c r="L450" s="14"/>
      <c r="M450" s="14"/>
      <c r="N450" s="14"/>
      <c r="O450" s="15"/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1" t="s">
        <v>33</v>
      </c>
      <c r="V450" s="21" t="s">
        <v>33</v>
      </c>
      <c r="W450" s="21" t="s">
        <v>33</v>
      </c>
      <c r="X450" s="21" t="s">
        <v>33</v>
      </c>
      <c r="Y450" s="21" t="s">
        <v>33</v>
      </c>
      <c r="AL450">
        <f>COUNTIF(P450:T450,"&gt;0")</f>
      </c>
      <c r="AS450">
        <f>COUNTIF(P450,"&gt;0")</f>
      </c>
      <c r="AT450">
        <f>COUNTIF(Q450,"&gt;0")</f>
      </c>
      <c r="AU450">
        <f>COUNTIF(R450,"&gt;0")</f>
      </c>
      <c r="AV450">
        <f>COUNTIF(S450,"&gt;0")</f>
      </c>
      <c r="AW450">
        <f>COUNTIF(T450,"&gt;0")</f>
      </c>
      <c r="AX450" t="s">
        <v>494</v>
      </c>
      <c r="AY450" t="s">
        <v>522</v>
      </c>
    </row>
    <row r="451" ht="28" customHeight="1" spans="1:51" x14ac:dyDescent="0.25">
      <c r="A451" s="14"/>
      <c r="B451" s="14"/>
      <c r="C451" s="14"/>
      <c r="D451" s="14"/>
      <c r="E451" s="14"/>
      <c r="F451" s="15" t="s">
        <v>236</v>
      </c>
      <c r="G451" s="15" t="s">
        <v>523</v>
      </c>
      <c r="H451" s="14" t="s">
        <v>66</v>
      </c>
      <c r="I451" s="16">
        <v>2</v>
      </c>
      <c r="J451" s="17">
        <v>1</v>
      </c>
      <c r="K451" s="14" t="s">
        <v>67</v>
      </c>
      <c r="L451" s="14" t="s">
        <v>68</v>
      </c>
      <c r="M451" s="14"/>
      <c r="N451" s="14"/>
      <c r="O451" s="15"/>
      <c r="P451" s="19">
        <v>0</v>
      </c>
      <c r="Q451" s="19">
        <v>0</v>
      </c>
      <c r="R451" s="18">
        <v>2</v>
      </c>
      <c r="S451" s="19">
        <v>0</v>
      </c>
      <c r="T451" s="19">
        <v>0</v>
      </c>
      <c r="U451" s="14" t="s">
        <v>33</v>
      </c>
      <c r="V451" s="14" t="s">
        <v>33</v>
      </c>
      <c r="W451" s="14" t="s">
        <v>33</v>
      </c>
      <c r="X451" s="14" t="s">
        <v>33</v>
      </c>
      <c r="Y451" s="14" t="s">
        <v>33</v>
      </c>
      <c r="AM451">
        <f>COUNTIF(P451:T451,"&gt;0")</f>
      </c>
      <c r="AN451">
        <f>COUNTIF(P451,"&gt;0")</f>
      </c>
      <c r="AO451">
        <f>COUNTIF(Q451,"&gt;0")</f>
      </c>
      <c r="AP451">
        <f>COUNTIF(R451,"&gt;0")</f>
      </c>
      <c r="AQ451">
        <f>COUNTIF(S451,"&gt;0")</f>
      </c>
      <c r="AR451">
        <f>COUNTIF(T451,"&gt;0")</f>
      </c>
      <c r="AX451" t="s">
        <v>494</v>
      </c>
      <c r="AY451" t="s">
        <v>524</v>
      </c>
    </row>
    <row r="452" ht="18" customHeight="1" spans="1:51" x14ac:dyDescent="0.25">
      <c r="A452" s="14"/>
      <c r="B452" s="14"/>
      <c r="C452" s="14"/>
      <c r="D452" s="14"/>
      <c r="E452" s="14"/>
      <c r="F452" s="15"/>
      <c r="G452" s="15"/>
      <c r="H452" s="14" t="s">
        <v>71</v>
      </c>
      <c r="I452" s="16"/>
      <c r="J452" s="17"/>
      <c r="K452" s="14"/>
      <c r="L452" s="14"/>
      <c r="M452" s="14"/>
      <c r="N452" s="14"/>
      <c r="O452" s="15"/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1" t="s">
        <v>33</v>
      </c>
      <c r="V452" s="21" t="s">
        <v>33</v>
      </c>
      <c r="W452" s="21" t="s">
        <v>33</v>
      </c>
      <c r="X452" s="21" t="s">
        <v>33</v>
      </c>
      <c r="Y452" s="21" t="s">
        <v>33</v>
      </c>
      <c r="AL452">
        <f>COUNTIF(P452:T452,"&gt;0")</f>
      </c>
      <c r="AS452">
        <f>COUNTIF(P452,"&gt;0")</f>
      </c>
      <c r="AT452">
        <f>COUNTIF(Q452,"&gt;0")</f>
      </c>
      <c r="AU452">
        <f>COUNTIF(R452,"&gt;0")</f>
      </c>
      <c r="AV452">
        <f>COUNTIF(S452,"&gt;0")</f>
      </c>
      <c r="AW452">
        <f>COUNTIF(T452,"&gt;0")</f>
      </c>
      <c r="AX452" t="s">
        <v>494</v>
      </c>
      <c r="AY452" t="s">
        <v>524</v>
      </c>
    </row>
    <row r="453" ht="28" customHeight="1" spans="1:51" x14ac:dyDescent="0.25">
      <c r="A453" s="14"/>
      <c r="B453" s="14"/>
      <c r="C453" s="14"/>
      <c r="D453" s="14"/>
      <c r="E453" s="14"/>
      <c r="F453" s="15" t="s">
        <v>264</v>
      </c>
      <c r="G453" s="15" t="s">
        <v>525</v>
      </c>
      <c r="H453" s="14" t="s">
        <v>66</v>
      </c>
      <c r="I453" s="16">
        <v>4</v>
      </c>
      <c r="J453" s="17">
        <v>6</v>
      </c>
      <c r="K453" s="14" t="s">
        <v>138</v>
      </c>
      <c r="L453" s="14" t="s">
        <v>68</v>
      </c>
      <c r="M453" s="14"/>
      <c r="N453" s="14"/>
      <c r="O453" s="15"/>
      <c r="P453" s="19">
        <v>0</v>
      </c>
      <c r="Q453" s="24">
        <v>4</v>
      </c>
      <c r="R453" s="19">
        <v>0</v>
      </c>
      <c r="S453" s="19">
        <v>0</v>
      </c>
      <c r="T453" s="19">
        <v>0</v>
      </c>
      <c r="U453" s="14" t="s">
        <v>33</v>
      </c>
      <c r="V453" s="14" t="s">
        <v>33</v>
      </c>
      <c r="W453" s="14" t="s">
        <v>33</v>
      </c>
      <c r="X453" s="14" t="s">
        <v>33</v>
      </c>
      <c r="Y453" s="14" t="s">
        <v>33</v>
      </c>
      <c r="AM453">
        <f>COUNTIF(P453:T453,"&gt;0")</f>
      </c>
      <c r="AN453">
        <f>COUNTIF(P453,"&gt;0")</f>
      </c>
      <c r="AO453">
        <f>COUNTIF(Q453,"&gt;0")</f>
      </c>
      <c r="AP453">
        <f>COUNTIF(R453,"&gt;0")</f>
      </c>
      <c r="AQ453">
        <f>COUNTIF(S453,"&gt;0")</f>
      </c>
      <c r="AR453">
        <f>COUNTIF(T453,"&gt;0")</f>
      </c>
      <c r="AX453" t="s">
        <v>494</v>
      </c>
      <c r="AY453" t="s">
        <v>526</v>
      </c>
    </row>
    <row r="454" ht="18" customHeight="1" spans="1:51" x14ac:dyDescent="0.25">
      <c r="A454" s="14"/>
      <c r="B454" s="14"/>
      <c r="C454" s="14"/>
      <c r="D454" s="14"/>
      <c r="E454" s="14"/>
      <c r="F454" s="15"/>
      <c r="G454" s="15"/>
      <c r="H454" s="14" t="s">
        <v>71</v>
      </c>
      <c r="I454" s="16"/>
      <c r="J454" s="17"/>
      <c r="K454" s="14"/>
      <c r="L454" s="14"/>
      <c r="M454" s="14"/>
      <c r="N454" s="14"/>
      <c r="O454" s="15"/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1" t="s">
        <v>33</v>
      </c>
      <c r="V454" s="21" t="s">
        <v>33</v>
      </c>
      <c r="W454" s="21" t="s">
        <v>33</v>
      </c>
      <c r="X454" s="21" t="s">
        <v>33</v>
      </c>
      <c r="Y454" s="21" t="s">
        <v>33</v>
      </c>
      <c r="AL454">
        <f>COUNTIF(P454:T454,"&gt;0")</f>
      </c>
      <c r="AS454">
        <f>COUNTIF(P454,"&gt;0")</f>
      </c>
      <c r="AT454">
        <f>COUNTIF(Q454,"&gt;0")</f>
      </c>
      <c r="AU454">
        <f>COUNTIF(R454,"&gt;0")</f>
      </c>
      <c r="AV454">
        <f>COUNTIF(S454,"&gt;0")</f>
      </c>
      <c r="AW454">
        <f>COUNTIF(T454,"&gt;0")</f>
      </c>
      <c r="AX454" t="s">
        <v>494</v>
      </c>
      <c r="AY454" t="s">
        <v>526</v>
      </c>
    </row>
    <row r="455" ht="18" customHeight="1" spans="1:50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19"/>
      <c r="Q455" s="19"/>
      <c r="R455" s="19"/>
      <c r="S455" s="19"/>
      <c r="T455" s="19"/>
      <c r="U455" s="26"/>
      <c r="V455" s="26"/>
      <c r="W455" s="26"/>
      <c r="X455" s="26"/>
      <c r="Y455" s="26"/>
    </row>
    <row r="456" ht="18" customHeight="1" spans="1:50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19"/>
      <c r="Q456" s="19"/>
      <c r="R456" s="19"/>
      <c r="S456" s="19"/>
      <c r="T456" s="19"/>
      <c r="U456" s="26"/>
      <c r="V456" s="26"/>
      <c r="W456" s="26"/>
      <c r="X456" s="26"/>
      <c r="Y456" s="26"/>
    </row>
    <row r="457" ht="18" customHeight="1" spans="1:50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19"/>
      <c r="Q457" s="19"/>
      <c r="R457" s="19"/>
      <c r="S457" s="19"/>
      <c r="T457" s="19"/>
      <c r="U457" s="26"/>
      <c r="V457" s="26"/>
      <c r="W457" s="26"/>
      <c r="X457" s="26"/>
      <c r="Y457" s="26"/>
    </row>
    <row r="458" ht="18" customHeight="1" spans="1:50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19"/>
      <c r="Q458" s="19"/>
      <c r="R458" s="19"/>
      <c r="S458" s="19"/>
      <c r="T458" s="19"/>
      <c r="U458" s="26"/>
      <c r="V458" s="26"/>
      <c r="W458" s="26"/>
      <c r="X458" s="26"/>
      <c r="Y458" s="26"/>
    </row>
    <row r="459" ht="18" customHeight="1" spans="1:50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19"/>
      <c r="Q459" s="19"/>
      <c r="R459" s="19"/>
      <c r="S459" s="19"/>
      <c r="T459" s="19"/>
      <c r="U459" s="26"/>
      <c r="V459" s="26"/>
      <c r="W459" s="26"/>
      <c r="X459" s="26"/>
      <c r="Y459" s="26"/>
    </row>
    <row r="460" ht="18" customHeight="1" spans="1:50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19"/>
      <c r="Q460" s="19"/>
      <c r="R460" s="19"/>
      <c r="S460" s="19"/>
      <c r="T460" s="19"/>
      <c r="U460" s="26"/>
      <c r="V460" s="26"/>
      <c r="W460" s="26"/>
      <c r="X460" s="26"/>
      <c r="Y460" s="26"/>
    </row>
    <row r="461" ht="18" customHeight="1" spans="1:50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19"/>
      <c r="Q461" s="19"/>
      <c r="R461" s="19"/>
      <c r="S461" s="19"/>
      <c r="T461" s="19"/>
      <c r="U461" s="26"/>
      <c r="V461" s="26"/>
      <c r="W461" s="26"/>
      <c r="X461" s="26"/>
      <c r="Y461" s="26"/>
    </row>
    <row r="462" ht="18" customHeight="1" spans="1:50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19"/>
      <c r="Q462" s="19"/>
      <c r="R462" s="19"/>
      <c r="S462" s="19"/>
      <c r="T462" s="19"/>
      <c r="U462" s="26"/>
      <c r="V462" s="26"/>
      <c r="W462" s="26"/>
      <c r="X462" s="26"/>
      <c r="Y462" s="26"/>
    </row>
    <row r="463" ht="18" customHeight="1" spans="1:50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19"/>
      <c r="Q463" s="19"/>
      <c r="R463" s="19"/>
      <c r="S463" s="19"/>
      <c r="T463" s="19"/>
      <c r="U463" s="26"/>
      <c r="V463" s="26"/>
      <c r="W463" s="26"/>
      <c r="X463" s="26"/>
      <c r="Y463" s="26"/>
    </row>
    <row r="464" ht="18" customHeight="1" spans="1:50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19"/>
      <c r="Q464" s="19"/>
      <c r="R464" s="19"/>
      <c r="S464" s="19"/>
      <c r="T464" s="19"/>
      <c r="U464" s="26"/>
      <c r="V464" s="26"/>
      <c r="W464" s="26"/>
      <c r="X464" s="26"/>
      <c r="Y464" s="26"/>
    </row>
    <row r="465" ht="18" customHeight="1" spans="1:50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19"/>
      <c r="Q465" s="19"/>
      <c r="R465" s="19"/>
      <c r="S465" s="19"/>
      <c r="T465" s="19"/>
      <c r="U465" s="26"/>
      <c r="V465" s="26"/>
      <c r="W465" s="26"/>
      <c r="X465" s="26"/>
      <c r="Y465" s="26"/>
    </row>
    <row r="466" ht="18" customHeight="1" spans="1:50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19"/>
      <c r="Q466" s="19"/>
      <c r="R466" s="19"/>
      <c r="S466" s="19"/>
      <c r="T466" s="19"/>
      <c r="U466" s="26"/>
      <c r="V466" s="26"/>
      <c r="W466" s="26"/>
      <c r="X466" s="26"/>
      <c r="Y466" s="26"/>
    </row>
    <row r="467" ht="18" customHeight="1" spans="1:50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19"/>
      <c r="Q467" s="19"/>
      <c r="R467" s="19"/>
      <c r="S467" s="19"/>
      <c r="T467" s="19"/>
      <c r="U467" s="26"/>
      <c r="V467" s="26"/>
      <c r="W467" s="26"/>
      <c r="X467" s="26"/>
      <c r="Y467" s="26"/>
    </row>
    <row r="468" ht="18" customHeight="1" spans="1:50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19"/>
      <c r="Q468" s="19"/>
      <c r="R468" s="19"/>
      <c r="S468" s="19"/>
      <c r="T468" s="19"/>
      <c r="U468" s="26"/>
      <c r="V468" s="26"/>
      <c r="W468" s="26"/>
      <c r="X468" s="26"/>
      <c r="Y468" s="26"/>
    </row>
    <row r="469" ht="18" customHeight="1" spans="1:50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19"/>
      <c r="Q469" s="19"/>
      <c r="R469" s="19"/>
      <c r="S469" s="19"/>
      <c r="T469" s="19"/>
      <c r="U469" s="26"/>
      <c r="V469" s="26"/>
      <c r="W469" s="26"/>
      <c r="X469" s="26"/>
      <c r="Y469" s="26"/>
    </row>
    <row r="470" ht="18" customHeight="1" spans="1:50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19"/>
      <c r="Q470" s="19"/>
      <c r="R470" s="19"/>
      <c r="S470" s="19"/>
      <c r="T470" s="19"/>
      <c r="U470" s="26"/>
      <c r="V470" s="26"/>
      <c r="W470" s="26"/>
      <c r="X470" s="26"/>
      <c r="Y470" s="26"/>
    </row>
    <row r="471" ht="18" customHeight="1" spans="1:50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19"/>
      <c r="Q471" s="19"/>
      <c r="R471" s="19"/>
      <c r="S471" s="19"/>
      <c r="T471" s="19"/>
      <c r="U471" s="26"/>
      <c r="V471" s="26"/>
      <c r="W471" s="26"/>
      <c r="X471" s="26"/>
      <c r="Y471" s="26"/>
    </row>
    <row r="472" ht="18" customHeight="1" spans="1:50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19"/>
      <c r="Q472" s="19"/>
      <c r="R472" s="19"/>
      <c r="S472" s="19"/>
      <c r="T472" s="19"/>
      <c r="U472" s="26"/>
      <c r="V472" s="26"/>
      <c r="W472" s="26"/>
      <c r="X472" s="26"/>
      <c r="Y472" s="26"/>
    </row>
    <row r="473" ht="18" customHeight="1" spans="1:50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19"/>
      <c r="Q473" s="19"/>
      <c r="R473" s="19"/>
      <c r="S473" s="19"/>
      <c r="T473" s="19"/>
      <c r="U473" s="26"/>
      <c r="V473" s="26"/>
      <c r="W473" s="26"/>
      <c r="X473" s="26"/>
      <c r="Y473" s="26"/>
    </row>
    <row r="474" ht="18" customHeight="1" spans="1:50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19"/>
      <c r="Q474" s="19"/>
      <c r="R474" s="19"/>
      <c r="S474" s="19"/>
      <c r="T474" s="19"/>
      <c r="U474" s="26"/>
      <c r="V474" s="26"/>
      <c r="W474" s="26"/>
      <c r="X474" s="26"/>
      <c r="Y474" s="26"/>
    </row>
    <row r="475" ht="18" customHeight="1" spans="1:50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19"/>
      <c r="Q475" s="19"/>
      <c r="R475" s="19"/>
      <c r="S475" s="19"/>
      <c r="T475" s="19"/>
      <c r="U475" s="26"/>
      <c r="V475" s="26"/>
      <c r="W475" s="26"/>
      <c r="X475" s="26"/>
      <c r="Y475" s="26"/>
    </row>
    <row r="476" ht="18" customHeight="1" spans="1:50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19"/>
      <c r="Q476" s="19"/>
      <c r="R476" s="19"/>
      <c r="S476" s="19"/>
      <c r="T476" s="19"/>
      <c r="U476" s="26"/>
      <c r="V476" s="26"/>
      <c r="W476" s="26"/>
      <c r="X476" s="26"/>
      <c r="Y476" s="26"/>
    </row>
    <row r="477" ht="18" customHeight="1" spans="1:50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19"/>
      <c r="Q477" s="19"/>
      <c r="R477" s="19"/>
      <c r="S477" s="19"/>
      <c r="T477" s="19"/>
      <c r="U477" s="26"/>
      <c r="V477" s="26"/>
      <c r="W477" s="26"/>
      <c r="X477" s="26"/>
      <c r="Y477" s="26"/>
    </row>
    <row r="478" ht="18" customHeight="1" spans="1:50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19"/>
      <c r="Q478" s="19"/>
      <c r="R478" s="19"/>
      <c r="S478" s="19"/>
      <c r="T478" s="19"/>
      <c r="U478" s="26"/>
      <c r="V478" s="26"/>
      <c r="W478" s="26"/>
      <c r="X478" s="26"/>
      <c r="Y478" s="26"/>
    </row>
    <row r="479" ht="18" customHeight="1" spans="1:50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19"/>
      <c r="Q479" s="19"/>
      <c r="R479" s="19"/>
      <c r="S479" s="19"/>
      <c r="T479" s="19"/>
      <c r="U479" s="26"/>
      <c r="V479" s="26"/>
      <c r="W479" s="26"/>
      <c r="X479" s="26"/>
      <c r="Y479" s="26"/>
    </row>
    <row r="480" ht="18" customHeight="1" spans="1:50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19"/>
      <c r="Q480" s="19"/>
      <c r="R480" s="19"/>
      <c r="S480" s="19"/>
      <c r="T480" s="19"/>
      <c r="U480" s="26"/>
      <c r="V480" s="26"/>
      <c r="W480" s="26"/>
      <c r="X480" s="26"/>
      <c r="Y480" s="26"/>
    </row>
    <row r="481" ht="18" customHeight="1" spans="1:50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19"/>
      <c r="Q481" s="19"/>
      <c r="R481" s="19"/>
      <c r="S481" s="19"/>
      <c r="T481" s="19"/>
      <c r="U481" s="26"/>
      <c r="V481" s="26"/>
      <c r="W481" s="26"/>
      <c r="X481" s="26"/>
      <c r="Y481" s="26"/>
    </row>
    <row r="482" ht="18" customHeight="1" spans="1:50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19"/>
      <c r="Q482" s="19"/>
      <c r="R482" s="19"/>
      <c r="S482" s="19"/>
      <c r="T482" s="19"/>
      <c r="U482" s="26"/>
      <c r="V482" s="26"/>
      <c r="W482" s="26"/>
      <c r="X482" s="26"/>
      <c r="Y482" s="26"/>
    </row>
    <row r="483" ht="18" customHeight="1" spans="1:50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19"/>
      <c r="Q483" s="19"/>
      <c r="R483" s="19"/>
      <c r="S483" s="19"/>
      <c r="T483" s="19"/>
      <c r="U483" s="26"/>
      <c r="V483" s="26"/>
      <c r="W483" s="26"/>
      <c r="X483" s="26"/>
      <c r="Y483" s="26"/>
    </row>
    <row r="484" ht="18" customHeight="1" spans="1:50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19"/>
      <c r="Q484" s="19"/>
      <c r="R484" s="19"/>
      <c r="S484" s="19"/>
      <c r="T484" s="19"/>
      <c r="U484" s="26"/>
      <c r="V484" s="26"/>
      <c r="W484" s="26"/>
      <c r="X484" s="26"/>
      <c r="Y484" s="26"/>
    </row>
    <row r="485" ht="18" customHeight="1" spans="1:50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19"/>
      <c r="Q485" s="19"/>
      <c r="R485" s="19"/>
      <c r="S485" s="19"/>
      <c r="T485" s="19"/>
      <c r="U485" s="26"/>
      <c r="V485" s="26"/>
      <c r="W485" s="26"/>
      <c r="X485" s="26"/>
      <c r="Y485" s="26"/>
    </row>
    <row r="486" ht="18" customHeight="1" spans="1:50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19"/>
      <c r="Q486" s="19"/>
      <c r="R486" s="19"/>
      <c r="S486" s="19"/>
      <c r="T486" s="19"/>
      <c r="U486" s="26"/>
      <c r="V486" s="26"/>
      <c r="W486" s="26"/>
      <c r="X486" s="26"/>
      <c r="Y486" s="26"/>
    </row>
    <row r="487" ht="18" customHeight="1" spans="1:50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19"/>
      <c r="Q487" s="19"/>
      <c r="R487" s="19"/>
      <c r="S487" s="19"/>
      <c r="T487" s="19"/>
      <c r="U487" s="26"/>
      <c r="V487" s="26"/>
      <c r="W487" s="26"/>
      <c r="X487" s="26"/>
      <c r="Y487" s="26"/>
    </row>
    <row r="488" ht="18" customHeight="1" spans="1:50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19"/>
      <c r="Q488" s="19"/>
      <c r="R488" s="19"/>
      <c r="S488" s="19"/>
      <c r="T488" s="19"/>
      <c r="U488" s="26"/>
      <c r="V488" s="26"/>
      <c r="W488" s="26"/>
      <c r="X488" s="26"/>
      <c r="Y488" s="26"/>
    </row>
    <row r="489" ht="18" customHeight="1" spans="1:50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19"/>
      <c r="Q489" s="19"/>
      <c r="R489" s="19"/>
      <c r="S489" s="19"/>
      <c r="T489" s="19"/>
      <c r="U489" s="26"/>
      <c r="V489" s="26"/>
      <c r="W489" s="26"/>
      <c r="X489" s="26"/>
      <c r="Y489" s="26"/>
    </row>
    <row r="490" ht="18" customHeight="1" spans="1:50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19"/>
      <c r="Q490" s="19"/>
      <c r="R490" s="19"/>
      <c r="S490" s="19"/>
      <c r="T490" s="19"/>
      <c r="U490" s="26"/>
      <c r="V490" s="26"/>
      <c r="W490" s="26"/>
      <c r="X490" s="26"/>
      <c r="Y490" s="26"/>
    </row>
    <row r="491" ht="18" customHeight="1" spans="1:50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19"/>
      <c r="Q491" s="19"/>
      <c r="R491" s="19"/>
      <c r="S491" s="19"/>
      <c r="T491" s="19"/>
      <c r="U491" s="26"/>
      <c r="V491" s="26"/>
      <c r="W491" s="26"/>
      <c r="X491" s="26"/>
      <c r="Y491" s="26"/>
    </row>
    <row r="492" ht="18" customHeight="1" spans="1:50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19"/>
      <c r="Q492" s="19"/>
      <c r="R492" s="19"/>
      <c r="S492" s="19"/>
      <c r="T492" s="19"/>
      <c r="U492" s="26"/>
      <c r="V492" s="26"/>
      <c r="W492" s="26"/>
      <c r="X492" s="26"/>
      <c r="Y492" s="26"/>
    </row>
    <row r="493" ht="18" customHeight="1" spans="1:50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19"/>
      <c r="Q493" s="19"/>
      <c r="R493" s="19"/>
      <c r="S493" s="19"/>
      <c r="T493" s="19"/>
      <c r="U493" s="26"/>
      <c r="V493" s="26"/>
      <c r="W493" s="26"/>
      <c r="X493" s="26"/>
      <c r="Y493" s="26"/>
    </row>
    <row r="494" ht="18" customHeight="1" spans="1:50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19"/>
      <c r="Q494" s="19"/>
      <c r="R494" s="19"/>
      <c r="S494" s="19"/>
      <c r="T494" s="19"/>
      <c r="U494" s="26"/>
      <c r="V494" s="26"/>
      <c r="W494" s="26"/>
      <c r="X494" s="26"/>
      <c r="Y494" s="26"/>
    </row>
    <row r="495" ht="18" customHeight="1" spans="1:50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19"/>
      <c r="Q495" s="19"/>
      <c r="R495" s="19"/>
      <c r="S495" s="19"/>
      <c r="T495" s="19"/>
      <c r="U495" s="26"/>
      <c r="V495" s="26"/>
      <c r="W495" s="26"/>
      <c r="X495" s="26"/>
      <c r="Y495" s="26"/>
    </row>
    <row r="496" ht="18" customHeight="1" spans="1:50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19"/>
      <c r="Q496" s="19"/>
      <c r="R496" s="19"/>
      <c r="S496" s="19"/>
      <c r="T496" s="19"/>
      <c r="U496" s="26"/>
      <c r="V496" s="26"/>
      <c r="W496" s="26"/>
      <c r="X496" s="26"/>
      <c r="Y496" s="26"/>
    </row>
    <row r="497" ht="18" customHeight="1" spans="1:50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19"/>
      <c r="Q497" s="19"/>
      <c r="R497" s="19"/>
      <c r="S497" s="19"/>
      <c r="T497" s="19"/>
      <c r="U497" s="26"/>
      <c r="V497" s="26"/>
      <c r="W497" s="26"/>
      <c r="X497" s="26"/>
      <c r="Y497" s="26"/>
    </row>
    <row r="498" ht="18" customHeight="1" spans="1:50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19"/>
      <c r="Q498" s="19"/>
      <c r="R498" s="19"/>
      <c r="S498" s="19"/>
      <c r="T498" s="19"/>
      <c r="U498" s="26"/>
      <c r="V498" s="26"/>
      <c r="W498" s="26"/>
      <c r="X498" s="26"/>
      <c r="Y498" s="26"/>
    </row>
    <row r="499" ht="18" customHeight="1" spans="1:50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19"/>
      <c r="Q499" s="19"/>
      <c r="R499" s="19"/>
      <c r="S499" s="19"/>
      <c r="T499" s="19"/>
      <c r="U499" s="26"/>
      <c r="V499" s="26"/>
      <c r="W499" s="26"/>
      <c r="X499" s="26"/>
      <c r="Y499" s="26"/>
    </row>
    <row r="500" ht="18" customHeight="1" spans="1:50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19"/>
      <c r="Q500" s="19"/>
      <c r="R500" s="19"/>
      <c r="S500" s="19"/>
      <c r="T500" s="19"/>
      <c r="U500" s="26"/>
      <c r="V500" s="26"/>
      <c r="W500" s="26"/>
      <c r="X500" s="26"/>
      <c r="Y500" s="26"/>
    </row>
    <row r="501" ht="18" customHeight="1" spans="1:50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19"/>
      <c r="Q501" s="19"/>
      <c r="R501" s="19"/>
      <c r="S501" s="19"/>
      <c r="T501" s="19"/>
      <c r="U501" s="26"/>
      <c r="V501" s="26"/>
      <c r="W501" s="26"/>
      <c r="X501" s="26"/>
      <c r="Y501" s="26"/>
    </row>
    <row r="502" ht="18" customHeight="1" spans="1:50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19"/>
      <c r="Q502" s="19"/>
      <c r="R502" s="19"/>
      <c r="S502" s="19"/>
      <c r="T502" s="19"/>
      <c r="U502" s="26"/>
      <c r="V502" s="26"/>
      <c r="W502" s="26"/>
      <c r="X502" s="26"/>
      <c r="Y502" s="26"/>
    </row>
    <row r="503" ht="18" customHeight="1" spans="1:50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19"/>
      <c r="Q503" s="19"/>
      <c r="R503" s="19"/>
      <c r="S503" s="19"/>
      <c r="T503" s="19"/>
      <c r="U503" s="26"/>
      <c r="V503" s="26"/>
      <c r="W503" s="26"/>
      <c r="X503" s="26"/>
      <c r="Y503" s="26"/>
    </row>
    <row r="504" ht="18" customHeight="1" spans="1:50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19"/>
      <c r="Q504" s="19"/>
      <c r="R504" s="19"/>
      <c r="S504" s="19"/>
      <c r="T504" s="19"/>
      <c r="U504" s="26"/>
      <c r="V504" s="26"/>
      <c r="W504" s="26"/>
      <c r="X504" s="26"/>
      <c r="Y504" s="26"/>
    </row>
    <row r="505" ht="18" customHeight="1" spans="1:50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19"/>
      <c r="Q505" s="19"/>
      <c r="R505" s="19"/>
      <c r="S505" s="19"/>
      <c r="T505" s="19"/>
      <c r="U505" s="26"/>
      <c r="V505" s="26"/>
      <c r="W505" s="26"/>
      <c r="X505" s="26"/>
      <c r="Y505" s="26"/>
    </row>
    <row r="506" ht="18" customHeight="1" spans="1:50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19"/>
      <c r="Q506" s="19"/>
      <c r="R506" s="19"/>
      <c r="S506" s="19"/>
      <c r="T506" s="19"/>
      <c r="U506" s="26"/>
      <c r="V506" s="26"/>
      <c r="W506" s="26"/>
      <c r="X506" s="26"/>
      <c r="Y506" s="26"/>
    </row>
    <row r="507" ht="18" customHeight="1" spans="1:50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19"/>
      <c r="Q507" s="19"/>
      <c r="R507" s="19"/>
      <c r="S507" s="19"/>
      <c r="T507" s="19"/>
      <c r="U507" s="26"/>
      <c r="V507" s="26"/>
      <c r="W507" s="26"/>
      <c r="X507" s="26"/>
      <c r="Y507" s="26"/>
    </row>
  </sheetData>
  <mergeCells count="522">
    <mergeCell ref="A1:C1"/>
    <mergeCell ref="D1:J1"/>
    <mergeCell ref="K1:AK1"/>
    <mergeCell ref="P4:T4"/>
    <mergeCell ref="U4:Y4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2026-09-22T15:27:32Z</dcterms:created>
  <dcterms:modified xsi:type="dcterms:W3CDTF">2026-09-22T15:27:32Z</dcterms:modified>
</cp:coreProperties>
</file>