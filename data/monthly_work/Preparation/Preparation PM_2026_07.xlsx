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 fullCalcOnLoad="1"/>
</workbook>
</file>

<file path=xl/sharedStrings.xml><?xml version="1.0" encoding="utf-8"?>
<sst xmlns="http://schemas.openxmlformats.org/spreadsheetml/2006/main" count="4611" uniqueCount="527">
  <si>
    <t>Smart PM Maintenance</t>
  </si>
  <si>
    <t>Preventive Maintenance System</t>
  </si>
  <si>
    <t>Total Machines</t>
  </si>
  <si>
    <t>Planned Tasks</t>
  </si>
  <si>
    <t>Done Tasks</t>
  </si>
  <si>
    <t>Remaining</t>
  </si>
  <si>
    <t>Achievement %</t>
  </si>
  <si>
    <t>Calendar Tasks</t>
  </si>
  <si>
    <t>Hours Tasks</t>
  </si>
  <si>
    <t>PLC Tasks</t>
  </si>
  <si>
    <t>W1 Plan</t>
  </si>
  <si>
    <t>W1 Done</t>
  </si>
  <si>
    <t>W1 %</t>
  </si>
  <si>
    <t>W2 Plan</t>
  </si>
  <si>
    <t>W2 Done</t>
  </si>
  <si>
    <t>W2 %</t>
  </si>
  <si>
    <t>W3 Plan</t>
  </si>
  <si>
    <t>W3 Done</t>
  </si>
  <si>
    <t>W3 %</t>
  </si>
  <si>
    <t>W4 Plan</t>
  </si>
  <si>
    <t>W4 Done</t>
  </si>
  <si>
    <t>W4 %</t>
  </si>
  <si>
    <t>W5 Plan</t>
  </si>
  <si>
    <t>W5 Done</t>
  </si>
  <si>
    <t>W5 %</t>
  </si>
  <si>
    <t>Month</t>
  </si>
  <si>
    <t>Preparation — Jul 2026</t>
  </si>
  <si>
    <t>PM WEEK SCHEDULE</t>
  </si>
  <si>
    <t>Executed By / Execution Date</t>
  </si>
  <si>
    <t>3--9</t>
  </si>
  <si>
    <t>10--16</t>
  </si>
  <si>
    <t>17--23</t>
  </si>
  <si>
    <t>24--30</t>
  </si>
  <si>
    <t>31--6</t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</si>
  <si>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</si>
  <si>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</si>
  <si>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</si>
  <si>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</si>
  <si>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</si>
  <si>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</si>
  <si>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</si>
  <si>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</si>
  <si>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</si>
  <si>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</si>
  <si>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</si>
  <si>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</si>
  <si>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</si>
  <si>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</si>
  <si>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</si>
  <si>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</si>
  <si>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</si>
  <si>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</si>
  <si>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</si>
  <si>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</si>
  <si>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Audit W1</t>
  </si>
  <si>
    <t>Audit W2</t>
  </si>
  <si>
    <t>Audit W3</t>
  </si>
  <si>
    <t>Audit W4</t>
  </si>
  <si>
    <t>Audit W5</t>
  </si>
  <si>
    <t>Preparation</t>
  </si>
  <si>
    <t>P01</t>
  </si>
  <si>
    <t>Microwave</t>
  </si>
  <si>
    <t>P01 Microwave</t>
  </si>
  <si>
    <t>Amtek</t>
  </si>
  <si>
    <t>Heat exchanger &amp; Recervoir</t>
  </si>
  <si>
    <t>Check the water level in the heat exchanger reservoir &amp; check the strainer filter for the same reservoir</t>
  </si>
  <si>
    <t>planed</t>
  </si>
  <si>
    <t>Monthly</t>
  </si>
  <si>
    <t>Calendar</t>
  </si>
  <si>
    <t/>
  </si>
  <si>
    <t>161883bb-4935-4a8c-8df5-dfeb914eb5ff</t>
  </si>
  <si>
    <t>done</t>
  </si>
  <si>
    <t>Water System</t>
  </si>
  <si>
    <t>Check for any water leaks</t>
  </si>
  <si>
    <t>2bab601b-356e-4faa-8ee2-9b49daf2d14b</t>
  </si>
  <si>
    <t>Transmitter</t>
  </si>
  <si>
    <t>Inspect the capacitors on solenoid protect board in the transmitter</t>
  </si>
  <si>
    <t>14b996d3-bc5a-4282-ae07-2052a9cbb032</t>
  </si>
  <si>
    <t>Check the transmitter doors and waveguide connections for R.F Leakage</t>
  </si>
  <si>
    <t>afcef142-f510-4d68-82ca-4ac6f8eca610</t>
  </si>
  <si>
    <t>Door</t>
  </si>
  <si>
    <t>Inspect the shunt trip breakers (door safety)</t>
  </si>
  <si>
    <t>b4fe6478-e227-4987-920a-261756b415e6</t>
  </si>
  <si>
    <t>Tighten and secure the main breakers wire connections and the high voltage transformer connections</t>
  </si>
  <si>
    <t>78b6b612-0310-45c2-b2cf-8676d86fd133</t>
  </si>
  <si>
    <t>High Voltage Wire</t>
  </si>
  <si>
    <t>Check the high voltage wire jumper condition</t>
  </si>
  <si>
    <t>41b9a19a-7354-4a00-9be9-91b952d6e186</t>
  </si>
  <si>
    <t>Filament</t>
  </si>
  <si>
    <t>Check standby filament calibration</t>
  </si>
  <si>
    <t>dcc308b8-c3cf-48cc-ac45-938f58e727c7</t>
  </si>
  <si>
    <t>Fans</t>
  </si>
  <si>
    <t>Check the fans operaion</t>
  </si>
  <si>
    <t>b492bc46-58c3-40a8-a33f-92ca184e55bb</t>
  </si>
  <si>
    <t>Contactor</t>
  </si>
  <si>
    <t>Remove face K1 contactor and inspect the contacts</t>
  </si>
  <si>
    <t>d72f8f88-0d10-4ab4-99b3-47c906c55cfd</t>
  </si>
  <si>
    <t>Oven Chamber</t>
  </si>
  <si>
    <t>Check the oven chamber for cleanliness</t>
  </si>
  <si>
    <t>83b99a2b-93bb-4ad6-a652-62aa89f26776</t>
  </si>
  <si>
    <t>Doors</t>
  </si>
  <si>
    <t>Check the doors for any damage</t>
  </si>
  <si>
    <t>5d2ab813-bb3d-4ee2-b864-054769e107aa</t>
  </si>
  <si>
    <t>Antenna</t>
  </si>
  <si>
    <t>Check the antenna flanges and covers for damage or burn marks</t>
  </si>
  <si>
    <t>c1b21507-9b70-4c08-a286-f54250242de5</t>
  </si>
  <si>
    <t>Leakage System</t>
  </si>
  <si>
    <t>Perform leakage check on system</t>
  </si>
  <si>
    <t>4503f823-c064-46fb-a768-1901549b1433</t>
  </si>
  <si>
    <t>Gear Boxes</t>
  </si>
  <si>
    <t>Check the motors gearboxes for oil leakage</t>
  </si>
  <si>
    <t>25b07a28-b612-4b31-83fe-6fa764cc514a</t>
  </si>
  <si>
    <t>Conveyor Bearing</t>
  </si>
  <si>
    <t>Grease the conveyor shaft bearings</t>
  </si>
  <si>
    <t>ab353118-c029-4ac4-b4fa-df3dec5041cc</t>
  </si>
  <si>
    <t>P02</t>
  </si>
  <si>
    <t>Elevator</t>
  </si>
  <si>
    <t>P02 Elevator</t>
  </si>
  <si>
    <t>Bonner</t>
  </si>
  <si>
    <t>Electric Part</t>
  </si>
  <si>
    <t>Check all electric Parts functionality</t>
  </si>
  <si>
    <t>Weekly</t>
  </si>
  <si>
    <t>8dec5a64-3c70-41c7-ad3a-b8355eaebfd4</t>
  </si>
  <si>
    <t>Bearing</t>
  </si>
  <si>
    <t>Grease all Bearing</t>
  </si>
  <si>
    <t>0b047c29-39dd-4d3f-85b0-50f0de0e9603</t>
  </si>
  <si>
    <t>Chain</t>
  </si>
  <si>
    <t>Lubrication of Chain, Sliding tube</t>
  </si>
  <si>
    <t>bafdc641-b0b7-47ce-bae5-a49613f7edba</t>
  </si>
  <si>
    <t>Check Self locking,</t>
  </si>
  <si>
    <t>59928304-db08-4ed2-a37e-cd0857eef8a2</t>
  </si>
  <si>
    <t>Visual Powe Cable &amp; Electric capinet &amp; Seal</t>
  </si>
  <si>
    <t>5ac8f394-08fd-4417-95b7-b683b0fd9622</t>
  </si>
  <si>
    <t>check oil level in the gearbox.</t>
  </si>
  <si>
    <t>93805ebd-367c-4c9c-9d43-9560f223b3c5</t>
  </si>
  <si>
    <t>Check all screws connectiom</t>
  </si>
  <si>
    <t>c98e1301-cf9f-4a73-9c93-86da12471a28</t>
  </si>
  <si>
    <t>Chain Stretched</t>
  </si>
  <si>
    <t>Semi Annual</t>
  </si>
  <si>
    <t>f349beb7-b2d3-47ad-b369-9ddff331162f</t>
  </si>
  <si>
    <t>change the gearbox oil</t>
  </si>
  <si>
    <t>Annual</t>
  </si>
  <si>
    <t>a4905155-1bb7-42c1-ac6a-b25c58a33f15</t>
  </si>
  <si>
    <t>Check Gearbox brek, Bushing ,fork &amp; Sprocket</t>
  </si>
  <si>
    <t>5ce6d390-0c8f-4c80-8b80-c5b3f41553fc</t>
  </si>
  <si>
    <t>P03</t>
  </si>
  <si>
    <t>Belt Loader</t>
  </si>
  <si>
    <t>P03 Belt Loader</t>
  </si>
  <si>
    <t>Helligns</t>
  </si>
  <si>
    <t>Grease the bearing, linear guidance &amp; Roller chain</t>
  </si>
  <si>
    <t>fb03d14d-6614-4c4e-9ee4-5ecb4c8907ac</t>
  </si>
  <si>
    <t>Gear Box</t>
  </si>
  <si>
    <t>check the gearbox oil level</t>
  </si>
  <si>
    <t>95670e00-1092-4a28-a19a-420e20d2bd36</t>
  </si>
  <si>
    <t>Check Damage or crosiom , fracture , cracking, wear &amp;tear</t>
  </si>
  <si>
    <t>52eb84e9-03d3-4556-95b1-d485768bbb6c</t>
  </si>
  <si>
    <t>Check Fastnes are secure &amp; Bearing Condition</t>
  </si>
  <si>
    <t>Quarterly</t>
  </si>
  <si>
    <t>22ab2438-6825-494f-bc77-9dec3156b727</t>
  </si>
  <si>
    <t>Check cracking of the control cabinet</t>
  </si>
  <si>
    <t>2e876200-179f-4f74-8aae-833e818c0833</t>
  </si>
  <si>
    <t>Check cables and no musture around electric parts</t>
  </si>
  <si>
    <t>43871d9e-5598-4410-83e4-73b715c4d410</t>
  </si>
  <si>
    <t>Inspect Belt Material,sprocket,returnblock,strips,connection wear &amp; tear</t>
  </si>
  <si>
    <t>530ccbcd-e933-4fd4-b304-743359cd0b5f</t>
  </si>
  <si>
    <t>P04</t>
  </si>
  <si>
    <t>X-Ray</t>
  </si>
  <si>
    <t>P04 X-Ray</t>
  </si>
  <si>
    <t>Marel</t>
  </si>
  <si>
    <t>Check Electric Parts &amp; alarm</t>
  </si>
  <si>
    <t>01a0a873-2da9-4a6c-9eac-2d0ffe033ec6</t>
  </si>
  <si>
    <t>Cheeck Belt Condition</t>
  </si>
  <si>
    <t>9f2ff151-bcb7-419a-8fa0-ab6668cf4c6d</t>
  </si>
  <si>
    <t>P05</t>
  </si>
  <si>
    <t>DSI 01</t>
  </si>
  <si>
    <t>P05 DSI 01</t>
  </si>
  <si>
    <t>Rollers</t>
  </si>
  <si>
    <t>For infeed belt Inspect the carrier rollers, make sure they roll freely</t>
  </si>
  <si>
    <t>5202545e-05a9-494b-b9f3-93456c9f9a97</t>
  </si>
  <si>
    <t>Laser Mounting</t>
  </si>
  <si>
    <t>Adjust loading laser mounting blocks</t>
  </si>
  <si>
    <t>a9e5feef-fe02-4860-a732-c37baa411e14</t>
  </si>
  <si>
    <t>Laser Strips</t>
  </si>
  <si>
    <t>Inspect he laser strips, make sure they are straight and aligned</t>
  </si>
  <si>
    <t>7912920c-7d99-402b-a1ed-98712fcf3876</t>
  </si>
  <si>
    <t>Transfer Gaps</t>
  </si>
  <si>
    <t>For infeed belt,Make sure that transfer gap is 1/8"</t>
  </si>
  <si>
    <t>80d66561-66ac-4baa-b1c6-ffb62a759fca</t>
  </si>
  <si>
    <t>Outfeed Belt</t>
  </si>
  <si>
    <t>For outfeed belt, inspect spray nozzles, make sure they areon and  aligned</t>
  </si>
  <si>
    <t>54f64359-81c7-4d03-aa52-a0ec5e08b7e1</t>
  </si>
  <si>
    <t>Inspect the condition of outfeed belt, check for any wear</t>
  </si>
  <si>
    <t>d3d59209-1de3-4bcf-a1b4-0f2ccc6d848a</t>
  </si>
  <si>
    <t>Inspect the the outfeed bearings for any overheat or damage</t>
  </si>
  <si>
    <t>aa60d4e4-b843-43b0-ba39-fdd4fada5b73</t>
  </si>
  <si>
    <t>Sprocket</t>
  </si>
  <si>
    <t>Inspect the condition of sprockets</t>
  </si>
  <si>
    <t>4ac8307f-fc88-45de-966a-536b53cfe726</t>
  </si>
  <si>
    <t>Scan &amp; Cut Assembly</t>
  </si>
  <si>
    <t>Inspect the camera window,clean if necessary , Loose Mounting, Bearing , carige tracks (x-Axis)&amp; Y axis,Belts, Guid strips , evacuation Fan, Pullys,orifice Strem, Electrictower</t>
  </si>
  <si>
    <t>427a24a3-d6af-4dfb-9cf1-79d94b318951</t>
  </si>
  <si>
    <t>Laser Alignment</t>
  </si>
  <si>
    <t>Inspect the scan laser alignment, should be sharp and perpendicular to infeed belt</t>
  </si>
  <si>
    <t>71c4619f-42e9-4021-8890-7467df9ee936</t>
  </si>
  <si>
    <t>Air Dryer</t>
  </si>
  <si>
    <t>Check Air dryer working and mustire of servo</t>
  </si>
  <si>
    <t>d889c990-d357-4c98-93e9-d980d8219f24</t>
  </si>
  <si>
    <t>Misclinious</t>
  </si>
  <si>
    <t>Check and replace if needed Scan Envclosure, Dervo Mpotor enclosure , Electric Elclosure</t>
  </si>
  <si>
    <t>2dcf2957-e33d-4a6f-bc6f-82cf42e537b0</t>
  </si>
  <si>
    <t>e0c8e3f6-7ea7-409a-861d-f32ca6ac2346</t>
  </si>
  <si>
    <t>806cc3a0-c3ff-44c9-8371-b7811de3b94c</t>
  </si>
  <si>
    <t>2a01e68d-159d-496e-9115-1a0a0cde55b2</t>
  </si>
  <si>
    <t>a7ee0e55-74af-4a4d-8dca-4efe05dbe1e6</t>
  </si>
  <si>
    <t>0c1b8052-6787-4d2e-8beb-b2ecd73c433d</t>
  </si>
  <si>
    <t>a86ec439-aac8-4c5c-a4aa-040f0e503f37</t>
  </si>
  <si>
    <t>9e66e95e-f095-45d7-b44e-9b04809ddde1</t>
  </si>
  <si>
    <t>b3d52a48-7c36-4b9e-99d6-8de831a7ed9e</t>
  </si>
  <si>
    <t>6f884d13-962f-4d44-aa6c-7f4828851837</t>
  </si>
  <si>
    <t>9765865b-6d15-4a4f-9bc4-93f161865bac</t>
  </si>
  <si>
    <t>0a9bf812-2bbe-46e9-83e2-fdb330a63ecd</t>
  </si>
  <si>
    <t>2a81d295-f173-4491-b66f-d34a82483f6f</t>
  </si>
  <si>
    <t>P06</t>
  </si>
  <si>
    <t>Grinder</t>
  </si>
  <si>
    <t>P06 Grinder</t>
  </si>
  <si>
    <t>Worm</t>
  </si>
  <si>
    <t>Inspect feeder worm and meat worm drive motors</t>
  </si>
  <si>
    <t>1656a8e3-abe6-4afa-ac7c-6c157b06dfd8</t>
  </si>
  <si>
    <t>Inspect the oil level, temperature of Gearboxes</t>
  </si>
  <si>
    <t>759ea8f0-03f4-4bd8-ad12-b4f721ca1855</t>
  </si>
  <si>
    <t>Conveyors</t>
  </si>
  <si>
    <t>Inspect the drive belts condition and tension, adjust tension if necessary</t>
  </si>
  <si>
    <t>2ce94540-a551-43ff-b202-6136c191bc5f</t>
  </si>
  <si>
    <t>Housing</t>
  </si>
  <si>
    <t>Clean the machine housing and wash the worms seals through the existing water inlets</t>
  </si>
  <si>
    <t>40afe077-674a-43a0-89ce-1b310e2a37d3</t>
  </si>
  <si>
    <t>Electric Panel</t>
  </si>
  <si>
    <t>Clean and isnpect the electrical control panel</t>
  </si>
  <si>
    <t>6be583c0-8c06-464b-9510-4cdd889c5514</t>
  </si>
  <si>
    <t>Safety Sensor</t>
  </si>
  <si>
    <t>Activate and test all safety sensors for poper operation</t>
  </si>
  <si>
    <t>b5e3a3e6-0fd0-4681-9112-ec7c718b28e6</t>
  </si>
  <si>
    <t>Worm Bushing</t>
  </si>
  <si>
    <t>Inspect meat worm bushing, replace if it is loose and worn out</t>
  </si>
  <si>
    <t>d2b92f57-19f8-4f7b-a0a3-e1ab69aecc21</t>
  </si>
  <si>
    <t>Plates</t>
  </si>
  <si>
    <t>Inspect precutter &amp; hole plates (original thickness 22 mm),  and blade for any wear or crack, maximum thickness reduction should not be more than 5 mm, make surfacing if necessary</t>
  </si>
  <si>
    <t>191f06e9-860f-4afb-8734-6544bcc12176</t>
  </si>
  <si>
    <t>Electric Cabel</t>
  </si>
  <si>
    <t>Inspect power supply cable and other cables condition</t>
  </si>
  <si>
    <t>03fd5a36-cb6a-4bf5-8f89-aae5980c614c</t>
  </si>
  <si>
    <t>Inspect all doors rubber seal</t>
  </si>
  <si>
    <t>30a03d47-507d-4ad6-83d8-8cef870ddda3</t>
  </si>
  <si>
    <t>Drives</t>
  </si>
  <si>
    <t>Inspect electrical drives overloads settings</t>
  </si>
  <si>
    <t>cc4fe23c-e64f-4960-91b4-de551cb3b347</t>
  </si>
  <si>
    <t>Inspect gearboxes oil level and color, replace if necessary, VG 220</t>
  </si>
  <si>
    <t>4d5dbc3b-44b1-4635-b4bc-1a9dfaf8b3da</t>
  </si>
  <si>
    <t>Belt</t>
  </si>
  <si>
    <t>Inspect drive belts condition, replace if necessary</t>
  </si>
  <si>
    <t>ae18b1fc-b779-4cd8-aeed-4fc2bb514cdb</t>
  </si>
  <si>
    <t>Electric Connection</t>
  </si>
  <si>
    <t>Secure and tight all electrical connections and terminals inside control panel</t>
  </si>
  <si>
    <t>5df76c26-b8b7-496d-968e-a473149711c3</t>
  </si>
  <si>
    <t>Machine Body</t>
  </si>
  <si>
    <t>Inspect machine body for any damages or cracks</t>
  </si>
  <si>
    <t>7a4f0cb5-c432-4e92-912e-6566c9993192</t>
  </si>
  <si>
    <t>Mechanical Joints</t>
  </si>
  <si>
    <t>Secure and tight all mechanical joints, screws</t>
  </si>
  <si>
    <t>27e6fc3e-214a-461c-a51d-cf6ad3efe473</t>
  </si>
  <si>
    <t>P07</t>
  </si>
  <si>
    <t>Screw Loader</t>
  </si>
  <si>
    <t>P07 Screw Loader</t>
  </si>
  <si>
    <t>Grease the bearing</t>
  </si>
  <si>
    <t>e1de6a90-6d79-4224-8423-1227949cce88</t>
  </si>
  <si>
    <t>Hopper</t>
  </si>
  <si>
    <t>Check Hopper</t>
  </si>
  <si>
    <t>e5dc0677-e131-4cdf-bc8f-88e325b5e782</t>
  </si>
  <si>
    <t>Worm &amp; Shaft</t>
  </si>
  <si>
    <t>check Worm and mixing shaft</t>
  </si>
  <si>
    <t>c69b412e-cc04-476d-854d-eb0ad3914649</t>
  </si>
  <si>
    <t>131845f8-410f-41ea-a902-1da34835fe49</t>
  </si>
  <si>
    <t>325ae27a-712b-434a-bfd1-fb7156734120</t>
  </si>
  <si>
    <t>Bolts</t>
  </si>
  <si>
    <t>check all bolts</t>
  </si>
  <si>
    <t>b9c27e4a-825b-4c6e-9e40-fc9a84e1b867</t>
  </si>
  <si>
    <t>Check the bearing</t>
  </si>
  <si>
    <t>184eaf4f-6025-4c8d-864b-fced4c34e8c8</t>
  </si>
  <si>
    <t>61e23252-4d94-40c9-8c4a-5b4e72ef0af1</t>
  </si>
  <si>
    <t>68ff62c0-89e2-468d-94df-22d395433972</t>
  </si>
  <si>
    <t>1bad4d27-302b-4cbd-856f-5f4508b89e44</t>
  </si>
  <si>
    <t>5d5003a0-80d5-412a-ac42-c26799403aca</t>
  </si>
  <si>
    <t>ca96fc0a-e3e0-4188-a941-544b31cbdb34</t>
  </si>
  <si>
    <t>0567a05b-bdbf-41e4-b151-633e90dd1a65</t>
  </si>
  <si>
    <t>P08</t>
  </si>
  <si>
    <t>Minced Mixer</t>
  </si>
  <si>
    <t>P08 Minced Mixer</t>
  </si>
  <si>
    <t>Inspect the worm and worm head bushing, replace if necessary</t>
  </si>
  <si>
    <t>6ecba0dc-469e-44da-aea8-0131b7a5add9</t>
  </si>
  <si>
    <t>Inspect the worm and worm housing for any damages</t>
  </si>
  <si>
    <t>07dd28d0-29bf-4d70-8c37-25c94467efd2</t>
  </si>
  <si>
    <t>Lubrication System</t>
  </si>
  <si>
    <t>Inpect the operation of automatic lubrication system</t>
  </si>
  <si>
    <t>0965846c-a7ab-40c1-a11c-acff7313c4f1</t>
  </si>
  <si>
    <t>Hydraulic System</t>
  </si>
  <si>
    <t>Inspect hydraulic system and pump for any leak</t>
  </si>
  <si>
    <t>bd1c7cd8-ced0-45ba-abe7-a97c6a9d52be</t>
  </si>
  <si>
    <t>Oil Level</t>
  </si>
  <si>
    <t>Inspect the oil level of mixers drives gearboxes</t>
  </si>
  <si>
    <t>f63fedf7-1436-4aac-a2d1-3168ce67f1b7</t>
  </si>
  <si>
    <t>Inspect the worm drive belts, adjust tension if necessary</t>
  </si>
  <si>
    <t>bb4debaa-5c90-4f52-b55c-147e8565a076</t>
  </si>
  <si>
    <t>Clean the machine housing and wash the seals through the existing water inlets</t>
  </si>
  <si>
    <t>11d43b2d-4adf-405f-8b84-a31497b28ad4</t>
  </si>
  <si>
    <t>494c9f1f-3d56-4b92-b622-a468f30f7d41</t>
  </si>
  <si>
    <t>Safety Sensors</t>
  </si>
  <si>
    <t>Test all safety sensors for poper operation</t>
  </si>
  <si>
    <t>5d46deb8-cf8b-42a4-ba3e-e2cbe97556c1</t>
  </si>
  <si>
    <t>Precutters &amp; Plates</t>
  </si>
  <si>
    <t>Inspect precutter (Thickness 19mm) &amp; hole plates (Thickness 19 mm) for any wear or crack, maximum thickness reduction should not be more than 5 mm, make surfacing if necessary</t>
  </si>
  <si>
    <t>5d1fd6e9-45fa-40f4-874f-e727561bad8f</t>
  </si>
  <si>
    <t>Mixer Shaft</t>
  </si>
  <si>
    <t>Inspect the mixer  shafts and seals</t>
  </si>
  <si>
    <t>2d8afe57-3e1d-4794-a1ce-301f3327a2dd</t>
  </si>
  <si>
    <t>Main Cable</t>
  </si>
  <si>
    <t>b1d11e4a-4a9c-4f2c-badc-a2409e6ddcac</t>
  </si>
  <si>
    <t>Clean and inspect the control panel, tighten and secure electrical connections</t>
  </si>
  <si>
    <t>e59a810a-12bb-43b9-a0df-b101eac3fe2f</t>
  </si>
  <si>
    <t>Lifter Parts</t>
  </si>
  <si>
    <t>inspect and lubricate the lifter parts, adjust the chain tension, inspect the drive motor and gearbox, clean the control panel</t>
  </si>
  <si>
    <t>eaaa3c66-d50b-45f0-98e1-894e5f39c423</t>
  </si>
  <si>
    <t>3c0d3b27-0d87-45a5-9164-428e5fb8736c</t>
  </si>
  <si>
    <t>P13</t>
  </si>
  <si>
    <t>P13 DSI 01</t>
  </si>
  <si>
    <t>88bd956a-effd-4d87-b00b-7bd217a5b8de</t>
  </si>
  <si>
    <t>e8f45a6f-8c81-4e20-ad33-afbc01c04ccc</t>
  </si>
  <si>
    <t>d9fc8b55-487e-4c3e-b399-66f3232d3260</t>
  </si>
  <si>
    <t>5b49c486-610b-459e-8aa4-b0a3a8da9ee3</t>
  </si>
  <si>
    <t>967e6d6a-6148-43c8-8dbc-fe0d08c2db10</t>
  </si>
  <si>
    <t>7a7c724b-9b11-4ec9-a4d0-2e0770acda5f</t>
  </si>
  <si>
    <t>3e12e7f1-d831-4b86-a304-2645c13a258c</t>
  </si>
  <si>
    <t>5aa8d050-aa95-4119-bcda-4f03b0f08978</t>
  </si>
  <si>
    <t>Camera Window</t>
  </si>
  <si>
    <t>Inspect the camera window,clean if necessary</t>
  </si>
  <si>
    <t>515643e8-445d-42a5-9001-c3da7e310237</t>
  </si>
  <si>
    <t>9dc20a44-0f75-46b9-ae4e-3bae05da159e</t>
  </si>
  <si>
    <t>P18</t>
  </si>
  <si>
    <t>DSI 02</t>
  </si>
  <si>
    <t>P18 DSI 02</t>
  </si>
  <si>
    <t>fbe617a5-81e8-4347-818c-bf7d7e12e7e5</t>
  </si>
  <si>
    <t>15600686-ebd4-4e60-9b5f-10f88008ecda</t>
  </si>
  <si>
    <t>a070b9d5-6912-4290-b831-2e1a96c88042</t>
  </si>
  <si>
    <t>17f89382-b4d2-4f59-bd70-cef3fcb6de70</t>
  </si>
  <si>
    <t>23e2514d-3ac4-44b1-bdf5-e09d84604d64</t>
  </si>
  <si>
    <t>eaaa53af-e722-4e96-8f52-b17284e551cd</t>
  </si>
  <si>
    <t>a8da945b-13b8-443d-b305-d870e653d5ca</t>
  </si>
  <si>
    <t>a154a732-fcc9-4d84-aa1d-6281420ad0da</t>
  </si>
  <si>
    <t>3fbc6e58-887f-4225-92f0-1d74afb95801</t>
  </si>
  <si>
    <t>45a7b96c-bb30-4766-ac7e-8b0e0631e69b</t>
  </si>
  <si>
    <t>P19</t>
  </si>
  <si>
    <t>Tumbler 01</t>
  </si>
  <si>
    <t>P19 Tumbler 01</t>
  </si>
  <si>
    <t>Hydraulic Oil</t>
  </si>
  <si>
    <t>Inspect the hydraulic oil level</t>
  </si>
  <si>
    <t>893b2b73-9216-49a1-b8db-c88082aff1f7</t>
  </si>
  <si>
    <t>Vacum</t>
  </si>
  <si>
    <t>Inspect the oil level for vacuum pump</t>
  </si>
  <si>
    <t>63e4a525-c1d8-4e80-92ef-d24c1b91edd1</t>
  </si>
  <si>
    <t>Clean the vacuum pump suction filter</t>
  </si>
  <si>
    <t>ce806853-d279-47a4-8dd5-8da2c5b66471</t>
  </si>
  <si>
    <t>Control Panel</t>
  </si>
  <si>
    <t>Inspect and clean the control panel</t>
  </si>
  <si>
    <t>b4f8aaba-77b7-4fdb-8950-9012a1f9b5b0</t>
  </si>
  <si>
    <t>Lids Seal</t>
  </si>
  <si>
    <t>Inspect the two lids seals</t>
  </si>
  <si>
    <t>603f2665-59ce-42bb-a9f5-1e6e9f3a91f2</t>
  </si>
  <si>
    <t>Boiler Banel</t>
  </si>
  <si>
    <t>inpect and clean the steam generator control panel</t>
  </si>
  <si>
    <t>f91c5fb0-ac31-4267-af38-fad91dbd6d96</t>
  </si>
  <si>
    <t>Vaccum Chamber</t>
  </si>
  <si>
    <t>Inspect the glass vacuum chamber (decanter) and seal for any crack or damage</t>
  </si>
  <si>
    <t>cbb1784e-0eec-4e54-9e13-089707e22c8b</t>
  </si>
  <si>
    <t>Vacum Hoses</t>
  </si>
  <si>
    <t>Inspect the vacuum hoses and joints for any leak</t>
  </si>
  <si>
    <t>2416a762-cdcd-4fb6-ae30-9ff40e4a7047</t>
  </si>
  <si>
    <t>Drum</t>
  </si>
  <si>
    <t>Inspect the drum main two drive motros and gearboxes</t>
  </si>
  <si>
    <t>62b4ea81-a673-46a8-ae34-804586029ba1</t>
  </si>
  <si>
    <t>Inspect the drum rotating wheels condition &amp; backside bearing</t>
  </si>
  <si>
    <t>8b4d8b32-6a1b-4fe8-8717-95f8623270ba</t>
  </si>
  <si>
    <t>Inspect the lifter drive motor, gearbox and mechanical joints for any damage or loose</t>
  </si>
  <si>
    <t>827b52da-73bc-435e-8837-4c6bc1f9454e</t>
  </si>
  <si>
    <t>Lifter Panel</t>
  </si>
  <si>
    <t>Inspect and clean the lifter control panel</t>
  </si>
  <si>
    <t>130b639d-9b49-4a64-8832-b61c3d0cc00d</t>
  </si>
  <si>
    <t>Vacum Pump</t>
  </si>
  <si>
    <t>Replace the vacuum pump oil</t>
  </si>
  <si>
    <t>c631d3b8-80fd-4aa5-8c6c-3671c93e7f27</t>
  </si>
  <si>
    <t>Seals</t>
  </si>
  <si>
    <t>Replace all damaged seals if any</t>
  </si>
  <si>
    <t>d2fe1b79-bd8b-4a0a-9b7e-1f2943216a02</t>
  </si>
  <si>
    <t>Drum Motor</t>
  </si>
  <si>
    <t>Replace drum motors gearboxes oil</t>
  </si>
  <si>
    <t>f74f2af6-73d6-4204-8124-4008f1ecf30b</t>
  </si>
  <si>
    <t>P20</t>
  </si>
  <si>
    <t>Tumbler 02</t>
  </si>
  <si>
    <t>P20 Tumbler 02</t>
  </si>
  <si>
    <t>95b8f77f-e336-42f0-bf55-77981575b901</t>
  </si>
  <si>
    <t>bae76cf9-3396-4550-816c-abe430bac0d3</t>
  </si>
  <si>
    <t>43813892-bc70-408c-bbc3-1dd92575b32b</t>
  </si>
  <si>
    <t>fa4a332d-232b-4348-938c-f99377611831</t>
  </si>
  <si>
    <t>da2dfbb5-03d0-42bc-9c9f-d92f1ef202ea</t>
  </si>
  <si>
    <t>8abe780b-ad57-409a-9670-8709d9ee1f94</t>
  </si>
  <si>
    <t>75a3c4dd-f0e1-44f4-8be0-82a4ca246646</t>
  </si>
  <si>
    <t>5932c987-d31b-42ad-8f86-17c8e4631444</t>
  </si>
  <si>
    <t>a6b590ef-36a6-439e-81d3-2222274e8440</t>
  </si>
  <si>
    <t>33cdf6ae-72de-43e2-9d6a-edeb65e93076</t>
  </si>
  <si>
    <t>e6d516d8-01de-4066-8a73-e00648c1e376</t>
  </si>
  <si>
    <t>0d494f54-16a2-431f-9709-6847809dfaf6</t>
  </si>
  <si>
    <t>1b7a1193-2482-4b16-875f-1316f8640da3</t>
  </si>
  <si>
    <t>1a473015-625c-4249-a98a-9f68f997a31b</t>
  </si>
  <si>
    <t>e54e8fe2-d1bf-4e59-9664-a492966f7300</t>
  </si>
  <si>
    <t>P21</t>
  </si>
  <si>
    <t>Tumbler 03</t>
  </si>
  <si>
    <t>P21 Tumbler 03</t>
  </si>
  <si>
    <t>3ec2302d-53f0-468b-a0a7-90eb25203eaf</t>
  </si>
  <si>
    <t>052cf185-a449-4474-8927-8630870cc233</t>
  </si>
  <si>
    <t>dca49917-c0dc-4a51-879d-c08af2ff1e04</t>
  </si>
  <si>
    <t>ab170344-8407-459d-b26c-7a0ad62d95e5</t>
  </si>
  <si>
    <t>bc4ad667-55a3-4f5d-baf4-b164bb6f7027</t>
  </si>
  <si>
    <t>e8a3495a-c2fb-412b-8160-31da75ee6f6b</t>
  </si>
  <si>
    <t>056307d3-e25c-41f3-9cac-c45192ebad13</t>
  </si>
  <si>
    <t>40f7ca73-7cdf-449c-aafe-fa988546936b</t>
  </si>
  <si>
    <t>e872bbfc-7e98-406c-87df-79852cd27424</t>
  </si>
  <si>
    <t>efe641ee-8769-4e97-8ebe-3d36caa0129c</t>
  </si>
  <si>
    <t>7276dd87-adbf-4c5b-b14f-65edd5732dcf</t>
  </si>
  <si>
    <t>6aaffe6b-a53e-475a-99fd-6eace83ee272</t>
  </si>
  <si>
    <t>f25a137a-62b9-44b2-82f7-542b3678515d</t>
  </si>
  <si>
    <t>290f7e17-4b33-4314-af30-21523ff13bd1</t>
  </si>
  <si>
    <t>e2b92f1f-8552-49cb-a856-c2ff6614fcaf</t>
  </si>
  <si>
    <t>P22</t>
  </si>
  <si>
    <t>Tumbler 04</t>
  </si>
  <si>
    <t>P22 Tumbler 04</t>
  </si>
  <si>
    <t>4a4893e9-46b0-4631-abeb-840f89c3273d</t>
  </si>
  <si>
    <t>e888187b-45d7-42fa-9fd8-c01e399990a0</t>
  </si>
  <si>
    <t>23263c20-be11-4d7c-952b-63888b6d590e</t>
  </si>
  <si>
    <t>3f425716-ea2e-4495-b087-7ec80d94c973</t>
  </si>
  <si>
    <t>3ec6e856-7a62-4b9e-ac79-7821d1e57411</t>
  </si>
  <si>
    <t>dfcf7f34-782f-4a95-b919-7fcd8e340ef0</t>
  </si>
  <si>
    <t>999da49a-3597-4f23-84d6-4584f4e82843</t>
  </si>
  <si>
    <t>1bc28aa0-595b-4749-9de0-40e36fbb9b48</t>
  </si>
  <si>
    <t>63870450-295a-4261-902d-c431a8d9ea3a</t>
  </si>
  <si>
    <t>22ff3793-1603-4947-a569-c08a7f15457d</t>
  </si>
  <si>
    <t>ced674a8-1d0d-4352-9c23-5681e607a2e1</t>
  </si>
  <si>
    <t>8ec2d711-d3c0-4d55-9210-60dec53a5745</t>
  </si>
  <si>
    <t>1c6d331a-b1d0-4d4a-9744-a39740f5f4f3</t>
  </si>
  <si>
    <t>94372f02-241e-4405-af3e-14fba7a9461d</t>
  </si>
  <si>
    <t>0cd05114-1fe9-4ad2-8b7e-f7742f05ab2b</t>
  </si>
  <si>
    <t>P23</t>
  </si>
  <si>
    <t>Tumbler 05</t>
  </si>
  <si>
    <t>P23 Tumbler 05</t>
  </si>
  <si>
    <t>0ff6d220-a6ac-4d55-93b2-a79f43deb7dd</t>
  </si>
  <si>
    <t>63396b46-6050-48ab-be6b-04296edbeafe</t>
  </si>
  <si>
    <t>24806d4c-7748-4518-a672-5bdc8e33299c</t>
  </si>
  <si>
    <t>b7ecb018-1e05-43e9-8f02-46b732c896ff</t>
  </si>
  <si>
    <t>278bc9e9-50d8-4c7f-9114-bde83e3dd6f4</t>
  </si>
  <si>
    <t>7041733e-1f46-4cab-b4be-51f4e9f2ee6b</t>
  </si>
  <si>
    <t>15392067-4fda-47bb-9a4d-7fd75b9ebdea</t>
  </si>
  <si>
    <t>08a39fc4-ede3-45ac-bb26-a3cd260e5c61</t>
  </si>
  <si>
    <t>6fbe419e-8b8d-483e-a0ff-7ba5156e02b2</t>
  </si>
  <si>
    <t>2ca3050e-1581-48e4-ab8e-593f7b372e31</t>
  </si>
  <si>
    <t>e5c6ea13-73f1-4767-a9e8-b45d28308953</t>
  </si>
  <si>
    <t>b8c51f75-53a5-44c9-8ce8-7a11f2e9b22f</t>
  </si>
  <si>
    <t>2dacd907-a7dc-46db-9fc7-48bc24b0f1e6</t>
  </si>
  <si>
    <t>a45e0f20-8ef3-466f-a3fd-c0d95e4663b8</t>
  </si>
  <si>
    <t>e9cdc5ae-fbe1-45ef-8f67-2216f68dd469</t>
  </si>
  <si>
    <t>P24</t>
  </si>
  <si>
    <t>Tumbler 06</t>
  </si>
  <si>
    <t>P24 Tumbler 06</t>
  </si>
  <si>
    <t>f63169cb-a8de-4977-9b62-1140b9cc5578</t>
  </si>
  <si>
    <t>ac5fd5ee-1672-483b-97fa-18294163a1a8</t>
  </si>
  <si>
    <t>db88c1c9-d37b-4bcc-964d-ffd1546647d9</t>
  </si>
  <si>
    <t>43607bf4-baa6-48f8-b4f9-ed123e8233bf</t>
  </si>
  <si>
    <t>74ce452e-0ba7-4e4d-9cf2-f7237482a6f8</t>
  </si>
  <si>
    <t>28ef5beb-aee3-4759-b069-0bc06908e082</t>
  </si>
  <si>
    <t>baf31b71-6ecc-42d4-a419-4c90d054f6e8</t>
  </si>
  <si>
    <t>a73cbc97-9b34-43d2-9d73-3b38242cefdc</t>
  </si>
  <si>
    <t>74880fca-9e01-4dd5-96c9-bb8e22e7f9b9</t>
  </si>
  <si>
    <t>b71707a6-ca8c-4d37-8764-86fe934af062</t>
  </si>
  <si>
    <t>92f39799-aa47-41c1-973c-21b74fb0b4ed</t>
  </si>
  <si>
    <t>00c19e99-85de-44b4-a50a-98aea35a470d</t>
  </si>
  <si>
    <t>f569e226-49e6-486c-8113-dfa4df50842a</t>
  </si>
  <si>
    <t>25788a3b-685d-4750-8b2c-b3134d2f1632</t>
  </si>
  <si>
    <t>bf1396cc-d939-48c9-bdcc-6b06b8f2dafc</t>
  </si>
  <si>
    <t>P25</t>
  </si>
  <si>
    <t>Injector</t>
  </si>
  <si>
    <t>P25 Injector</t>
  </si>
  <si>
    <t>GEA</t>
  </si>
  <si>
    <t>Air Pressure</t>
  </si>
  <si>
    <t>Inspect the air regulator for needle pneumatic supply, stet to 4 to 6 bar maximum, remove condesate water, check the pneumatic oil level</t>
  </si>
  <si>
    <t>d401860a-c6ea-450d-a5ca-a55ef8d9246c</t>
  </si>
  <si>
    <t>Disconnect the air, open the needle registe, inspect needle register plate, O-Ring, needles condition</t>
  </si>
  <si>
    <t>81c6c243-ada2-42b7-874d-70753e9dee7b</t>
  </si>
  <si>
    <t>Holding Plate</t>
  </si>
  <si>
    <t>Inspect the product holding plate, tight and secure the bolts</t>
  </si>
  <si>
    <t>f7f262d7-5959-47eb-9472-623213d6a344</t>
  </si>
  <si>
    <t>Transport Plate</t>
  </si>
  <si>
    <t>Open the Beam walk plate (transport plate), inspect the teflon rollers and bearings</t>
  </si>
  <si>
    <t>db3844f1-e06e-4228-bb1c-6e9cd98ae8db</t>
  </si>
  <si>
    <t>Lifting Rods</t>
  </si>
  <si>
    <t>Inspect the lifting rods, lifting rods scraper bushings, make sure it is greased</t>
  </si>
  <si>
    <t>ce9f89c3-0bf3-4770-bb9f-008b8d40dec4</t>
  </si>
  <si>
    <t>Ball Valve</t>
  </si>
  <si>
    <t>Inspect the brine vlave (ball valve) and its spring</t>
  </si>
  <si>
    <t>e120da23-7794-4c6e-a1e7-29ccfe3ad698</t>
  </si>
  <si>
    <t>Main Motor</t>
  </si>
  <si>
    <t>Inspect the main drive motor and gearbox for any oi leak</t>
  </si>
  <si>
    <t>82ad04d1-87ef-49f4-9e60-3ccc7b6d2afe</t>
  </si>
  <si>
    <t>Mechanical Drive</t>
  </si>
  <si>
    <t>Inspect the main drive cams, arms, rod end bearings and springs, make sure the bearings, cams are lubricated</t>
  </si>
  <si>
    <t>cf35409d-0393-4f91-ba98-e932b2904301</t>
  </si>
  <si>
    <t>Activate and test the machine safety sensors and emergency push buttons</t>
  </si>
  <si>
    <t>940d5554-785e-422b-8559-578f3b57cb93</t>
  </si>
  <si>
    <t>Inspect and clean electrical control panel, inspect supply cable nad plug</t>
  </si>
  <si>
    <t>eee55faf-68f8-408c-b02d-320d06c606dd</t>
  </si>
  <si>
    <t>Inspect the condition of machine body, cover for any cracks or damages</t>
  </si>
  <si>
    <t>5d1f7ee6-8212-4a4b-83e5-c07cf52a5299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</si>
</sst>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0.##"/>
    <numFmt numFmtId="166" formatCode=";;;"/>
    <numFmt numFmtId="167" formatCode="[Green][=6]&quot;✓ Done&quot;;;;"/>
    <numFmt numFmtId="168" formatCode="dd/mm/yyyy"/>
  </numFmts>
  <fonts count="13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3"/>
    </font>
    <font>
      <b/>
      <color rgb="FF000000"/>
      <sz val="10"/>
    </font>
    <font>
      <b/>
      <color rgb="FF000000"/>
      <sz val="9"/>
    </font>
    <font>
      <b/>
      <color rgb="FF000000"/>
      <sz val="12"/>
    </font>
    <font>
      <b/>
      <sz val="10"/>
      <name val="Arial"/>
    </font>
    <font>
      <b/>
      <sz val="9"/>
      <name val="Arial"/>
    </font>
    <font>
      <b/>
      <color rgb="FFFFFFFF"/>
      <sz val="9"/>
    </font>
    <font>
      <b/>
      <color rgb="FF000000"/>
    </font>
    <font>
      <b/>
      <color rgb="FF008000"/>
    </font>
    <font>
      <b/>
      <color rgb="FFFFFFFF"/>
    </font>
  </fonts>
  <fills count="17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AF4E2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rgb="FF275417"/>
      </patternFill>
    </fill>
    <fill>
      <patternFill patternType="solid">
        <fgColor rgb="FF0070C0"/>
      </patternFill>
    </fill>
    <fill>
      <patternFill patternType="solid">
        <fgColor rgb="FF002060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10" fillId="12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66" fontId="10" fillId="13" borderId="1" xfId="0" applyNumberFormat="1" applyFont="1" applyFill="1" applyBorder="1" applyAlignment="1">
      <alignment horizontal="center" vertical="center" wrapText="1"/>
    </xf>
    <xf numFmtId="166" fontId="12" fillId="14" borderId="1" xfId="0" applyNumberFormat="1" applyFont="1" applyFill="1" applyBorder="1" applyAlignment="1">
      <alignment horizontal="center" vertical="center" wrapText="1"/>
    </xf>
    <xf numFmtId="166" fontId="12" fillId="15" borderId="1" xfId="0" applyNumberFormat="1" applyFont="1" applyFill="1" applyBorder="1" applyAlignment="1">
      <alignment horizontal="center" vertical="center" wrapText="1"/>
    </xf>
    <xf numFmtId="166" fontId="12" fillId="16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07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21" max="25" width="18" customWidth="1"/>
    <col min="26" max="26" width="9" hidden="1" customWidth="1"/>
    <col min="27" max="27" width="9" hidden="1" customWidth="1"/>
    <col min="28" max="28" width="9" hidden="1" customWidth="1"/>
    <col min="29" max="29" width="9" hidden="1" customWidth="1"/>
    <col min="30" max="30" width="9" hidden="1" customWidth="1"/>
    <col min="31" max="31" width="9" hidden="1" customWidth="1"/>
    <col min="32" max="32" width="9" hidden="1" customWidth="1"/>
    <col min="33" max="33" width="9" hidden="1" customWidth="1"/>
    <col min="34" max="34" width="9" hidden="1" customWidth="1"/>
    <col min="35" max="35" width="9" hidden="1" customWidth="1"/>
    <col min="36" max="36" width="9" hidden="1" customWidth="1"/>
    <col min="37" max="37" width="9" hidden="1" customWidth="1"/>
    <col min="38" max="49" width="10" hidden="1" customWidth="1"/>
    <col min="50" max="50" width="9" hidden="1" customWidth="1"/>
    <col min="51" max="51" width="9" hidden="1" customWidth="1"/>
  </cols>
  <sheetData>
    <row r="1" ht="87" customHeight="1" spans="1:3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28" customHeight="1" spans="1:25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</row>
    <row r="3" ht="24" customHeight="1" spans="1:49" x14ac:dyDescent="0.25">
      <c r="A3" s="6">
        <f>IFERROR(SUMPRODUCT((B7:B454&lt;&gt;"")/COUNTIFS(B7:B454,B7:B454&amp;"")),0)</f>
      </c>
      <c r="B3" s="6">
        <f>SUM(AM7:AM454)</f>
      </c>
      <c r="C3" s="6">
        <f>SUM(AL7:AL454)</f>
      </c>
      <c r="D3" s="6">
        <f>MAX(B3-C3,0)</f>
      </c>
      <c r="E3" s="7">
        <f>IFERROR(C3/B3,0)</f>
      </c>
      <c r="F3" s="6">
        <f>COUNTIFS(H7:H454,"planed",L7:L454,"Calendar")</f>
      </c>
      <c r="G3" s="6">
        <f>COUNTIFS(H7:H454,"planed",L7:L454,"Running Hours")</f>
      </c>
      <c r="H3" s="6">
        <f>COUNTIFS(H7:H454,"planed",L7:L454,"PLC Hours")</f>
      </c>
      <c r="J3" s="8">
        <f>SUM(AN7:AN454)</f>
      </c>
      <c r="K3" s="8">
        <f>SUM(AS7:AS454)</f>
      </c>
      <c r="L3" s="8">
        <f>IFERROR(K3/J3,0)</f>
      </c>
      <c r="M3" s="8">
        <f>SUM(AO7:AO454)</f>
      </c>
      <c r="N3" s="8">
        <f>SUM(AT7:AT454)</f>
      </c>
      <c r="O3" s="8">
        <f>IFERROR(N3/M3,0)</f>
      </c>
      <c r="P3" s="8">
        <f>SUM(AP7:AP454)</f>
      </c>
      <c r="Q3" s="8">
        <f>SUM(AU7:AU454)</f>
      </c>
      <c r="R3" s="8">
        <f>IFERROR(Q3/P3,0)</f>
      </c>
      <c r="S3" s="8">
        <f>SUM(AQ7:AQ454)</f>
      </c>
      <c r="T3" s="8">
        <f>SUM(AV7:AV454)</f>
      </c>
      <c r="U3" s="8">
        <f>IFERROR(T3/S3,0)</f>
      </c>
      <c r="V3" s="8">
        <f>SUM(AR7:AR454)</f>
      </c>
      <c r="W3" s="8">
        <f>SUM(AW7:AW454)</f>
      </c>
      <c r="X3" s="8">
        <f>IFERROR(W3/V3,0)</f>
      </c>
      <c r="Y3" s="8" t="s">
        <v>26</v>
      </c>
      <c r="AL3">
        <f>SUM(AL7:AL454)</f>
      </c>
      <c r="AM3">
        <f>SUM(AM7:AM454)</f>
      </c>
      <c r="AN3">
        <f>SUM(AN7:AN454)</f>
      </c>
      <c r="AO3">
        <f>SUM(AO7:AO454)</f>
      </c>
      <c r="AP3">
        <f>SUM(AP7:AP454)</f>
      </c>
      <c r="AQ3">
        <f>SUM(AQ7:AQ454)</f>
      </c>
      <c r="AR3">
        <f>SUM(AR7:AR454)</f>
      </c>
      <c r="AS3">
        <f>SUM(AS7:AS454)</f>
      </c>
      <c r="AT3">
        <f>SUM(AT7:AT454)</f>
      </c>
      <c r="AU3">
        <f>SUM(AU7:AU454)</f>
      </c>
      <c r="AV3">
        <f>SUM(AV7:AV454)</f>
      </c>
      <c r="AW3">
        <f>SUM(AW7:AW454)</f>
      </c>
    </row>
    <row r="4" ht="20" customHeight="1" spans="1:25" x14ac:dyDescent="0.25">
      <c r="P4" s="9" t="s">
        <v>27</v>
      </c>
      <c r="Q4" s="9"/>
      <c r="R4" s="9"/>
      <c r="S4" s="9"/>
      <c r="T4" s="9"/>
      <c r="U4" s="10" t="s">
        <v>28</v>
      </c>
      <c r="V4" s="10"/>
      <c r="W4" s="10"/>
      <c r="X4" s="10"/>
      <c r="Y4" s="10"/>
    </row>
    <row r="5" ht="22" customHeight="1" spans="1:25" x14ac:dyDescent="0.25">
      <c r="P5" s="11" t="s">
        <v>29</v>
      </c>
      <c r="Q5" s="11" t="s">
        <v>30</v>
      </c>
      <c r="R5" s="11" t="s">
        <v>31</v>
      </c>
      <c r="S5" s="11" t="s">
        <v>32</v>
      </c>
      <c r="T5" s="11" t="s">
        <v>33</v>
      </c>
      <c r="U5" s="12" t="s">
        <v>29</v>
      </c>
      <c r="V5" s="12" t="s">
        <v>30</v>
      </c>
      <c r="W5" s="12" t="s">
        <v>31</v>
      </c>
      <c r="X5" s="12" t="s">
        <v>32</v>
      </c>
      <c r="Y5" s="12" t="s">
        <v>33</v>
      </c>
    </row>
    <row r="6" ht="32" customHeight="1" spans="1:25" x14ac:dyDescent="0.25">
      <c r="A6" s="13" t="s">
        <v>34</v>
      </c>
      <c r="B6" s="13" t="s">
        <v>35</v>
      </c>
      <c r="C6" s="13" t="s">
        <v>36</v>
      </c>
      <c r="D6" s="13" t="s">
        <v>37</v>
      </c>
      <c r="E6" s="13" t="s">
        <v>38</v>
      </c>
      <c r="F6" s="13" t="s">
        <v>39</v>
      </c>
      <c r="G6" s="13" t="s">
        <v>40</v>
      </c>
      <c r="H6" s="13" t="s">
        <v>41</v>
      </c>
      <c r="I6" s="13" t="s">
        <v>42</v>
      </c>
      <c r="J6" s="13" t="s">
        <v>43</v>
      </c>
      <c r="K6" s="13" t="s">
        <v>44</v>
      </c>
      <c r="L6" s="13" t="s">
        <v>45</v>
      </c>
      <c r="M6" s="13" t="s">
        <v>46</v>
      </c>
      <c r="N6" s="13" t="s">
        <v>47</v>
      </c>
      <c r="O6" s="13" t="s">
        <v>48</v>
      </c>
      <c r="P6" s="13" t="s">
        <v>49</v>
      </c>
      <c r="Q6" s="13" t="s">
        <v>50</v>
      </c>
      <c r="R6" s="13" t="s">
        <v>51</v>
      </c>
      <c r="S6" s="13" t="s">
        <v>52</v>
      </c>
      <c r="T6" s="13" t="s">
        <v>53</v>
      </c>
      <c r="U6" s="13" t="s">
        <v>54</v>
      </c>
      <c r="V6" s="13" t="s">
        <v>55</v>
      </c>
      <c r="W6" s="13" t="s">
        <v>56</v>
      </c>
      <c r="X6" s="13" t="s">
        <v>57</v>
      </c>
      <c r="Y6" s="13" t="s">
        <v>58</v>
      </c>
    </row>
    <row r="7" ht="28" customHeight="1" spans="1:51" x14ac:dyDescent="0.25">
      <c r="A7" s="14" t="s">
        <v>59</v>
      </c>
      <c r="B7" s="14" t="s">
        <v>60</v>
      </c>
      <c r="C7" s="14" t="s">
        <v>61</v>
      </c>
      <c r="D7" s="14" t="s">
        <v>62</v>
      </c>
      <c r="E7" s="14" t="s">
        <v>63</v>
      </c>
      <c r="F7" s="15" t="s">
        <v>64</v>
      </c>
      <c r="G7" s="15" t="s">
        <v>65</v>
      </c>
      <c r="H7" s="14" t="s">
        <v>66</v>
      </c>
      <c r="I7" s="16">
        <v>2</v>
      </c>
      <c r="J7" s="17">
        <v>1</v>
      </c>
      <c r="K7" s="14" t="s">
        <v>67</v>
      </c>
      <c r="L7" s="14" t="s">
        <v>68</v>
      </c>
      <c r="M7" s="14"/>
      <c r="N7" s="14"/>
      <c r="O7" s="15"/>
      <c r="P7" s="18">
        <v>2</v>
      </c>
      <c r="Q7" s="19">
        <v>0</v>
      </c>
      <c r="R7" s="19">
        <v>0</v>
      </c>
      <c r="S7" s="19">
        <v>0</v>
      </c>
      <c r="T7" s="19">
        <v>0</v>
      </c>
      <c r="U7" s="14" t="s">
        <v>69</v>
      </c>
      <c r="V7" s="14" t="s">
        <v>69</v>
      </c>
      <c r="W7" s="14" t="s">
        <v>69</v>
      </c>
      <c r="X7" s="14" t="s">
        <v>69</v>
      </c>
      <c r="Y7" s="14" t="s">
        <v>69</v>
      </c>
      <c r="AM7">
        <f>COUNTIF(P7:T7,"&gt;0")</f>
      </c>
      <c r="AN7">
        <f>COUNTIF(P7,"&gt;0")</f>
      </c>
      <c r="AO7">
        <f>COUNTIF(Q7,"&gt;0")</f>
      </c>
      <c r="AP7">
        <f>COUNTIF(R7,"&gt;0")</f>
      </c>
      <c r="AQ7">
        <f>COUNTIF(S7,"&gt;0")</f>
      </c>
      <c r="AR7">
        <f>COUNTIF(T7,"&gt;0")</f>
      </c>
      <c r="AX7" t="s">
        <v>60</v>
      </c>
      <c r="AY7" t="s">
        <v>70</v>
      </c>
    </row>
    <row r="8" ht="18" customHeight="1" spans="1:51" x14ac:dyDescent="0.25">
      <c r="A8" s="14"/>
      <c r="B8" s="14"/>
      <c r="C8" s="14"/>
      <c r="D8" s="14"/>
      <c r="E8" s="14"/>
      <c r="F8" s="15"/>
      <c r="G8" s="15"/>
      <c r="H8" s="14" t="s">
        <v>71</v>
      </c>
      <c r="I8" s="16"/>
      <c r="J8" s="17"/>
      <c r="K8" s="14"/>
      <c r="L8" s="14"/>
      <c r="M8" s="14"/>
      <c r="N8" s="14"/>
      <c r="O8" s="15"/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1" t="s">
        <v>69</v>
      </c>
      <c r="V8" s="21" t="s">
        <v>69</v>
      </c>
      <c r="W8" s="21" t="s">
        <v>69</v>
      </c>
      <c r="X8" s="21" t="s">
        <v>69</v>
      </c>
      <c r="Y8" s="21" t="s">
        <v>69</v>
      </c>
      <c r="AL8">
        <f>COUNTIF(P8:T8,"&gt;0")</f>
      </c>
      <c r="AS8">
        <f>COUNTIF(P8,"&gt;0")</f>
      </c>
      <c r="AT8">
        <f>COUNTIF(Q8,"&gt;0")</f>
      </c>
      <c r="AU8">
        <f>COUNTIF(R8,"&gt;0")</f>
      </c>
      <c r="AV8">
        <f>COUNTIF(S8,"&gt;0")</f>
      </c>
      <c r="AW8">
        <f>COUNTIF(T8,"&gt;0")</f>
      </c>
      <c r="AX8" t="s">
        <v>60</v>
      </c>
      <c r="AY8" t="s">
        <v>70</v>
      </c>
    </row>
    <row r="9" ht="28" customHeight="1" spans="1:51" x14ac:dyDescent="0.25">
      <c r="A9" s="14"/>
      <c r="B9" s="14"/>
      <c r="C9" s="14"/>
      <c r="D9" s="14"/>
      <c r="E9" s="14"/>
      <c r="F9" s="15" t="s">
        <v>72</v>
      </c>
      <c r="G9" s="15" t="s">
        <v>73</v>
      </c>
      <c r="H9" s="14" t="s">
        <v>66</v>
      </c>
      <c r="I9" s="16">
        <v>2</v>
      </c>
      <c r="J9" s="17">
        <v>1</v>
      </c>
      <c r="K9" s="14" t="s">
        <v>67</v>
      </c>
      <c r="L9" s="14" t="s">
        <v>68</v>
      </c>
      <c r="M9" s="14"/>
      <c r="N9" s="14"/>
      <c r="O9" s="15"/>
      <c r="P9" s="19">
        <v>0</v>
      </c>
      <c r="Q9" s="18">
        <v>2</v>
      </c>
      <c r="R9" s="19">
        <v>0</v>
      </c>
      <c r="S9" s="19">
        <v>0</v>
      </c>
      <c r="T9" s="19">
        <v>0</v>
      </c>
      <c r="U9" s="14" t="s">
        <v>69</v>
      </c>
      <c r="V9" s="14" t="s">
        <v>69</v>
      </c>
      <c r="W9" s="14" t="s">
        <v>69</v>
      </c>
      <c r="X9" s="14" t="s">
        <v>69</v>
      </c>
      <c r="Y9" s="14" t="s">
        <v>69</v>
      </c>
      <c r="AM9">
        <f>COUNTIF(P9:T9,"&gt;0")</f>
      </c>
      <c r="AN9">
        <f>COUNTIF(P9,"&gt;0")</f>
      </c>
      <c r="AO9">
        <f>COUNTIF(Q9,"&gt;0")</f>
      </c>
      <c r="AP9">
        <f>COUNTIF(R9,"&gt;0")</f>
      </c>
      <c r="AQ9">
        <f>COUNTIF(S9,"&gt;0")</f>
      </c>
      <c r="AR9">
        <f>COUNTIF(T9,"&gt;0")</f>
      </c>
      <c r="AX9" t="s">
        <v>60</v>
      </c>
      <c r="AY9" t="s">
        <v>74</v>
      </c>
    </row>
    <row r="10" ht="18" customHeight="1" spans="1:51" x14ac:dyDescent="0.25">
      <c r="A10" s="14"/>
      <c r="B10" s="14"/>
      <c r="C10" s="14"/>
      <c r="D10" s="14"/>
      <c r="E10" s="14"/>
      <c r="F10" s="15"/>
      <c r="G10" s="15"/>
      <c r="H10" s="14" t="s">
        <v>71</v>
      </c>
      <c r="I10" s="16"/>
      <c r="J10" s="17"/>
      <c r="K10" s="14"/>
      <c r="L10" s="14"/>
      <c r="M10" s="14"/>
      <c r="N10" s="14"/>
      <c r="O10" s="15"/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1" t="s">
        <v>69</v>
      </c>
      <c r="V10" s="21" t="s">
        <v>69</v>
      </c>
      <c r="W10" s="21" t="s">
        <v>69</v>
      </c>
      <c r="X10" s="21" t="s">
        <v>69</v>
      </c>
      <c r="Y10" s="21" t="s">
        <v>69</v>
      </c>
      <c r="AL10">
        <f>COUNTIF(P10:T10,"&gt;0")</f>
      </c>
      <c r="AS10">
        <f>COUNTIF(P10,"&gt;0")</f>
      </c>
      <c r="AT10">
        <f>COUNTIF(Q10,"&gt;0")</f>
      </c>
      <c r="AU10">
        <f>COUNTIF(R10,"&gt;0")</f>
      </c>
      <c r="AV10">
        <f>COUNTIF(S10,"&gt;0")</f>
      </c>
      <c r="AW10">
        <f>COUNTIF(T10,"&gt;0")</f>
      </c>
      <c r="AX10" t="s">
        <v>60</v>
      </c>
      <c r="AY10" t="s">
        <v>74</v>
      </c>
    </row>
    <row r="11" ht="28" customHeight="1" spans="1:51" x14ac:dyDescent="0.25">
      <c r="A11" s="14"/>
      <c r="B11" s="14"/>
      <c r="C11" s="14"/>
      <c r="D11" s="14"/>
      <c r="E11" s="14"/>
      <c r="F11" s="15" t="s">
        <v>75</v>
      </c>
      <c r="G11" s="15" t="s">
        <v>76</v>
      </c>
      <c r="H11" s="14" t="s">
        <v>66</v>
      </c>
      <c r="I11" s="16">
        <v>2</v>
      </c>
      <c r="J11" s="17">
        <v>1</v>
      </c>
      <c r="K11" s="14" t="s">
        <v>67</v>
      </c>
      <c r="L11" s="14" t="s">
        <v>68</v>
      </c>
      <c r="M11" s="14"/>
      <c r="N11" s="14"/>
      <c r="O11" s="15"/>
      <c r="P11" s="19">
        <v>0</v>
      </c>
      <c r="Q11" s="19">
        <v>0</v>
      </c>
      <c r="R11" s="18">
        <v>2</v>
      </c>
      <c r="S11" s="19">
        <v>0</v>
      </c>
      <c r="T11" s="19">
        <v>0</v>
      </c>
      <c r="U11" s="14" t="s">
        <v>69</v>
      </c>
      <c r="V11" s="14" t="s">
        <v>69</v>
      </c>
      <c r="W11" s="14" t="s">
        <v>69</v>
      </c>
      <c r="X11" s="14" t="s">
        <v>69</v>
      </c>
      <c r="Y11" s="14" t="s">
        <v>69</v>
      </c>
      <c r="AM11">
        <f>COUNTIF(P11:T11,"&gt;0")</f>
      </c>
      <c r="AN11">
        <f>COUNTIF(P11,"&gt;0")</f>
      </c>
      <c r="AO11">
        <f>COUNTIF(Q11,"&gt;0")</f>
      </c>
      <c r="AP11">
        <f>COUNTIF(R11,"&gt;0")</f>
      </c>
      <c r="AQ11">
        <f>COUNTIF(S11,"&gt;0")</f>
      </c>
      <c r="AR11">
        <f>COUNTIF(T11,"&gt;0")</f>
      </c>
      <c r="AX11" t="s">
        <v>60</v>
      </c>
      <c r="AY11" t="s">
        <v>77</v>
      </c>
    </row>
    <row r="12" ht="18" customHeight="1" spans="1:51" x14ac:dyDescent="0.25">
      <c r="A12" s="14"/>
      <c r="B12" s="14"/>
      <c r="C12" s="14"/>
      <c r="D12" s="14"/>
      <c r="E12" s="14"/>
      <c r="F12" s="15"/>
      <c r="G12" s="15"/>
      <c r="H12" s="14" t="s">
        <v>71</v>
      </c>
      <c r="I12" s="16"/>
      <c r="J12" s="17"/>
      <c r="K12" s="14"/>
      <c r="L12" s="14"/>
      <c r="M12" s="14"/>
      <c r="N12" s="14"/>
      <c r="O12" s="15"/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1" t="s">
        <v>69</v>
      </c>
      <c r="V12" s="21" t="s">
        <v>69</v>
      </c>
      <c r="W12" s="21" t="s">
        <v>69</v>
      </c>
      <c r="X12" s="21" t="s">
        <v>69</v>
      </c>
      <c r="Y12" s="21" t="s">
        <v>69</v>
      </c>
      <c r="AL12">
        <f>COUNTIF(P12:T12,"&gt;0")</f>
      </c>
      <c r="AS12">
        <f>COUNTIF(P12,"&gt;0")</f>
      </c>
      <c r="AT12">
        <f>COUNTIF(Q12,"&gt;0")</f>
      </c>
      <c r="AU12">
        <f>COUNTIF(R12,"&gt;0")</f>
      </c>
      <c r="AV12">
        <f>COUNTIF(S12,"&gt;0")</f>
      </c>
      <c r="AW12">
        <f>COUNTIF(T12,"&gt;0")</f>
      </c>
      <c r="AX12" t="s">
        <v>60</v>
      </c>
      <c r="AY12" t="s">
        <v>77</v>
      </c>
    </row>
    <row r="13" ht="28" customHeight="1" spans="1:51" x14ac:dyDescent="0.25">
      <c r="A13" s="14"/>
      <c r="B13" s="14"/>
      <c r="C13" s="14"/>
      <c r="D13" s="14"/>
      <c r="E13" s="14"/>
      <c r="F13" s="15" t="s">
        <v>75</v>
      </c>
      <c r="G13" s="15" t="s">
        <v>78</v>
      </c>
      <c r="H13" s="14" t="s">
        <v>66</v>
      </c>
      <c r="I13" s="16">
        <v>2</v>
      </c>
      <c r="J13" s="17">
        <v>1</v>
      </c>
      <c r="K13" s="14" t="s">
        <v>67</v>
      </c>
      <c r="L13" s="14" t="s">
        <v>68</v>
      </c>
      <c r="M13" s="14"/>
      <c r="N13" s="14"/>
      <c r="O13" s="15"/>
      <c r="P13" s="19">
        <v>0</v>
      </c>
      <c r="Q13" s="19">
        <v>0</v>
      </c>
      <c r="R13" s="19">
        <v>0</v>
      </c>
      <c r="S13" s="18">
        <v>2</v>
      </c>
      <c r="T13" s="19">
        <v>0</v>
      </c>
      <c r="U13" s="14" t="s">
        <v>69</v>
      </c>
      <c r="V13" s="14" t="s">
        <v>69</v>
      </c>
      <c r="W13" s="14" t="s">
        <v>69</v>
      </c>
      <c r="X13" s="14" t="s">
        <v>69</v>
      </c>
      <c r="Y13" s="14" t="s">
        <v>69</v>
      </c>
      <c r="AM13">
        <f>COUNTIF(P13:T13,"&gt;0")</f>
      </c>
      <c r="AN13">
        <f>COUNTIF(P13,"&gt;0")</f>
      </c>
      <c r="AO13">
        <f>COUNTIF(Q13,"&gt;0")</f>
      </c>
      <c r="AP13">
        <f>COUNTIF(R13,"&gt;0")</f>
      </c>
      <c r="AQ13">
        <f>COUNTIF(S13,"&gt;0")</f>
      </c>
      <c r="AR13">
        <f>COUNTIF(T13,"&gt;0")</f>
      </c>
      <c r="AX13" t="s">
        <v>60</v>
      </c>
      <c r="AY13" t="s">
        <v>79</v>
      </c>
    </row>
    <row r="14" ht="18" customHeight="1" spans="1:51" x14ac:dyDescent="0.25">
      <c r="A14" s="14"/>
      <c r="B14" s="14"/>
      <c r="C14" s="14"/>
      <c r="D14" s="14"/>
      <c r="E14" s="14"/>
      <c r="F14" s="15"/>
      <c r="G14" s="15"/>
      <c r="H14" s="14" t="s">
        <v>71</v>
      </c>
      <c r="I14" s="16"/>
      <c r="J14" s="17"/>
      <c r="K14" s="14"/>
      <c r="L14" s="14"/>
      <c r="M14" s="14"/>
      <c r="N14" s="14"/>
      <c r="O14" s="15"/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1" t="s">
        <v>69</v>
      </c>
      <c r="V14" s="21" t="s">
        <v>69</v>
      </c>
      <c r="W14" s="21" t="s">
        <v>69</v>
      </c>
      <c r="X14" s="21" t="s">
        <v>69</v>
      </c>
      <c r="Y14" s="21" t="s">
        <v>69</v>
      </c>
      <c r="AL14">
        <f>COUNTIF(P14:T14,"&gt;0")</f>
      </c>
      <c r="AS14">
        <f>COUNTIF(P14,"&gt;0")</f>
      </c>
      <c r="AT14">
        <f>COUNTIF(Q14,"&gt;0")</f>
      </c>
      <c r="AU14">
        <f>COUNTIF(R14,"&gt;0")</f>
      </c>
      <c r="AV14">
        <f>COUNTIF(S14,"&gt;0")</f>
      </c>
      <c r="AW14">
        <f>COUNTIF(T14,"&gt;0")</f>
      </c>
      <c r="AX14" t="s">
        <v>60</v>
      </c>
      <c r="AY14" t="s">
        <v>79</v>
      </c>
    </row>
    <row r="15" ht="28" customHeight="1" spans="1:51" x14ac:dyDescent="0.25">
      <c r="A15" s="14"/>
      <c r="B15" s="14"/>
      <c r="C15" s="14"/>
      <c r="D15" s="14"/>
      <c r="E15" s="14"/>
      <c r="F15" s="15" t="s">
        <v>80</v>
      </c>
      <c r="G15" s="15" t="s">
        <v>81</v>
      </c>
      <c r="H15" s="14" t="s">
        <v>66</v>
      </c>
      <c r="I15" s="16">
        <v>2</v>
      </c>
      <c r="J15" s="17">
        <v>1</v>
      </c>
      <c r="K15" s="14" t="s">
        <v>67</v>
      </c>
      <c r="L15" s="14" t="s">
        <v>68</v>
      </c>
      <c r="M15" s="14"/>
      <c r="N15" s="14"/>
      <c r="O15" s="15"/>
      <c r="P15" s="19">
        <v>0</v>
      </c>
      <c r="Q15" s="19">
        <v>0</v>
      </c>
      <c r="R15" s="19">
        <v>0</v>
      </c>
      <c r="S15" s="19">
        <v>0</v>
      </c>
      <c r="T15" s="18">
        <v>2</v>
      </c>
      <c r="U15" s="14" t="s">
        <v>69</v>
      </c>
      <c r="V15" s="14" t="s">
        <v>69</v>
      </c>
      <c r="W15" s="14" t="s">
        <v>69</v>
      </c>
      <c r="X15" s="14" t="s">
        <v>69</v>
      </c>
      <c r="Y15" s="14" t="s">
        <v>69</v>
      </c>
      <c r="AM15">
        <f>COUNTIF(P15:T15,"&gt;0")</f>
      </c>
      <c r="AN15">
        <f>COUNTIF(P15,"&gt;0")</f>
      </c>
      <c r="AO15">
        <f>COUNTIF(Q15,"&gt;0")</f>
      </c>
      <c r="AP15">
        <f>COUNTIF(R15,"&gt;0")</f>
      </c>
      <c r="AQ15">
        <f>COUNTIF(S15,"&gt;0")</f>
      </c>
      <c r="AR15">
        <f>COUNTIF(T15,"&gt;0")</f>
      </c>
      <c r="AX15" t="s">
        <v>60</v>
      </c>
      <c r="AY15" t="s">
        <v>82</v>
      </c>
    </row>
    <row r="16" ht="18" customHeight="1" spans="1:51" x14ac:dyDescent="0.25">
      <c r="A16" s="14"/>
      <c r="B16" s="14"/>
      <c r="C16" s="14"/>
      <c r="D16" s="14"/>
      <c r="E16" s="14"/>
      <c r="F16" s="15"/>
      <c r="G16" s="15"/>
      <c r="H16" s="14" t="s">
        <v>71</v>
      </c>
      <c r="I16" s="16"/>
      <c r="J16" s="17"/>
      <c r="K16" s="14"/>
      <c r="L16" s="14"/>
      <c r="M16" s="14"/>
      <c r="N16" s="14"/>
      <c r="O16" s="15"/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1" t="s">
        <v>69</v>
      </c>
      <c r="V16" s="21" t="s">
        <v>69</v>
      </c>
      <c r="W16" s="21" t="s">
        <v>69</v>
      </c>
      <c r="X16" s="21" t="s">
        <v>69</v>
      </c>
      <c r="Y16" s="21" t="s">
        <v>69</v>
      </c>
      <c r="AL16">
        <f>COUNTIF(P16:T16,"&gt;0")</f>
      </c>
      <c r="AS16">
        <f>COUNTIF(P16,"&gt;0")</f>
      </c>
      <c r="AT16">
        <f>COUNTIF(Q16,"&gt;0")</f>
      </c>
      <c r="AU16">
        <f>COUNTIF(R16,"&gt;0")</f>
      </c>
      <c r="AV16">
        <f>COUNTIF(S16,"&gt;0")</f>
      </c>
      <c r="AW16">
        <f>COUNTIF(T16,"&gt;0")</f>
      </c>
      <c r="AX16" t="s">
        <v>60</v>
      </c>
      <c r="AY16" t="s">
        <v>82</v>
      </c>
    </row>
    <row r="17" ht="28" customHeight="1" spans="1:51" x14ac:dyDescent="0.25">
      <c r="A17" s="14"/>
      <c r="B17" s="14"/>
      <c r="C17" s="14"/>
      <c r="D17" s="14"/>
      <c r="E17" s="14"/>
      <c r="F17" s="15" t="s">
        <v>80</v>
      </c>
      <c r="G17" s="15" t="s">
        <v>83</v>
      </c>
      <c r="H17" s="14" t="s">
        <v>66</v>
      </c>
      <c r="I17" s="16">
        <v>2</v>
      </c>
      <c r="J17" s="17">
        <v>1</v>
      </c>
      <c r="K17" s="14" t="s">
        <v>67</v>
      </c>
      <c r="L17" s="14" t="s">
        <v>68</v>
      </c>
      <c r="M17" s="14"/>
      <c r="N17" s="14"/>
      <c r="O17" s="15"/>
      <c r="P17" s="18">
        <v>2</v>
      </c>
      <c r="Q17" s="19">
        <v>0</v>
      </c>
      <c r="R17" s="19">
        <v>0</v>
      </c>
      <c r="S17" s="19">
        <v>0</v>
      </c>
      <c r="T17" s="19">
        <v>0</v>
      </c>
      <c r="U17" s="14" t="s">
        <v>69</v>
      </c>
      <c r="V17" s="14" t="s">
        <v>69</v>
      </c>
      <c r="W17" s="14" t="s">
        <v>69</v>
      </c>
      <c r="X17" s="14" t="s">
        <v>69</v>
      </c>
      <c r="Y17" s="14" t="s">
        <v>69</v>
      </c>
      <c r="AM17">
        <f>COUNTIF(P17:T17,"&gt;0")</f>
      </c>
      <c r="AN17">
        <f>COUNTIF(P17,"&gt;0")</f>
      </c>
      <c r="AO17">
        <f>COUNTIF(Q17,"&gt;0")</f>
      </c>
      <c r="AP17">
        <f>COUNTIF(R17,"&gt;0")</f>
      </c>
      <c r="AQ17">
        <f>COUNTIF(S17,"&gt;0")</f>
      </c>
      <c r="AR17">
        <f>COUNTIF(T17,"&gt;0")</f>
      </c>
      <c r="AX17" t="s">
        <v>60</v>
      </c>
      <c r="AY17" t="s">
        <v>84</v>
      </c>
    </row>
    <row r="18" ht="18" customHeight="1" spans="1:51" x14ac:dyDescent="0.25">
      <c r="A18" s="14"/>
      <c r="B18" s="14"/>
      <c r="C18" s="14"/>
      <c r="D18" s="14"/>
      <c r="E18" s="14"/>
      <c r="F18" s="15"/>
      <c r="G18" s="15"/>
      <c r="H18" s="14" t="s">
        <v>71</v>
      </c>
      <c r="I18" s="16"/>
      <c r="J18" s="17"/>
      <c r="K18" s="14"/>
      <c r="L18" s="14"/>
      <c r="M18" s="14"/>
      <c r="N18" s="14"/>
      <c r="O18" s="15"/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1" t="s">
        <v>69</v>
      </c>
      <c r="V18" s="21" t="s">
        <v>69</v>
      </c>
      <c r="W18" s="21" t="s">
        <v>69</v>
      </c>
      <c r="X18" s="21" t="s">
        <v>69</v>
      </c>
      <c r="Y18" s="21" t="s">
        <v>69</v>
      </c>
      <c r="AL18">
        <f>COUNTIF(P18:T18,"&gt;0")</f>
      </c>
      <c r="AS18">
        <f>COUNTIF(P18,"&gt;0")</f>
      </c>
      <c r="AT18">
        <f>COUNTIF(Q18,"&gt;0")</f>
      </c>
      <c r="AU18">
        <f>COUNTIF(R18,"&gt;0")</f>
      </c>
      <c r="AV18">
        <f>COUNTIF(S18,"&gt;0")</f>
      </c>
      <c r="AW18">
        <f>COUNTIF(T18,"&gt;0")</f>
      </c>
      <c r="AX18" t="s">
        <v>60</v>
      </c>
      <c r="AY18" t="s">
        <v>84</v>
      </c>
    </row>
    <row r="19" ht="28" customHeight="1" spans="1:51" x14ac:dyDescent="0.25">
      <c r="A19" s="14"/>
      <c r="B19" s="14"/>
      <c r="C19" s="14"/>
      <c r="D19" s="14"/>
      <c r="E19" s="14"/>
      <c r="F19" s="15" t="s">
        <v>85</v>
      </c>
      <c r="G19" s="15" t="s">
        <v>86</v>
      </c>
      <c r="H19" s="14" t="s">
        <v>66</v>
      </c>
      <c r="I19" s="16">
        <v>2</v>
      </c>
      <c r="J19" s="17">
        <v>1</v>
      </c>
      <c r="K19" s="14" t="s">
        <v>67</v>
      </c>
      <c r="L19" s="14" t="s">
        <v>68</v>
      </c>
      <c r="M19" s="14"/>
      <c r="N19" s="14"/>
      <c r="O19" s="15"/>
      <c r="P19" s="19">
        <v>0</v>
      </c>
      <c r="Q19" s="18">
        <v>2</v>
      </c>
      <c r="R19" s="19">
        <v>0</v>
      </c>
      <c r="S19" s="19">
        <v>0</v>
      </c>
      <c r="T19" s="19">
        <v>0</v>
      </c>
      <c r="U19" s="14" t="s">
        <v>69</v>
      </c>
      <c r="V19" s="14" t="s">
        <v>69</v>
      </c>
      <c r="W19" s="14" t="s">
        <v>69</v>
      </c>
      <c r="X19" s="14" t="s">
        <v>69</v>
      </c>
      <c r="Y19" s="14" t="s">
        <v>69</v>
      </c>
      <c r="AM19">
        <f>COUNTIF(P19:T19,"&gt;0")</f>
      </c>
      <c r="AN19">
        <f>COUNTIF(P19,"&gt;0")</f>
      </c>
      <c r="AO19">
        <f>COUNTIF(Q19,"&gt;0")</f>
      </c>
      <c r="AP19">
        <f>COUNTIF(R19,"&gt;0")</f>
      </c>
      <c r="AQ19">
        <f>COUNTIF(S19,"&gt;0")</f>
      </c>
      <c r="AR19">
        <f>COUNTIF(T19,"&gt;0")</f>
      </c>
      <c r="AX19" t="s">
        <v>60</v>
      </c>
      <c r="AY19" t="s">
        <v>87</v>
      </c>
    </row>
    <row r="20" ht="18" customHeight="1" spans="1:51" x14ac:dyDescent="0.25">
      <c r="A20" s="14"/>
      <c r="B20" s="14"/>
      <c r="C20" s="14"/>
      <c r="D20" s="14"/>
      <c r="E20" s="14"/>
      <c r="F20" s="15"/>
      <c r="G20" s="15"/>
      <c r="H20" s="14" t="s">
        <v>71</v>
      </c>
      <c r="I20" s="16"/>
      <c r="J20" s="17"/>
      <c r="K20" s="14"/>
      <c r="L20" s="14"/>
      <c r="M20" s="14"/>
      <c r="N20" s="14"/>
      <c r="O20" s="15"/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1" t="s">
        <v>69</v>
      </c>
      <c r="V20" s="21" t="s">
        <v>69</v>
      </c>
      <c r="W20" s="21" t="s">
        <v>69</v>
      </c>
      <c r="X20" s="21" t="s">
        <v>69</v>
      </c>
      <c r="Y20" s="21" t="s">
        <v>69</v>
      </c>
      <c r="AL20">
        <f>COUNTIF(P20:T20,"&gt;0")</f>
      </c>
      <c r="AS20">
        <f>COUNTIF(P20,"&gt;0")</f>
      </c>
      <c r="AT20">
        <f>COUNTIF(Q20,"&gt;0")</f>
      </c>
      <c r="AU20">
        <f>COUNTIF(R20,"&gt;0")</f>
      </c>
      <c r="AV20">
        <f>COUNTIF(S20,"&gt;0")</f>
      </c>
      <c r="AW20">
        <f>COUNTIF(T20,"&gt;0")</f>
      </c>
      <c r="AX20" t="s">
        <v>60</v>
      </c>
      <c r="AY20" t="s">
        <v>87</v>
      </c>
    </row>
    <row r="21" ht="28" customHeight="1" spans="1:51" x14ac:dyDescent="0.25">
      <c r="A21" s="14"/>
      <c r="B21" s="14"/>
      <c r="C21" s="14"/>
      <c r="D21" s="14"/>
      <c r="E21" s="14"/>
      <c r="F21" s="15" t="s">
        <v>88</v>
      </c>
      <c r="G21" s="15" t="s">
        <v>89</v>
      </c>
      <c r="H21" s="14" t="s">
        <v>66</v>
      </c>
      <c r="I21" s="16">
        <v>2</v>
      </c>
      <c r="J21" s="17">
        <v>1</v>
      </c>
      <c r="K21" s="14" t="s">
        <v>67</v>
      </c>
      <c r="L21" s="14" t="s">
        <v>68</v>
      </c>
      <c r="M21" s="14"/>
      <c r="N21" s="14"/>
      <c r="O21" s="15"/>
      <c r="P21" s="19">
        <v>0</v>
      </c>
      <c r="Q21" s="19">
        <v>0</v>
      </c>
      <c r="R21" s="18">
        <v>2</v>
      </c>
      <c r="S21" s="19">
        <v>0</v>
      </c>
      <c r="T21" s="19">
        <v>0</v>
      </c>
      <c r="U21" s="14" t="s">
        <v>69</v>
      </c>
      <c r="V21" s="14" t="s">
        <v>69</v>
      </c>
      <c r="W21" s="14" t="s">
        <v>69</v>
      </c>
      <c r="X21" s="14" t="s">
        <v>69</v>
      </c>
      <c r="Y21" s="14" t="s">
        <v>69</v>
      </c>
      <c r="AM21">
        <f>COUNTIF(P21:T21,"&gt;0")</f>
      </c>
      <c r="AN21">
        <f>COUNTIF(P21,"&gt;0")</f>
      </c>
      <c r="AO21">
        <f>COUNTIF(Q21,"&gt;0")</f>
      </c>
      <c r="AP21">
        <f>COUNTIF(R21,"&gt;0")</f>
      </c>
      <c r="AQ21">
        <f>COUNTIF(S21,"&gt;0")</f>
      </c>
      <c r="AR21">
        <f>COUNTIF(T21,"&gt;0")</f>
      </c>
      <c r="AX21" t="s">
        <v>60</v>
      </c>
      <c r="AY21" t="s">
        <v>90</v>
      </c>
    </row>
    <row r="22" ht="18" customHeight="1" spans="1:51" x14ac:dyDescent="0.25">
      <c r="A22" s="14"/>
      <c r="B22" s="14"/>
      <c r="C22" s="14"/>
      <c r="D22" s="14"/>
      <c r="E22" s="14"/>
      <c r="F22" s="15"/>
      <c r="G22" s="15"/>
      <c r="H22" s="14" t="s">
        <v>71</v>
      </c>
      <c r="I22" s="16"/>
      <c r="J22" s="17"/>
      <c r="K22" s="14"/>
      <c r="L22" s="14"/>
      <c r="M22" s="14"/>
      <c r="N22" s="14"/>
      <c r="O22" s="15"/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1" t="s">
        <v>69</v>
      </c>
      <c r="V22" s="21" t="s">
        <v>69</v>
      </c>
      <c r="W22" s="21" t="s">
        <v>69</v>
      </c>
      <c r="X22" s="21" t="s">
        <v>69</v>
      </c>
      <c r="Y22" s="21" t="s">
        <v>69</v>
      </c>
      <c r="AL22">
        <f>COUNTIF(P22:T22,"&gt;0")</f>
      </c>
      <c r="AS22">
        <f>COUNTIF(P22,"&gt;0")</f>
      </c>
      <c r="AT22">
        <f>COUNTIF(Q22,"&gt;0")</f>
      </c>
      <c r="AU22">
        <f>COUNTIF(R22,"&gt;0")</f>
      </c>
      <c r="AV22">
        <f>COUNTIF(S22,"&gt;0")</f>
      </c>
      <c r="AW22">
        <f>COUNTIF(T22,"&gt;0")</f>
      </c>
      <c r="AX22" t="s">
        <v>60</v>
      </c>
      <c r="AY22" t="s">
        <v>90</v>
      </c>
    </row>
    <row r="23" ht="28" customHeight="1" spans="1:51" x14ac:dyDescent="0.25">
      <c r="A23" s="14"/>
      <c r="B23" s="14"/>
      <c r="C23" s="14"/>
      <c r="D23" s="14"/>
      <c r="E23" s="14"/>
      <c r="F23" s="15" t="s">
        <v>91</v>
      </c>
      <c r="G23" s="15" t="s">
        <v>92</v>
      </c>
      <c r="H23" s="14" t="s">
        <v>66</v>
      </c>
      <c r="I23" s="16">
        <v>2</v>
      </c>
      <c r="J23" s="17">
        <v>1</v>
      </c>
      <c r="K23" s="14" t="s">
        <v>67</v>
      </c>
      <c r="L23" s="14" t="s">
        <v>68</v>
      </c>
      <c r="M23" s="14"/>
      <c r="N23" s="14"/>
      <c r="O23" s="15"/>
      <c r="P23" s="19">
        <v>0</v>
      </c>
      <c r="Q23" s="19">
        <v>0</v>
      </c>
      <c r="R23" s="19">
        <v>0</v>
      </c>
      <c r="S23" s="18">
        <v>2</v>
      </c>
      <c r="T23" s="19">
        <v>0</v>
      </c>
      <c r="U23" s="14" t="s">
        <v>69</v>
      </c>
      <c r="V23" s="14" t="s">
        <v>69</v>
      </c>
      <c r="W23" s="14" t="s">
        <v>69</v>
      </c>
      <c r="X23" s="14" t="s">
        <v>69</v>
      </c>
      <c r="Y23" s="14" t="s">
        <v>69</v>
      </c>
      <c r="AM23">
        <f>COUNTIF(P23:T23,"&gt;0")</f>
      </c>
      <c r="AN23">
        <f>COUNTIF(P23,"&gt;0")</f>
      </c>
      <c r="AO23">
        <f>COUNTIF(Q23,"&gt;0")</f>
      </c>
      <c r="AP23">
        <f>COUNTIF(R23,"&gt;0")</f>
      </c>
      <c r="AQ23">
        <f>COUNTIF(S23,"&gt;0")</f>
      </c>
      <c r="AR23">
        <f>COUNTIF(T23,"&gt;0")</f>
      </c>
      <c r="AX23" t="s">
        <v>60</v>
      </c>
      <c r="AY23" t="s">
        <v>93</v>
      </c>
    </row>
    <row r="24" ht="18" customHeight="1" spans="1:51" x14ac:dyDescent="0.25">
      <c r="A24" s="14"/>
      <c r="B24" s="14"/>
      <c r="C24" s="14"/>
      <c r="D24" s="14"/>
      <c r="E24" s="14"/>
      <c r="F24" s="15"/>
      <c r="G24" s="15"/>
      <c r="H24" s="14" t="s">
        <v>71</v>
      </c>
      <c r="I24" s="16"/>
      <c r="J24" s="17"/>
      <c r="K24" s="14"/>
      <c r="L24" s="14"/>
      <c r="M24" s="14"/>
      <c r="N24" s="14"/>
      <c r="O24" s="15"/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1" t="s">
        <v>69</v>
      </c>
      <c r="V24" s="21" t="s">
        <v>69</v>
      </c>
      <c r="W24" s="21" t="s">
        <v>69</v>
      </c>
      <c r="X24" s="21" t="s">
        <v>69</v>
      </c>
      <c r="Y24" s="21" t="s">
        <v>69</v>
      </c>
      <c r="AL24">
        <f>COUNTIF(P24:T24,"&gt;0")</f>
      </c>
      <c r="AS24">
        <f>COUNTIF(P24,"&gt;0")</f>
      </c>
      <c r="AT24">
        <f>COUNTIF(Q24,"&gt;0")</f>
      </c>
      <c r="AU24">
        <f>COUNTIF(R24,"&gt;0")</f>
      </c>
      <c r="AV24">
        <f>COUNTIF(S24,"&gt;0")</f>
      </c>
      <c r="AW24">
        <f>COUNTIF(T24,"&gt;0")</f>
      </c>
      <c r="AX24" t="s">
        <v>60</v>
      </c>
      <c r="AY24" t="s">
        <v>93</v>
      </c>
    </row>
    <row r="25" ht="28" customHeight="1" spans="1:51" x14ac:dyDescent="0.25">
      <c r="A25" s="14"/>
      <c r="B25" s="14"/>
      <c r="C25" s="14"/>
      <c r="D25" s="14"/>
      <c r="E25" s="14"/>
      <c r="F25" s="15" t="s">
        <v>94</v>
      </c>
      <c r="G25" s="15" t="s">
        <v>95</v>
      </c>
      <c r="H25" s="14" t="s">
        <v>66</v>
      </c>
      <c r="I25" s="16">
        <v>2</v>
      </c>
      <c r="J25" s="17">
        <v>1</v>
      </c>
      <c r="K25" s="14" t="s">
        <v>67</v>
      </c>
      <c r="L25" s="14" t="s">
        <v>68</v>
      </c>
      <c r="M25" s="14"/>
      <c r="N25" s="14"/>
      <c r="O25" s="15"/>
      <c r="P25" s="19">
        <v>0</v>
      </c>
      <c r="Q25" s="19">
        <v>0</v>
      </c>
      <c r="R25" s="19">
        <v>0</v>
      </c>
      <c r="S25" s="19">
        <v>0</v>
      </c>
      <c r="T25" s="18">
        <v>2</v>
      </c>
      <c r="U25" s="14" t="s">
        <v>69</v>
      </c>
      <c r="V25" s="14" t="s">
        <v>69</v>
      </c>
      <c r="W25" s="14" t="s">
        <v>69</v>
      </c>
      <c r="X25" s="14" t="s">
        <v>69</v>
      </c>
      <c r="Y25" s="14" t="s">
        <v>69</v>
      </c>
      <c r="AM25">
        <f>COUNTIF(P25:T25,"&gt;0")</f>
      </c>
      <c r="AN25">
        <f>COUNTIF(P25,"&gt;0")</f>
      </c>
      <c r="AO25">
        <f>COUNTIF(Q25,"&gt;0")</f>
      </c>
      <c r="AP25">
        <f>COUNTIF(R25,"&gt;0")</f>
      </c>
      <c r="AQ25">
        <f>COUNTIF(S25,"&gt;0")</f>
      </c>
      <c r="AR25">
        <f>COUNTIF(T25,"&gt;0")</f>
      </c>
      <c r="AX25" t="s">
        <v>60</v>
      </c>
      <c r="AY25" t="s">
        <v>96</v>
      </c>
    </row>
    <row r="26" ht="18" customHeight="1" spans="1:51" x14ac:dyDescent="0.25">
      <c r="A26" s="14"/>
      <c r="B26" s="14"/>
      <c r="C26" s="14"/>
      <c r="D26" s="14"/>
      <c r="E26" s="14"/>
      <c r="F26" s="15"/>
      <c r="G26" s="15"/>
      <c r="H26" s="14" t="s">
        <v>71</v>
      </c>
      <c r="I26" s="16"/>
      <c r="J26" s="17"/>
      <c r="K26" s="14"/>
      <c r="L26" s="14"/>
      <c r="M26" s="14"/>
      <c r="N26" s="14"/>
      <c r="O26" s="15"/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1" t="s">
        <v>69</v>
      </c>
      <c r="V26" s="21" t="s">
        <v>69</v>
      </c>
      <c r="W26" s="21" t="s">
        <v>69</v>
      </c>
      <c r="X26" s="21" t="s">
        <v>69</v>
      </c>
      <c r="Y26" s="21" t="s">
        <v>69</v>
      </c>
      <c r="AL26">
        <f>COUNTIF(P26:T26,"&gt;0")</f>
      </c>
      <c r="AS26">
        <f>COUNTIF(P26,"&gt;0")</f>
      </c>
      <c r="AT26">
        <f>COUNTIF(Q26,"&gt;0")</f>
      </c>
      <c r="AU26">
        <f>COUNTIF(R26,"&gt;0")</f>
      </c>
      <c r="AV26">
        <f>COUNTIF(S26,"&gt;0")</f>
      </c>
      <c r="AW26">
        <f>COUNTIF(T26,"&gt;0")</f>
      </c>
      <c r="AX26" t="s">
        <v>60</v>
      </c>
      <c r="AY26" t="s">
        <v>96</v>
      </c>
    </row>
    <row r="27" ht="28" customHeight="1" spans="1:51" x14ac:dyDescent="0.25">
      <c r="A27" s="14"/>
      <c r="B27" s="14"/>
      <c r="C27" s="14"/>
      <c r="D27" s="14"/>
      <c r="E27" s="14"/>
      <c r="F27" s="15" t="s">
        <v>97</v>
      </c>
      <c r="G27" s="15" t="s">
        <v>98</v>
      </c>
      <c r="H27" s="14" t="s">
        <v>66</v>
      </c>
      <c r="I27" s="16">
        <v>2</v>
      </c>
      <c r="J27" s="17">
        <v>1</v>
      </c>
      <c r="K27" s="14" t="s">
        <v>67</v>
      </c>
      <c r="L27" s="14" t="s">
        <v>68</v>
      </c>
      <c r="M27" s="14"/>
      <c r="N27" s="14"/>
      <c r="O27" s="15"/>
      <c r="P27" s="18">
        <v>2</v>
      </c>
      <c r="Q27" s="19">
        <v>0</v>
      </c>
      <c r="R27" s="19">
        <v>0</v>
      </c>
      <c r="S27" s="19">
        <v>0</v>
      </c>
      <c r="T27" s="19">
        <v>0</v>
      </c>
      <c r="U27" s="14" t="s">
        <v>69</v>
      </c>
      <c r="V27" s="14" t="s">
        <v>69</v>
      </c>
      <c r="W27" s="14" t="s">
        <v>69</v>
      </c>
      <c r="X27" s="14" t="s">
        <v>69</v>
      </c>
      <c r="Y27" s="14" t="s">
        <v>69</v>
      </c>
      <c r="AM27">
        <f>COUNTIF(P27:T27,"&gt;0")</f>
      </c>
      <c r="AN27">
        <f>COUNTIF(P27,"&gt;0")</f>
      </c>
      <c r="AO27">
        <f>COUNTIF(Q27,"&gt;0")</f>
      </c>
      <c r="AP27">
        <f>COUNTIF(R27,"&gt;0")</f>
      </c>
      <c r="AQ27">
        <f>COUNTIF(S27,"&gt;0")</f>
      </c>
      <c r="AR27">
        <f>COUNTIF(T27,"&gt;0")</f>
      </c>
      <c r="AX27" t="s">
        <v>60</v>
      </c>
      <c r="AY27" t="s">
        <v>99</v>
      </c>
    </row>
    <row r="28" ht="18" customHeight="1" spans="1:51" x14ac:dyDescent="0.25">
      <c r="A28" s="14"/>
      <c r="B28" s="14"/>
      <c r="C28" s="14"/>
      <c r="D28" s="14"/>
      <c r="E28" s="14"/>
      <c r="F28" s="15"/>
      <c r="G28" s="15"/>
      <c r="H28" s="14" t="s">
        <v>71</v>
      </c>
      <c r="I28" s="16"/>
      <c r="J28" s="17"/>
      <c r="K28" s="14"/>
      <c r="L28" s="14"/>
      <c r="M28" s="14"/>
      <c r="N28" s="14"/>
      <c r="O28" s="15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1" t="s">
        <v>69</v>
      </c>
      <c r="V28" s="21" t="s">
        <v>69</v>
      </c>
      <c r="W28" s="21" t="s">
        <v>69</v>
      </c>
      <c r="X28" s="21" t="s">
        <v>69</v>
      </c>
      <c r="Y28" s="21" t="s">
        <v>69</v>
      </c>
      <c r="AL28">
        <f>COUNTIF(P28:T28,"&gt;0")</f>
      </c>
      <c r="AS28">
        <f>COUNTIF(P28,"&gt;0")</f>
      </c>
      <c r="AT28">
        <f>COUNTIF(Q28,"&gt;0")</f>
      </c>
      <c r="AU28">
        <f>COUNTIF(R28,"&gt;0")</f>
      </c>
      <c r="AV28">
        <f>COUNTIF(S28,"&gt;0")</f>
      </c>
      <c r="AW28">
        <f>COUNTIF(T28,"&gt;0")</f>
      </c>
      <c r="AX28" t="s">
        <v>60</v>
      </c>
      <c r="AY28" t="s">
        <v>99</v>
      </c>
    </row>
    <row r="29" ht="28" customHeight="1" spans="1:51" x14ac:dyDescent="0.25">
      <c r="A29" s="14"/>
      <c r="B29" s="14"/>
      <c r="C29" s="14"/>
      <c r="D29" s="14"/>
      <c r="E29" s="14"/>
      <c r="F29" s="15" t="s">
        <v>100</v>
      </c>
      <c r="G29" s="15" t="s">
        <v>101</v>
      </c>
      <c r="H29" s="14" t="s">
        <v>66</v>
      </c>
      <c r="I29" s="16">
        <v>2</v>
      </c>
      <c r="J29" s="17">
        <v>1</v>
      </c>
      <c r="K29" s="14" t="s">
        <v>67</v>
      </c>
      <c r="L29" s="14" t="s">
        <v>68</v>
      </c>
      <c r="M29" s="14"/>
      <c r="N29" s="14"/>
      <c r="O29" s="15"/>
      <c r="P29" s="19">
        <v>0</v>
      </c>
      <c r="Q29" s="18">
        <v>2</v>
      </c>
      <c r="R29" s="19">
        <v>0</v>
      </c>
      <c r="S29" s="19">
        <v>0</v>
      </c>
      <c r="T29" s="19">
        <v>0</v>
      </c>
      <c r="U29" s="14" t="s">
        <v>69</v>
      </c>
      <c r="V29" s="14" t="s">
        <v>69</v>
      </c>
      <c r="W29" s="14" t="s">
        <v>69</v>
      </c>
      <c r="X29" s="14" t="s">
        <v>69</v>
      </c>
      <c r="Y29" s="14" t="s">
        <v>69</v>
      </c>
      <c r="AM29">
        <f>COUNTIF(P29:T29,"&gt;0")</f>
      </c>
      <c r="AN29">
        <f>COUNTIF(P29,"&gt;0")</f>
      </c>
      <c r="AO29">
        <f>COUNTIF(Q29,"&gt;0")</f>
      </c>
      <c r="AP29">
        <f>COUNTIF(R29,"&gt;0")</f>
      </c>
      <c r="AQ29">
        <f>COUNTIF(S29,"&gt;0")</f>
      </c>
      <c r="AR29">
        <f>COUNTIF(T29,"&gt;0")</f>
      </c>
      <c r="AX29" t="s">
        <v>60</v>
      </c>
      <c r="AY29" t="s">
        <v>102</v>
      </c>
    </row>
    <row r="30" ht="18" customHeight="1" spans="1:51" x14ac:dyDescent="0.25">
      <c r="A30" s="14"/>
      <c r="B30" s="14"/>
      <c r="C30" s="14"/>
      <c r="D30" s="14"/>
      <c r="E30" s="14"/>
      <c r="F30" s="15"/>
      <c r="G30" s="15"/>
      <c r="H30" s="14" t="s">
        <v>71</v>
      </c>
      <c r="I30" s="16"/>
      <c r="J30" s="17"/>
      <c r="K30" s="14"/>
      <c r="L30" s="14"/>
      <c r="M30" s="14"/>
      <c r="N30" s="14"/>
      <c r="O30" s="15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1" t="s">
        <v>69</v>
      </c>
      <c r="V30" s="21" t="s">
        <v>69</v>
      </c>
      <c r="W30" s="21" t="s">
        <v>69</v>
      </c>
      <c r="X30" s="21" t="s">
        <v>69</v>
      </c>
      <c r="Y30" s="21" t="s">
        <v>69</v>
      </c>
      <c r="AL30">
        <f>COUNTIF(P30:T30,"&gt;0")</f>
      </c>
      <c r="AS30">
        <f>COUNTIF(P30,"&gt;0")</f>
      </c>
      <c r="AT30">
        <f>COUNTIF(Q30,"&gt;0")</f>
      </c>
      <c r="AU30">
        <f>COUNTIF(R30,"&gt;0")</f>
      </c>
      <c r="AV30">
        <f>COUNTIF(S30,"&gt;0")</f>
      </c>
      <c r="AW30">
        <f>COUNTIF(T30,"&gt;0")</f>
      </c>
      <c r="AX30" t="s">
        <v>60</v>
      </c>
      <c r="AY30" t="s">
        <v>102</v>
      </c>
    </row>
    <row r="31" ht="28" customHeight="1" spans="1:51" x14ac:dyDescent="0.25">
      <c r="A31" s="14"/>
      <c r="B31" s="14"/>
      <c r="C31" s="14"/>
      <c r="D31" s="14"/>
      <c r="E31" s="14"/>
      <c r="F31" s="15" t="s">
        <v>103</v>
      </c>
      <c r="G31" s="15" t="s">
        <v>104</v>
      </c>
      <c r="H31" s="14" t="s">
        <v>66</v>
      </c>
      <c r="I31" s="16">
        <v>2</v>
      </c>
      <c r="J31" s="17">
        <v>1</v>
      </c>
      <c r="K31" s="14" t="s">
        <v>67</v>
      </c>
      <c r="L31" s="14" t="s">
        <v>68</v>
      </c>
      <c r="M31" s="14"/>
      <c r="N31" s="14"/>
      <c r="O31" s="15"/>
      <c r="P31" s="19">
        <v>0</v>
      </c>
      <c r="Q31" s="19">
        <v>0</v>
      </c>
      <c r="R31" s="18">
        <v>2</v>
      </c>
      <c r="S31" s="19">
        <v>0</v>
      </c>
      <c r="T31" s="19">
        <v>0</v>
      </c>
      <c r="U31" s="14" t="s">
        <v>69</v>
      </c>
      <c r="V31" s="14" t="s">
        <v>69</v>
      </c>
      <c r="W31" s="14" t="s">
        <v>69</v>
      </c>
      <c r="X31" s="14" t="s">
        <v>69</v>
      </c>
      <c r="Y31" s="14" t="s">
        <v>69</v>
      </c>
      <c r="AM31">
        <f>COUNTIF(P31:T31,"&gt;0")</f>
      </c>
      <c r="AN31">
        <f>COUNTIF(P31,"&gt;0")</f>
      </c>
      <c r="AO31">
        <f>COUNTIF(Q31,"&gt;0")</f>
      </c>
      <c r="AP31">
        <f>COUNTIF(R31,"&gt;0")</f>
      </c>
      <c r="AQ31">
        <f>COUNTIF(S31,"&gt;0")</f>
      </c>
      <c r="AR31">
        <f>COUNTIF(T31,"&gt;0")</f>
      </c>
      <c r="AX31" t="s">
        <v>60</v>
      </c>
      <c r="AY31" t="s">
        <v>105</v>
      </c>
    </row>
    <row r="32" ht="18" customHeight="1" spans="1:51" x14ac:dyDescent="0.25">
      <c r="A32" s="14"/>
      <c r="B32" s="14"/>
      <c r="C32" s="14"/>
      <c r="D32" s="14"/>
      <c r="E32" s="14"/>
      <c r="F32" s="15"/>
      <c r="G32" s="15"/>
      <c r="H32" s="14" t="s">
        <v>71</v>
      </c>
      <c r="I32" s="16"/>
      <c r="J32" s="17"/>
      <c r="K32" s="14"/>
      <c r="L32" s="14"/>
      <c r="M32" s="14"/>
      <c r="N32" s="14"/>
      <c r="O32" s="15"/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1" t="s">
        <v>69</v>
      </c>
      <c r="V32" s="21" t="s">
        <v>69</v>
      </c>
      <c r="W32" s="21" t="s">
        <v>69</v>
      </c>
      <c r="X32" s="21" t="s">
        <v>69</v>
      </c>
      <c r="Y32" s="21" t="s">
        <v>69</v>
      </c>
      <c r="AL32">
        <f>COUNTIF(P32:T32,"&gt;0")</f>
      </c>
      <c r="AS32">
        <f>COUNTIF(P32,"&gt;0")</f>
      </c>
      <c r="AT32">
        <f>COUNTIF(Q32,"&gt;0")</f>
      </c>
      <c r="AU32">
        <f>COUNTIF(R32,"&gt;0")</f>
      </c>
      <c r="AV32">
        <f>COUNTIF(S32,"&gt;0")</f>
      </c>
      <c r="AW32">
        <f>COUNTIF(T32,"&gt;0")</f>
      </c>
      <c r="AX32" t="s">
        <v>60</v>
      </c>
      <c r="AY32" t="s">
        <v>105</v>
      </c>
    </row>
    <row r="33" ht="28" customHeight="1" spans="1:51" x14ac:dyDescent="0.25">
      <c r="A33" s="14"/>
      <c r="B33" s="14"/>
      <c r="C33" s="14"/>
      <c r="D33" s="14"/>
      <c r="E33" s="14"/>
      <c r="F33" s="15" t="s">
        <v>106</v>
      </c>
      <c r="G33" s="15" t="s">
        <v>107</v>
      </c>
      <c r="H33" s="14" t="s">
        <v>66</v>
      </c>
      <c r="I33" s="16">
        <v>2</v>
      </c>
      <c r="J33" s="17">
        <v>1</v>
      </c>
      <c r="K33" s="14" t="s">
        <v>67</v>
      </c>
      <c r="L33" s="14" t="s">
        <v>68</v>
      </c>
      <c r="M33" s="14"/>
      <c r="N33" s="14"/>
      <c r="O33" s="15"/>
      <c r="P33" s="19">
        <v>0</v>
      </c>
      <c r="Q33" s="19">
        <v>0</v>
      </c>
      <c r="R33" s="19">
        <v>0</v>
      </c>
      <c r="S33" s="18">
        <v>2</v>
      </c>
      <c r="T33" s="19">
        <v>0</v>
      </c>
      <c r="U33" s="14" t="s">
        <v>69</v>
      </c>
      <c r="V33" s="14" t="s">
        <v>69</v>
      </c>
      <c r="W33" s="14" t="s">
        <v>69</v>
      </c>
      <c r="X33" s="14" t="s">
        <v>69</v>
      </c>
      <c r="Y33" s="14" t="s">
        <v>69</v>
      </c>
      <c r="AM33">
        <f>COUNTIF(P33:T33,"&gt;0")</f>
      </c>
      <c r="AN33">
        <f>COUNTIF(P33,"&gt;0")</f>
      </c>
      <c r="AO33">
        <f>COUNTIF(Q33,"&gt;0")</f>
      </c>
      <c r="AP33">
        <f>COUNTIF(R33,"&gt;0")</f>
      </c>
      <c r="AQ33">
        <f>COUNTIF(S33,"&gt;0")</f>
      </c>
      <c r="AR33">
        <f>COUNTIF(T33,"&gt;0")</f>
      </c>
      <c r="AX33" t="s">
        <v>60</v>
      </c>
      <c r="AY33" t="s">
        <v>108</v>
      </c>
    </row>
    <row r="34" ht="18" customHeight="1" spans="1:51" x14ac:dyDescent="0.25">
      <c r="A34" s="14"/>
      <c r="B34" s="14"/>
      <c r="C34" s="14"/>
      <c r="D34" s="14"/>
      <c r="E34" s="14"/>
      <c r="F34" s="15"/>
      <c r="G34" s="15"/>
      <c r="H34" s="14" t="s">
        <v>71</v>
      </c>
      <c r="I34" s="16"/>
      <c r="J34" s="17"/>
      <c r="K34" s="14"/>
      <c r="L34" s="14"/>
      <c r="M34" s="14"/>
      <c r="N34" s="14"/>
      <c r="O34" s="15"/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1" t="s">
        <v>69</v>
      </c>
      <c r="V34" s="21" t="s">
        <v>69</v>
      </c>
      <c r="W34" s="21" t="s">
        <v>69</v>
      </c>
      <c r="X34" s="21" t="s">
        <v>69</v>
      </c>
      <c r="Y34" s="21" t="s">
        <v>69</v>
      </c>
      <c r="AL34">
        <f>COUNTIF(P34:T34,"&gt;0")</f>
      </c>
      <c r="AS34">
        <f>COUNTIF(P34,"&gt;0")</f>
      </c>
      <c r="AT34">
        <f>COUNTIF(Q34,"&gt;0")</f>
      </c>
      <c r="AU34">
        <f>COUNTIF(R34,"&gt;0")</f>
      </c>
      <c r="AV34">
        <f>COUNTIF(S34,"&gt;0")</f>
      </c>
      <c r="AW34">
        <f>COUNTIF(T34,"&gt;0")</f>
      </c>
      <c r="AX34" t="s">
        <v>60</v>
      </c>
      <c r="AY34" t="s">
        <v>108</v>
      </c>
    </row>
    <row r="35" ht="28" customHeight="1" spans="1:51" x14ac:dyDescent="0.25">
      <c r="A35" s="14"/>
      <c r="B35" s="14"/>
      <c r="C35" s="14"/>
      <c r="D35" s="14"/>
      <c r="E35" s="14"/>
      <c r="F35" s="15" t="s">
        <v>109</v>
      </c>
      <c r="G35" s="15" t="s">
        <v>110</v>
      </c>
      <c r="H35" s="14" t="s">
        <v>66</v>
      </c>
      <c r="I35" s="16">
        <v>2</v>
      </c>
      <c r="J35" s="17">
        <v>1</v>
      </c>
      <c r="K35" s="14" t="s">
        <v>67</v>
      </c>
      <c r="L35" s="14" t="s">
        <v>68</v>
      </c>
      <c r="M35" s="14"/>
      <c r="N35" s="14"/>
      <c r="O35" s="15"/>
      <c r="P35" s="19">
        <v>0</v>
      </c>
      <c r="Q35" s="19">
        <v>0</v>
      </c>
      <c r="R35" s="19">
        <v>0</v>
      </c>
      <c r="S35" s="19">
        <v>0</v>
      </c>
      <c r="T35" s="18">
        <v>2</v>
      </c>
      <c r="U35" s="14" t="s">
        <v>69</v>
      </c>
      <c r="V35" s="14" t="s">
        <v>69</v>
      </c>
      <c r="W35" s="14" t="s">
        <v>69</v>
      </c>
      <c r="X35" s="14" t="s">
        <v>69</v>
      </c>
      <c r="Y35" s="14" t="s">
        <v>69</v>
      </c>
      <c r="AM35">
        <f>COUNTIF(P35:T35,"&gt;0")</f>
      </c>
      <c r="AN35">
        <f>COUNTIF(P35,"&gt;0")</f>
      </c>
      <c r="AO35">
        <f>COUNTIF(Q35,"&gt;0")</f>
      </c>
      <c r="AP35">
        <f>COUNTIF(R35,"&gt;0")</f>
      </c>
      <c r="AQ35">
        <f>COUNTIF(S35,"&gt;0")</f>
      </c>
      <c r="AR35">
        <f>COUNTIF(T35,"&gt;0")</f>
      </c>
      <c r="AX35" t="s">
        <v>60</v>
      </c>
      <c r="AY35" t="s">
        <v>111</v>
      </c>
    </row>
    <row r="36" ht="18" customHeight="1" spans="1:51" x14ac:dyDescent="0.25">
      <c r="A36" s="14"/>
      <c r="B36" s="14"/>
      <c r="C36" s="14"/>
      <c r="D36" s="14"/>
      <c r="E36" s="14"/>
      <c r="F36" s="15"/>
      <c r="G36" s="15"/>
      <c r="H36" s="14" t="s">
        <v>71</v>
      </c>
      <c r="I36" s="16"/>
      <c r="J36" s="17"/>
      <c r="K36" s="14"/>
      <c r="L36" s="14"/>
      <c r="M36" s="14"/>
      <c r="N36" s="14"/>
      <c r="O36" s="15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1" t="s">
        <v>69</v>
      </c>
      <c r="V36" s="21" t="s">
        <v>69</v>
      </c>
      <c r="W36" s="21" t="s">
        <v>69</v>
      </c>
      <c r="X36" s="21" t="s">
        <v>69</v>
      </c>
      <c r="Y36" s="21" t="s">
        <v>69</v>
      </c>
      <c r="AL36">
        <f>COUNTIF(P36:T36,"&gt;0")</f>
      </c>
      <c r="AS36">
        <f>COUNTIF(P36,"&gt;0")</f>
      </c>
      <c r="AT36">
        <f>COUNTIF(Q36,"&gt;0")</f>
      </c>
      <c r="AU36">
        <f>COUNTIF(R36,"&gt;0")</f>
      </c>
      <c r="AV36">
        <f>COUNTIF(S36,"&gt;0")</f>
      </c>
      <c r="AW36">
        <f>COUNTIF(T36,"&gt;0")</f>
      </c>
      <c r="AX36" t="s">
        <v>60</v>
      </c>
      <c r="AY36" t="s">
        <v>111</v>
      </c>
    </row>
    <row r="37" ht="28" customHeight="1" spans="1:51" x14ac:dyDescent="0.25">
      <c r="A37" s="14"/>
      <c r="B37" s="14"/>
      <c r="C37" s="14"/>
      <c r="D37" s="14"/>
      <c r="E37" s="14"/>
      <c r="F37" s="15" t="s">
        <v>112</v>
      </c>
      <c r="G37" s="15" t="s">
        <v>113</v>
      </c>
      <c r="H37" s="14" t="s">
        <v>66</v>
      </c>
      <c r="I37" s="16">
        <v>2</v>
      </c>
      <c r="J37" s="17">
        <v>1</v>
      </c>
      <c r="K37" s="14" t="s">
        <v>67</v>
      </c>
      <c r="L37" s="14" t="s">
        <v>68</v>
      </c>
      <c r="M37" s="14"/>
      <c r="N37" s="14"/>
      <c r="O37" s="15"/>
      <c r="P37" s="18">
        <v>2</v>
      </c>
      <c r="Q37" s="19">
        <v>0</v>
      </c>
      <c r="R37" s="19">
        <v>0</v>
      </c>
      <c r="S37" s="19">
        <v>0</v>
      </c>
      <c r="T37" s="19">
        <v>0</v>
      </c>
      <c r="U37" s="14" t="s">
        <v>69</v>
      </c>
      <c r="V37" s="14" t="s">
        <v>69</v>
      </c>
      <c r="W37" s="14" t="s">
        <v>69</v>
      </c>
      <c r="X37" s="14" t="s">
        <v>69</v>
      </c>
      <c r="Y37" s="14" t="s">
        <v>69</v>
      </c>
      <c r="AM37">
        <f>COUNTIF(P37:T37,"&gt;0")</f>
      </c>
      <c r="AN37">
        <f>COUNTIF(P37,"&gt;0")</f>
      </c>
      <c r="AO37">
        <f>COUNTIF(Q37,"&gt;0")</f>
      </c>
      <c r="AP37">
        <f>COUNTIF(R37,"&gt;0")</f>
      </c>
      <c r="AQ37">
        <f>COUNTIF(S37,"&gt;0")</f>
      </c>
      <c r="AR37">
        <f>COUNTIF(T37,"&gt;0")</f>
      </c>
      <c r="AX37" t="s">
        <v>60</v>
      </c>
      <c r="AY37" t="s">
        <v>114</v>
      </c>
    </row>
    <row r="38" ht="18" customHeight="1" spans="1:51" x14ac:dyDescent="0.25">
      <c r="A38" s="14"/>
      <c r="B38" s="14"/>
      <c r="C38" s="14"/>
      <c r="D38" s="14"/>
      <c r="E38" s="14"/>
      <c r="F38" s="15"/>
      <c r="G38" s="15"/>
      <c r="H38" s="14" t="s">
        <v>71</v>
      </c>
      <c r="I38" s="16"/>
      <c r="J38" s="17"/>
      <c r="K38" s="14"/>
      <c r="L38" s="14"/>
      <c r="M38" s="14"/>
      <c r="N38" s="14"/>
      <c r="O38" s="15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1" t="s">
        <v>69</v>
      </c>
      <c r="V38" s="21" t="s">
        <v>69</v>
      </c>
      <c r="W38" s="21" t="s">
        <v>69</v>
      </c>
      <c r="X38" s="21" t="s">
        <v>69</v>
      </c>
      <c r="Y38" s="21" t="s">
        <v>69</v>
      </c>
      <c r="AL38">
        <f>COUNTIF(P38:T38,"&gt;0")</f>
      </c>
      <c r="AS38">
        <f>COUNTIF(P38,"&gt;0")</f>
      </c>
      <c r="AT38">
        <f>COUNTIF(Q38,"&gt;0")</f>
      </c>
      <c r="AU38">
        <f>COUNTIF(R38,"&gt;0")</f>
      </c>
      <c r="AV38">
        <f>COUNTIF(S38,"&gt;0")</f>
      </c>
      <c r="AW38">
        <f>COUNTIF(T38,"&gt;0")</f>
      </c>
      <c r="AX38" t="s">
        <v>60</v>
      </c>
      <c r="AY38" t="s">
        <v>114</v>
      </c>
    </row>
    <row r="39" ht="28" customHeight="1" spans="1:51" x14ac:dyDescent="0.25">
      <c r="A39" s="14"/>
      <c r="B39" s="14" t="s">
        <v>115</v>
      </c>
      <c r="C39" s="14" t="s">
        <v>116</v>
      </c>
      <c r="D39" s="14" t="s">
        <v>117</v>
      </c>
      <c r="E39" s="14" t="s">
        <v>118</v>
      </c>
      <c r="F39" s="15" t="s">
        <v>119</v>
      </c>
      <c r="G39" s="15" t="s">
        <v>120</v>
      </c>
      <c r="H39" s="14" t="s">
        <v>66</v>
      </c>
      <c r="I39" s="16">
        <v>1</v>
      </c>
      <c r="J39" s="17">
        <v>1</v>
      </c>
      <c r="K39" s="14" t="s">
        <v>121</v>
      </c>
      <c r="L39" s="14" t="s">
        <v>68</v>
      </c>
      <c r="M39" s="14"/>
      <c r="N39" s="14"/>
      <c r="O39" s="15"/>
      <c r="P39" s="22">
        <v>1</v>
      </c>
      <c r="Q39" s="22">
        <v>1</v>
      </c>
      <c r="R39" s="22">
        <v>1</v>
      </c>
      <c r="S39" s="22">
        <v>1</v>
      </c>
      <c r="T39" s="22">
        <v>1</v>
      </c>
      <c r="U39" s="14" t="s">
        <v>69</v>
      </c>
      <c r="V39" s="14" t="s">
        <v>69</v>
      </c>
      <c r="W39" s="14" t="s">
        <v>69</v>
      </c>
      <c r="X39" s="14" t="s">
        <v>69</v>
      </c>
      <c r="Y39" s="14" t="s">
        <v>69</v>
      </c>
      <c r="AM39">
        <f>COUNTIF(P39:T39,"&gt;0")</f>
      </c>
      <c r="AN39">
        <f>COUNTIF(P39,"&gt;0")</f>
      </c>
      <c r="AO39">
        <f>COUNTIF(Q39,"&gt;0")</f>
      </c>
      <c r="AP39">
        <f>COUNTIF(R39,"&gt;0")</f>
      </c>
      <c r="AQ39">
        <f>COUNTIF(S39,"&gt;0")</f>
      </c>
      <c r="AR39">
        <f>COUNTIF(T39,"&gt;0")</f>
      </c>
      <c r="AX39" t="s">
        <v>115</v>
      </c>
      <c r="AY39" t="s">
        <v>122</v>
      </c>
    </row>
    <row r="40" ht="18" customHeight="1" spans="1:51" x14ac:dyDescent="0.25">
      <c r="A40" s="14"/>
      <c r="B40" s="14"/>
      <c r="C40" s="14"/>
      <c r="D40" s="14"/>
      <c r="E40" s="14"/>
      <c r="F40" s="15"/>
      <c r="G40" s="15"/>
      <c r="H40" s="14" t="s">
        <v>71</v>
      </c>
      <c r="I40" s="16"/>
      <c r="J40" s="17"/>
      <c r="K40" s="14"/>
      <c r="L40" s="14"/>
      <c r="M40" s="14"/>
      <c r="N40" s="14"/>
      <c r="O40" s="15"/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1" t="s">
        <v>69</v>
      </c>
      <c r="V40" s="21" t="s">
        <v>69</v>
      </c>
      <c r="W40" s="21" t="s">
        <v>69</v>
      </c>
      <c r="X40" s="21" t="s">
        <v>69</v>
      </c>
      <c r="Y40" s="21" t="s">
        <v>69</v>
      </c>
      <c r="AL40">
        <f>COUNTIF(P40:T40,"&gt;0")</f>
      </c>
      <c r="AS40">
        <f>COUNTIF(P40,"&gt;0")</f>
      </c>
      <c r="AT40">
        <f>COUNTIF(Q40,"&gt;0")</f>
      </c>
      <c r="AU40">
        <f>COUNTIF(R40,"&gt;0")</f>
      </c>
      <c r="AV40">
        <f>COUNTIF(S40,"&gt;0")</f>
      </c>
      <c r="AW40">
        <f>COUNTIF(T40,"&gt;0")</f>
      </c>
      <c r="AX40" t="s">
        <v>115</v>
      </c>
      <c r="AY40" t="s">
        <v>122</v>
      </c>
    </row>
    <row r="41" ht="28" customHeight="1" spans="1:51" x14ac:dyDescent="0.25">
      <c r="A41" s="14"/>
      <c r="B41" s="14"/>
      <c r="C41" s="14"/>
      <c r="D41" s="14"/>
      <c r="E41" s="14"/>
      <c r="F41" s="15" t="s">
        <v>123</v>
      </c>
      <c r="G41" s="15" t="s">
        <v>124</v>
      </c>
      <c r="H41" s="14" t="s">
        <v>66</v>
      </c>
      <c r="I41" s="16">
        <v>1</v>
      </c>
      <c r="J41" s="17">
        <v>1</v>
      </c>
      <c r="K41" s="14" t="s">
        <v>121</v>
      </c>
      <c r="L41" s="14" t="s">
        <v>68</v>
      </c>
      <c r="M41" s="14"/>
      <c r="N41" s="14"/>
      <c r="O41" s="15"/>
      <c r="P41" s="22">
        <v>1</v>
      </c>
      <c r="Q41" s="22">
        <v>1</v>
      </c>
      <c r="R41" s="22">
        <v>1</v>
      </c>
      <c r="S41" s="22">
        <v>1</v>
      </c>
      <c r="T41" s="22">
        <v>1</v>
      </c>
      <c r="U41" s="14" t="s">
        <v>69</v>
      </c>
      <c r="V41" s="14" t="s">
        <v>69</v>
      </c>
      <c r="W41" s="14" t="s">
        <v>69</v>
      </c>
      <c r="X41" s="14" t="s">
        <v>69</v>
      </c>
      <c r="Y41" s="14" t="s">
        <v>69</v>
      </c>
      <c r="AM41">
        <f>COUNTIF(P41:T41,"&gt;0")</f>
      </c>
      <c r="AN41">
        <f>COUNTIF(P41,"&gt;0")</f>
      </c>
      <c r="AO41">
        <f>COUNTIF(Q41,"&gt;0")</f>
      </c>
      <c r="AP41">
        <f>COUNTIF(R41,"&gt;0")</f>
      </c>
      <c r="AQ41">
        <f>COUNTIF(S41,"&gt;0")</f>
      </c>
      <c r="AR41">
        <f>COUNTIF(T41,"&gt;0")</f>
      </c>
      <c r="AX41" t="s">
        <v>115</v>
      </c>
      <c r="AY41" t="s">
        <v>125</v>
      </c>
    </row>
    <row r="42" ht="18" customHeight="1" spans="1:51" x14ac:dyDescent="0.25">
      <c r="A42" s="14"/>
      <c r="B42" s="14"/>
      <c r="C42" s="14"/>
      <c r="D42" s="14"/>
      <c r="E42" s="14"/>
      <c r="F42" s="15"/>
      <c r="G42" s="15"/>
      <c r="H42" s="14" t="s">
        <v>71</v>
      </c>
      <c r="I42" s="16"/>
      <c r="J42" s="17"/>
      <c r="K42" s="14"/>
      <c r="L42" s="14"/>
      <c r="M42" s="14"/>
      <c r="N42" s="14"/>
      <c r="O42" s="15"/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1" t="s">
        <v>69</v>
      </c>
      <c r="V42" s="21" t="s">
        <v>69</v>
      </c>
      <c r="W42" s="21" t="s">
        <v>69</v>
      </c>
      <c r="X42" s="21" t="s">
        <v>69</v>
      </c>
      <c r="Y42" s="21" t="s">
        <v>69</v>
      </c>
      <c r="AL42">
        <f>COUNTIF(P42:T42,"&gt;0")</f>
      </c>
      <c r="AS42">
        <f>COUNTIF(P42,"&gt;0")</f>
      </c>
      <c r="AT42">
        <f>COUNTIF(Q42,"&gt;0")</f>
      </c>
      <c r="AU42">
        <f>COUNTIF(R42,"&gt;0")</f>
      </c>
      <c r="AV42">
        <f>COUNTIF(S42,"&gt;0")</f>
      </c>
      <c r="AW42">
        <f>COUNTIF(T42,"&gt;0")</f>
      </c>
      <c r="AX42" t="s">
        <v>115</v>
      </c>
      <c r="AY42" t="s">
        <v>125</v>
      </c>
    </row>
    <row r="43" ht="28" customHeight="1" spans="1:51" x14ac:dyDescent="0.25">
      <c r="A43" s="14"/>
      <c r="B43" s="14"/>
      <c r="C43" s="14"/>
      <c r="D43" s="14"/>
      <c r="E43" s="14"/>
      <c r="F43" s="15" t="s">
        <v>126</v>
      </c>
      <c r="G43" s="15" t="s">
        <v>127</v>
      </c>
      <c r="H43" s="14" t="s">
        <v>66</v>
      </c>
      <c r="I43" s="16">
        <v>1</v>
      </c>
      <c r="J43" s="17">
        <v>1</v>
      </c>
      <c r="K43" s="14" t="s">
        <v>121</v>
      </c>
      <c r="L43" s="14" t="s">
        <v>68</v>
      </c>
      <c r="M43" s="14"/>
      <c r="N43" s="14"/>
      <c r="O43" s="15"/>
      <c r="P43" s="22">
        <v>1</v>
      </c>
      <c r="Q43" s="22">
        <v>1</v>
      </c>
      <c r="R43" s="22">
        <v>1</v>
      </c>
      <c r="S43" s="22">
        <v>1</v>
      </c>
      <c r="T43" s="22">
        <v>1</v>
      </c>
      <c r="U43" s="14" t="s">
        <v>69</v>
      </c>
      <c r="V43" s="14" t="s">
        <v>69</v>
      </c>
      <c r="W43" s="14" t="s">
        <v>69</v>
      </c>
      <c r="X43" s="14" t="s">
        <v>69</v>
      </c>
      <c r="Y43" s="14" t="s">
        <v>69</v>
      </c>
      <c r="AM43">
        <f>COUNTIF(P43:T43,"&gt;0")</f>
      </c>
      <c r="AN43">
        <f>COUNTIF(P43,"&gt;0")</f>
      </c>
      <c r="AO43">
        <f>COUNTIF(Q43,"&gt;0")</f>
      </c>
      <c r="AP43">
        <f>COUNTIF(R43,"&gt;0")</f>
      </c>
      <c r="AQ43">
        <f>COUNTIF(S43,"&gt;0")</f>
      </c>
      <c r="AR43">
        <f>COUNTIF(T43,"&gt;0")</f>
      </c>
      <c r="AX43" t="s">
        <v>115</v>
      </c>
      <c r="AY43" t="s">
        <v>128</v>
      </c>
    </row>
    <row r="44" ht="18" customHeight="1" spans="1:51" x14ac:dyDescent="0.25">
      <c r="A44" s="14"/>
      <c r="B44" s="14"/>
      <c r="C44" s="14"/>
      <c r="D44" s="14"/>
      <c r="E44" s="14"/>
      <c r="F44" s="15"/>
      <c r="G44" s="15"/>
      <c r="H44" s="14" t="s">
        <v>71</v>
      </c>
      <c r="I44" s="16"/>
      <c r="J44" s="17"/>
      <c r="K44" s="14"/>
      <c r="L44" s="14"/>
      <c r="M44" s="14"/>
      <c r="N44" s="14"/>
      <c r="O44" s="15"/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1" t="s">
        <v>69</v>
      </c>
      <c r="V44" s="21" t="s">
        <v>69</v>
      </c>
      <c r="W44" s="21" t="s">
        <v>69</v>
      </c>
      <c r="X44" s="21" t="s">
        <v>69</v>
      </c>
      <c r="Y44" s="21" t="s">
        <v>69</v>
      </c>
      <c r="AL44">
        <f>COUNTIF(P44:T44,"&gt;0")</f>
      </c>
      <c r="AS44">
        <f>COUNTIF(P44,"&gt;0")</f>
      </c>
      <c r="AT44">
        <f>COUNTIF(Q44,"&gt;0")</f>
      </c>
      <c r="AU44">
        <f>COUNTIF(R44,"&gt;0")</f>
      </c>
      <c r="AV44">
        <f>COUNTIF(S44,"&gt;0")</f>
      </c>
      <c r="AW44">
        <f>COUNTIF(T44,"&gt;0")</f>
      </c>
      <c r="AX44" t="s">
        <v>115</v>
      </c>
      <c r="AY44" t="s">
        <v>128</v>
      </c>
    </row>
    <row r="45" ht="28" customHeight="1" spans="1:51" x14ac:dyDescent="0.25">
      <c r="A45" s="14"/>
      <c r="B45" s="14"/>
      <c r="C45" s="14"/>
      <c r="D45" s="14"/>
      <c r="E45" s="14"/>
      <c r="F45" s="15" t="s">
        <v>126</v>
      </c>
      <c r="G45" s="15" t="s">
        <v>129</v>
      </c>
      <c r="H45" s="14" t="s">
        <v>66</v>
      </c>
      <c r="I45" s="16">
        <v>1</v>
      </c>
      <c r="J45" s="17">
        <v>1</v>
      </c>
      <c r="K45" s="14" t="s">
        <v>121</v>
      </c>
      <c r="L45" s="14" t="s">
        <v>68</v>
      </c>
      <c r="M45" s="14"/>
      <c r="N45" s="14"/>
      <c r="O45" s="15"/>
      <c r="P45" s="22">
        <v>1</v>
      </c>
      <c r="Q45" s="22">
        <v>1</v>
      </c>
      <c r="R45" s="22">
        <v>1</v>
      </c>
      <c r="S45" s="22">
        <v>1</v>
      </c>
      <c r="T45" s="22">
        <v>1</v>
      </c>
      <c r="U45" s="14" t="s">
        <v>69</v>
      </c>
      <c r="V45" s="14" t="s">
        <v>69</v>
      </c>
      <c r="W45" s="14" t="s">
        <v>69</v>
      </c>
      <c r="X45" s="14" t="s">
        <v>69</v>
      </c>
      <c r="Y45" s="14" t="s">
        <v>69</v>
      </c>
      <c r="AM45">
        <f>COUNTIF(P45:T45,"&gt;0")</f>
      </c>
      <c r="AN45">
        <f>COUNTIF(P45,"&gt;0")</f>
      </c>
      <c r="AO45">
        <f>COUNTIF(Q45,"&gt;0")</f>
      </c>
      <c r="AP45">
        <f>COUNTIF(R45,"&gt;0")</f>
      </c>
      <c r="AQ45">
        <f>COUNTIF(S45,"&gt;0")</f>
      </c>
      <c r="AR45">
        <f>COUNTIF(T45,"&gt;0")</f>
      </c>
      <c r="AX45" t="s">
        <v>115</v>
      </c>
      <c r="AY45" t="s">
        <v>130</v>
      </c>
    </row>
    <row r="46" ht="18" customHeight="1" spans="1:51" x14ac:dyDescent="0.25">
      <c r="A46" s="14"/>
      <c r="B46" s="14"/>
      <c r="C46" s="14"/>
      <c r="D46" s="14"/>
      <c r="E46" s="14"/>
      <c r="F46" s="15"/>
      <c r="G46" s="15"/>
      <c r="H46" s="14" t="s">
        <v>71</v>
      </c>
      <c r="I46" s="16"/>
      <c r="J46" s="17"/>
      <c r="K46" s="14"/>
      <c r="L46" s="14"/>
      <c r="M46" s="14"/>
      <c r="N46" s="14"/>
      <c r="O46" s="15"/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1" t="s">
        <v>69</v>
      </c>
      <c r="V46" s="21" t="s">
        <v>69</v>
      </c>
      <c r="W46" s="21" t="s">
        <v>69</v>
      </c>
      <c r="X46" s="21" t="s">
        <v>69</v>
      </c>
      <c r="Y46" s="21" t="s">
        <v>69</v>
      </c>
      <c r="AL46">
        <f>COUNTIF(P46:T46,"&gt;0")</f>
      </c>
      <c r="AS46">
        <f>COUNTIF(P46,"&gt;0")</f>
      </c>
      <c r="AT46">
        <f>COUNTIF(Q46,"&gt;0")</f>
      </c>
      <c r="AU46">
        <f>COUNTIF(R46,"&gt;0")</f>
      </c>
      <c r="AV46">
        <f>COUNTIF(S46,"&gt;0")</f>
      </c>
      <c r="AW46">
        <f>COUNTIF(T46,"&gt;0")</f>
      </c>
      <c r="AX46" t="s">
        <v>115</v>
      </c>
      <c r="AY46" t="s">
        <v>130</v>
      </c>
    </row>
    <row r="47" ht="28" customHeight="1" spans="1:51" x14ac:dyDescent="0.25">
      <c r="A47" s="14"/>
      <c r="B47" s="14"/>
      <c r="C47" s="14"/>
      <c r="D47" s="14"/>
      <c r="E47" s="14"/>
      <c r="F47" s="15" t="s">
        <v>126</v>
      </c>
      <c r="G47" s="15" t="s">
        <v>131</v>
      </c>
      <c r="H47" s="14" t="s">
        <v>66</v>
      </c>
      <c r="I47" s="16">
        <v>2</v>
      </c>
      <c r="J47" s="17">
        <v>1</v>
      </c>
      <c r="K47" s="14" t="s">
        <v>67</v>
      </c>
      <c r="L47" s="14" t="s">
        <v>68</v>
      </c>
      <c r="M47" s="14"/>
      <c r="N47" s="14"/>
      <c r="O47" s="15"/>
      <c r="P47" s="19">
        <v>0</v>
      </c>
      <c r="Q47" s="18">
        <v>2</v>
      </c>
      <c r="R47" s="19">
        <v>0</v>
      </c>
      <c r="S47" s="19">
        <v>0</v>
      </c>
      <c r="T47" s="19">
        <v>0</v>
      </c>
      <c r="U47" s="14" t="s">
        <v>69</v>
      </c>
      <c r="V47" s="14" t="s">
        <v>69</v>
      </c>
      <c r="W47" s="14" t="s">
        <v>69</v>
      </c>
      <c r="X47" s="14" t="s">
        <v>69</v>
      </c>
      <c r="Y47" s="14" t="s">
        <v>69</v>
      </c>
      <c r="AM47">
        <f>COUNTIF(P47:T47,"&gt;0")</f>
      </c>
      <c r="AN47">
        <f>COUNTIF(P47,"&gt;0")</f>
      </c>
      <c r="AO47">
        <f>COUNTIF(Q47,"&gt;0")</f>
      </c>
      <c r="AP47">
        <f>COUNTIF(R47,"&gt;0")</f>
      </c>
      <c r="AQ47">
        <f>COUNTIF(S47,"&gt;0")</f>
      </c>
      <c r="AR47">
        <f>COUNTIF(T47,"&gt;0")</f>
      </c>
      <c r="AX47" t="s">
        <v>115</v>
      </c>
      <c r="AY47" t="s">
        <v>132</v>
      </c>
    </row>
    <row r="48" ht="18" customHeight="1" spans="1:51" x14ac:dyDescent="0.25">
      <c r="A48" s="14"/>
      <c r="B48" s="14"/>
      <c r="C48" s="14"/>
      <c r="D48" s="14"/>
      <c r="E48" s="14"/>
      <c r="F48" s="15"/>
      <c r="G48" s="15"/>
      <c r="H48" s="14" t="s">
        <v>71</v>
      </c>
      <c r="I48" s="16"/>
      <c r="J48" s="17"/>
      <c r="K48" s="14"/>
      <c r="L48" s="14"/>
      <c r="M48" s="14"/>
      <c r="N48" s="14"/>
      <c r="O48" s="15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1" t="s">
        <v>69</v>
      </c>
      <c r="V48" s="21" t="s">
        <v>69</v>
      </c>
      <c r="W48" s="21" t="s">
        <v>69</v>
      </c>
      <c r="X48" s="21" t="s">
        <v>69</v>
      </c>
      <c r="Y48" s="21" t="s">
        <v>69</v>
      </c>
      <c r="AL48">
        <f>COUNTIF(P48:T48,"&gt;0")</f>
      </c>
      <c r="AS48">
        <f>COUNTIF(P48,"&gt;0")</f>
      </c>
      <c r="AT48">
        <f>COUNTIF(Q48,"&gt;0")</f>
      </c>
      <c r="AU48">
        <f>COUNTIF(R48,"&gt;0")</f>
      </c>
      <c r="AV48">
        <f>COUNTIF(S48,"&gt;0")</f>
      </c>
      <c r="AW48">
        <f>COUNTIF(T48,"&gt;0")</f>
      </c>
      <c r="AX48" t="s">
        <v>115</v>
      </c>
      <c r="AY48" t="s">
        <v>132</v>
      </c>
    </row>
    <row r="49" ht="28" customHeight="1" spans="1:51" x14ac:dyDescent="0.25">
      <c r="A49" s="14"/>
      <c r="B49" s="14"/>
      <c r="C49" s="14"/>
      <c r="D49" s="14"/>
      <c r="E49" s="14"/>
      <c r="F49" s="15" t="s">
        <v>126</v>
      </c>
      <c r="G49" s="15" t="s">
        <v>133</v>
      </c>
      <c r="H49" s="14" t="s">
        <v>66</v>
      </c>
      <c r="I49" s="16">
        <v>2</v>
      </c>
      <c r="J49" s="17">
        <v>1</v>
      </c>
      <c r="K49" s="14" t="s">
        <v>67</v>
      </c>
      <c r="L49" s="14" t="s">
        <v>68</v>
      </c>
      <c r="M49" s="14"/>
      <c r="N49" s="14"/>
      <c r="O49" s="15"/>
      <c r="P49" s="19">
        <v>0</v>
      </c>
      <c r="Q49" s="19">
        <v>0</v>
      </c>
      <c r="R49" s="18">
        <v>2</v>
      </c>
      <c r="S49" s="19">
        <v>0</v>
      </c>
      <c r="T49" s="19">
        <v>0</v>
      </c>
      <c r="U49" s="14" t="s">
        <v>69</v>
      </c>
      <c r="V49" s="14" t="s">
        <v>69</v>
      </c>
      <c r="W49" s="14" t="s">
        <v>69</v>
      </c>
      <c r="X49" s="14" t="s">
        <v>69</v>
      </c>
      <c r="Y49" s="14" t="s">
        <v>69</v>
      </c>
      <c r="AM49">
        <f>COUNTIF(P49:T49,"&gt;0")</f>
      </c>
      <c r="AN49">
        <f>COUNTIF(P49,"&gt;0")</f>
      </c>
      <c r="AO49">
        <f>COUNTIF(Q49,"&gt;0")</f>
      </c>
      <c r="AP49">
        <f>COUNTIF(R49,"&gt;0")</f>
      </c>
      <c r="AQ49">
        <f>COUNTIF(S49,"&gt;0")</f>
      </c>
      <c r="AR49">
        <f>COUNTIF(T49,"&gt;0")</f>
      </c>
      <c r="AX49" t="s">
        <v>115</v>
      </c>
      <c r="AY49" t="s">
        <v>134</v>
      </c>
    </row>
    <row r="50" ht="18" customHeight="1" spans="1:51" x14ac:dyDescent="0.25">
      <c r="A50" s="14"/>
      <c r="B50" s="14"/>
      <c r="C50" s="14"/>
      <c r="D50" s="14"/>
      <c r="E50" s="14"/>
      <c r="F50" s="15"/>
      <c r="G50" s="15"/>
      <c r="H50" s="14" t="s">
        <v>71</v>
      </c>
      <c r="I50" s="16"/>
      <c r="J50" s="17"/>
      <c r="K50" s="14"/>
      <c r="L50" s="14"/>
      <c r="M50" s="14"/>
      <c r="N50" s="14"/>
      <c r="O50" s="15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1" t="s">
        <v>69</v>
      </c>
      <c r="V50" s="21" t="s">
        <v>69</v>
      </c>
      <c r="W50" s="21" t="s">
        <v>69</v>
      </c>
      <c r="X50" s="21" t="s">
        <v>69</v>
      </c>
      <c r="Y50" s="21" t="s">
        <v>69</v>
      </c>
      <c r="AL50">
        <f>COUNTIF(P50:T50,"&gt;0")</f>
      </c>
      <c r="AS50">
        <f>COUNTIF(P50,"&gt;0")</f>
      </c>
      <c r="AT50">
        <f>COUNTIF(Q50,"&gt;0")</f>
      </c>
      <c r="AU50">
        <f>COUNTIF(R50,"&gt;0")</f>
      </c>
      <c r="AV50">
        <f>COUNTIF(S50,"&gt;0")</f>
      </c>
      <c r="AW50">
        <f>COUNTIF(T50,"&gt;0")</f>
      </c>
      <c r="AX50" t="s">
        <v>115</v>
      </c>
      <c r="AY50" t="s">
        <v>134</v>
      </c>
    </row>
    <row r="51" ht="28" customHeight="1" spans="1:51" x14ac:dyDescent="0.25">
      <c r="A51" s="14"/>
      <c r="B51" s="14"/>
      <c r="C51" s="14"/>
      <c r="D51" s="14"/>
      <c r="E51" s="14"/>
      <c r="F51" s="15" t="s">
        <v>126</v>
      </c>
      <c r="G51" s="15" t="s">
        <v>135</v>
      </c>
      <c r="H51" s="14" t="s">
        <v>66</v>
      </c>
      <c r="I51" s="16">
        <v>2</v>
      </c>
      <c r="J51" s="17">
        <v>1</v>
      </c>
      <c r="K51" s="14" t="s">
        <v>67</v>
      </c>
      <c r="L51" s="14" t="s">
        <v>68</v>
      </c>
      <c r="M51" s="14"/>
      <c r="N51" s="14"/>
      <c r="O51" s="15"/>
      <c r="P51" s="19">
        <v>0</v>
      </c>
      <c r="Q51" s="19">
        <v>0</v>
      </c>
      <c r="R51" s="19">
        <v>0</v>
      </c>
      <c r="S51" s="18">
        <v>2</v>
      </c>
      <c r="T51" s="19">
        <v>0</v>
      </c>
      <c r="U51" s="14" t="s">
        <v>69</v>
      </c>
      <c r="V51" s="14" t="s">
        <v>69</v>
      </c>
      <c r="W51" s="14" t="s">
        <v>69</v>
      </c>
      <c r="X51" s="14" t="s">
        <v>69</v>
      </c>
      <c r="Y51" s="14" t="s">
        <v>69</v>
      </c>
      <c r="AM51">
        <f>COUNTIF(P51:T51,"&gt;0")</f>
      </c>
      <c r="AN51">
        <f>COUNTIF(P51,"&gt;0")</f>
      </c>
      <c r="AO51">
        <f>COUNTIF(Q51,"&gt;0")</f>
      </c>
      <c r="AP51">
        <f>COUNTIF(R51,"&gt;0")</f>
      </c>
      <c r="AQ51">
        <f>COUNTIF(S51,"&gt;0")</f>
      </c>
      <c r="AR51">
        <f>COUNTIF(T51,"&gt;0")</f>
      </c>
      <c r="AX51" t="s">
        <v>115</v>
      </c>
      <c r="AY51" t="s">
        <v>136</v>
      </c>
    </row>
    <row r="52" ht="18" customHeight="1" spans="1:51" x14ac:dyDescent="0.25">
      <c r="A52" s="14"/>
      <c r="B52" s="14"/>
      <c r="C52" s="14"/>
      <c r="D52" s="14"/>
      <c r="E52" s="14"/>
      <c r="F52" s="15"/>
      <c r="G52" s="15"/>
      <c r="H52" s="14" t="s">
        <v>71</v>
      </c>
      <c r="I52" s="16"/>
      <c r="J52" s="17"/>
      <c r="K52" s="14"/>
      <c r="L52" s="14"/>
      <c r="M52" s="14"/>
      <c r="N52" s="14"/>
      <c r="O52" s="15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1" t="s">
        <v>69</v>
      </c>
      <c r="V52" s="21" t="s">
        <v>69</v>
      </c>
      <c r="W52" s="21" t="s">
        <v>69</v>
      </c>
      <c r="X52" s="21" t="s">
        <v>69</v>
      </c>
      <c r="Y52" s="21" t="s">
        <v>69</v>
      </c>
      <c r="AL52">
        <f>COUNTIF(P52:T52,"&gt;0")</f>
      </c>
      <c r="AS52">
        <f>COUNTIF(P52,"&gt;0")</f>
      </c>
      <c r="AT52">
        <f>COUNTIF(Q52,"&gt;0")</f>
      </c>
      <c r="AU52">
        <f>COUNTIF(R52,"&gt;0")</f>
      </c>
      <c r="AV52">
        <f>COUNTIF(S52,"&gt;0")</f>
      </c>
      <c r="AW52">
        <f>COUNTIF(T52,"&gt;0")</f>
      </c>
      <c r="AX52" t="s">
        <v>115</v>
      </c>
      <c r="AY52" t="s">
        <v>136</v>
      </c>
    </row>
    <row r="53" ht="28" customHeight="1" spans="1:51" x14ac:dyDescent="0.25">
      <c r="A53" s="14"/>
      <c r="B53" s="14"/>
      <c r="C53" s="14"/>
      <c r="D53" s="14"/>
      <c r="E53" s="14"/>
      <c r="F53" s="15" t="s">
        <v>126</v>
      </c>
      <c r="G53" s="15" t="s">
        <v>137</v>
      </c>
      <c r="H53" s="14" t="s">
        <v>66</v>
      </c>
      <c r="I53" s="16">
        <v>4</v>
      </c>
      <c r="J53" s="17">
        <v>6</v>
      </c>
      <c r="K53" s="14" t="s">
        <v>138</v>
      </c>
      <c r="L53" s="14" t="s">
        <v>68</v>
      </c>
      <c r="M53" s="14"/>
      <c r="N53" s="14"/>
      <c r="O53" s="15"/>
      <c r="P53" s="23">
        <v>4</v>
      </c>
      <c r="Q53" s="19">
        <v>0</v>
      </c>
      <c r="R53" s="19">
        <v>0</v>
      </c>
      <c r="S53" s="19">
        <v>0</v>
      </c>
      <c r="T53" s="19">
        <v>0</v>
      </c>
      <c r="U53" s="14" t="s">
        <v>69</v>
      </c>
      <c r="V53" s="14" t="s">
        <v>69</v>
      </c>
      <c r="W53" s="14" t="s">
        <v>69</v>
      </c>
      <c r="X53" s="14" t="s">
        <v>69</v>
      </c>
      <c r="Y53" s="14" t="s">
        <v>69</v>
      </c>
      <c r="AM53">
        <f>COUNTIF(P53:T53,"&gt;0")</f>
      </c>
      <c r="AN53">
        <f>COUNTIF(P53,"&gt;0")</f>
      </c>
      <c r="AO53">
        <f>COUNTIF(Q53,"&gt;0")</f>
      </c>
      <c r="AP53">
        <f>COUNTIF(R53,"&gt;0")</f>
      </c>
      <c r="AQ53">
        <f>COUNTIF(S53,"&gt;0")</f>
      </c>
      <c r="AR53">
        <f>COUNTIF(T53,"&gt;0")</f>
      </c>
      <c r="AX53" t="s">
        <v>115</v>
      </c>
      <c r="AY53" t="s">
        <v>139</v>
      </c>
    </row>
    <row r="54" ht="18" customHeight="1" spans="1:51" x14ac:dyDescent="0.25">
      <c r="A54" s="14"/>
      <c r="B54" s="14"/>
      <c r="C54" s="14"/>
      <c r="D54" s="14"/>
      <c r="E54" s="14"/>
      <c r="F54" s="15"/>
      <c r="G54" s="15"/>
      <c r="H54" s="14" t="s">
        <v>71</v>
      </c>
      <c r="I54" s="16"/>
      <c r="J54" s="17"/>
      <c r="K54" s="14"/>
      <c r="L54" s="14"/>
      <c r="M54" s="14"/>
      <c r="N54" s="14"/>
      <c r="O54" s="15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1" t="s">
        <v>69</v>
      </c>
      <c r="V54" s="21" t="s">
        <v>69</v>
      </c>
      <c r="W54" s="21" t="s">
        <v>69</v>
      </c>
      <c r="X54" s="21" t="s">
        <v>69</v>
      </c>
      <c r="Y54" s="21" t="s">
        <v>69</v>
      </c>
      <c r="AL54">
        <f>COUNTIF(P54:T54,"&gt;0")</f>
      </c>
      <c r="AS54">
        <f>COUNTIF(P54,"&gt;0")</f>
      </c>
      <c r="AT54">
        <f>COUNTIF(Q54,"&gt;0")</f>
      </c>
      <c r="AU54">
        <f>COUNTIF(R54,"&gt;0")</f>
      </c>
      <c r="AV54">
        <f>COUNTIF(S54,"&gt;0")</f>
      </c>
      <c r="AW54">
        <f>COUNTIF(T54,"&gt;0")</f>
      </c>
      <c r="AX54" t="s">
        <v>115</v>
      </c>
      <c r="AY54" t="s">
        <v>139</v>
      </c>
    </row>
    <row r="55" ht="28" customHeight="1" spans="1:51" x14ac:dyDescent="0.25">
      <c r="A55" s="14"/>
      <c r="B55" s="14"/>
      <c r="C55" s="14"/>
      <c r="D55" s="14"/>
      <c r="E55" s="14"/>
      <c r="F55" s="15" t="s">
        <v>126</v>
      </c>
      <c r="G55" s="15" t="s">
        <v>140</v>
      </c>
      <c r="H55" s="14" t="s">
        <v>66</v>
      </c>
      <c r="I55" s="16">
        <v>5</v>
      </c>
      <c r="J55" s="17">
        <v>12</v>
      </c>
      <c r="K55" s="14" t="s">
        <v>141</v>
      </c>
      <c r="L55" s="14" t="s">
        <v>68</v>
      </c>
      <c r="M55" s="14"/>
      <c r="N55" s="14"/>
      <c r="O55" s="15"/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4" t="s">
        <v>69</v>
      </c>
      <c r="V55" s="14" t="s">
        <v>69</v>
      </c>
      <c r="W55" s="14" t="s">
        <v>69</v>
      </c>
      <c r="X55" s="14" t="s">
        <v>69</v>
      </c>
      <c r="Y55" s="14" t="s">
        <v>69</v>
      </c>
      <c r="AM55">
        <f>COUNTIF(P55:T55,"&gt;0")</f>
      </c>
      <c r="AN55">
        <f>COUNTIF(P55,"&gt;0")</f>
      </c>
      <c r="AO55">
        <f>COUNTIF(Q55,"&gt;0")</f>
      </c>
      <c r="AP55">
        <f>COUNTIF(R55,"&gt;0")</f>
      </c>
      <c r="AQ55">
        <f>COUNTIF(S55,"&gt;0")</f>
      </c>
      <c r="AR55">
        <f>COUNTIF(T55,"&gt;0")</f>
      </c>
      <c r="AX55" t="s">
        <v>115</v>
      </c>
      <c r="AY55" t="s">
        <v>142</v>
      </c>
    </row>
    <row r="56" ht="18" customHeight="1" spans="1:51" x14ac:dyDescent="0.25">
      <c r="A56" s="14"/>
      <c r="B56" s="14"/>
      <c r="C56" s="14"/>
      <c r="D56" s="14"/>
      <c r="E56" s="14"/>
      <c r="F56" s="15"/>
      <c r="G56" s="15"/>
      <c r="H56" s="14" t="s">
        <v>71</v>
      </c>
      <c r="I56" s="16"/>
      <c r="J56" s="17"/>
      <c r="K56" s="14"/>
      <c r="L56" s="14"/>
      <c r="M56" s="14"/>
      <c r="N56" s="14"/>
      <c r="O56" s="15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1" t="s">
        <v>69</v>
      </c>
      <c r="V56" s="21" t="s">
        <v>69</v>
      </c>
      <c r="W56" s="21" t="s">
        <v>69</v>
      </c>
      <c r="X56" s="21" t="s">
        <v>69</v>
      </c>
      <c r="Y56" s="21" t="s">
        <v>69</v>
      </c>
      <c r="AL56">
        <f>COUNTIF(P56:T56,"&gt;0")</f>
      </c>
      <c r="AS56">
        <f>COUNTIF(P56,"&gt;0")</f>
      </c>
      <c r="AT56">
        <f>COUNTIF(Q56,"&gt;0")</f>
      </c>
      <c r="AU56">
        <f>COUNTIF(R56,"&gt;0")</f>
      </c>
      <c r="AV56">
        <f>COUNTIF(S56,"&gt;0")</f>
      </c>
      <c r="AW56">
        <f>COUNTIF(T56,"&gt;0")</f>
      </c>
      <c r="AX56" t="s">
        <v>115</v>
      </c>
      <c r="AY56" t="s">
        <v>142</v>
      </c>
    </row>
    <row r="57" ht="28" customHeight="1" spans="1:51" x14ac:dyDescent="0.25">
      <c r="A57" s="14"/>
      <c r="B57" s="14"/>
      <c r="C57" s="14"/>
      <c r="D57" s="14"/>
      <c r="E57" s="14"/>
      <c r="F57" s="15" t="s">
        <v>126</v>
      </c>
      <c r="G57" s="15" t="s">
        <v>143</v>
      </c>
      <c r="H57" s="14" t="s">
        <v>66</v>
      </c>
      <c r="I57" s="16">
        <v>5</v>
      </c>
      <c r="J57" s="17">
        <v>12</v>
      </c>
      <c r="K57" s="14" t="s">
        <v>141</v>
      </c>
      <c r="L57" s="14" t="s">
        <v>68</v>
      </c>
      <c r="M57" s="14"/>
      <c r="N57" s="14"/>
      <c r="O57" s="15"/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4" t="s">
        <v>69</v>
      </c>
      <c r="V57" s="14" t="s">
        <v>69</v>
      </c>
      <c r="W57" s="14" t="s">
        <v>69</v>
      </c>
      <c r="X57" s="14" t="s">
        <v>69</v>
      </c>
      <c r="Y57" s="14" t="s">
        <v>69</v>
      </c>
      <c r="AM57">
        <f>COUNTIF(P57:T57,"&gt;0")</f>
      </c>
      <c r="AN57">
        <f>COUNTIF(P57,"&gt;0")</f>
      </c>
      <c r="AO57">
        <f>COUNTIF(Q57,"&gt;0")</f>
      </c>
      <c r="AP57">
        <f>COUNTIF(R57,"&gt;0")</f>
      </c>
      <c r="AQ57">
        <f>COUNTIF(S57,"&gt;0")</f>
      </c>
      <c r="AR57">
        <f>COUNTIF(T57,"&gt;0")</f>
      </c>
      <c r="AX57" t="s">
        <v>115</v>
      </c>
      <c r="AY57" t="s">
        <v>144</v>
      </c>
    </row>
    <row r="58" ht="18" customHeight="1" spans="1:51" x14ac:dyDescent="0.25">
      <c r="A58" s="14"/>
      <c r="B58" s="14"/>
      <c r="C58" s="14"/>
      <c r="D58" s="14"/>
      <c r="E58" s="14"/>
      <c r="F58" s="15"/>
      <c r="G58" s="15"/>
      <c r="H58" s="14" t="s">
        <v>71</v>
      </c>
      <c r="I58" s="16"/>
      <c r="J58" s="17"/>
      <c r="K58" s="14"/>
      <c r="L58" s="14"/>
      <c r="M58" s="14"/>
      <c r="N58" s="14"/>
      <c r="O58" s="15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1" t="s">
        <v>69</v>
      </c>
      <c r="V58" s="21" t="s">
        <v>69</v>
      </c>
      <c r="W58" s="21" t="s">
        <v>69</v>
      </c>
      <c r="X58" s="21" t="s">
        <v>69</v>
      </c>
      <c r="Y58" s="21" t="s">
        <v>69</v>
      </c>
      <c r="AL58">
        <f>COUNTIF(P58:T58,"&gt;0")</f>
      </c>
      <c r="AS58">
        <f>COUNTIF(P58,"&gt;0")</f>
      </c>
      <c r="AT58">
        <f>COUNTIF(Q58,"&gt;0")</f>
      </c>
      <c r="AU58">
        <f>COUNTIF(R58,"&gt;0")</f>
      </c>
      <c r="AV58">
        <f>COUNTIF(S58,"&gt;0")</f>
      </c>
      <c r="AW58">
        <f>COUNTIF(T58,"&gt;0")</f>
      </c>
      <c r="AX58" t="s">
        <v>115</v>
      </c>
      <c r="AY58" t="s">
        <v>144</v>
      </c>
    </row>
    <row r="59" ht="28" customHeight="1" spans="1:51" x14ac:dyDescent="0.25">
      <c r="A59" s="14"/>
      <c r="B59" s="14" t="s">
        <v>145</v>
      </c>
      <c r="C59" s="14" t="s">
        <v>146</v>
      </c>
      <c r="D59" s="14" t="s">
        <v>147</v>
      </c>
      <c r="E59" s="14" t="s">
        <v>148</v>
      </c>
      <c r="F59" s="15" t="s">
        <v>123</v>
      </c>
      <c r="G59" s="15" t="s">
        <v>149</v>
      </c>
      <c r="H59" s="14" t="s">
        <v>66</v>
      </c>
      <c r="I59" s="16">
        <v>2</v>
      </c>
      <c r="J59" s="17">
        <v>1</v>
      </c>
      <c r="K59" s="14" t="s">
        <v>67</v>
      </c>
      <c r="L59" s="14" t="s">
        <v>68</v>
      </c>
      <c r="M59" s="14"/>
      <c r="N59" s="14"/>
      <c r="O59" s="15"/>
      <c r="P59" s="19">
        <v>0</v>
      </c>
      <c r="Q59" s="19">
        <v>0</v>
      </c>
      <c r="R59" s="19">
        <v>0</v>
      </c>
      <c r="S59" s="19">
        <v>0</v>
      </c>
      <c r="T59" s="18">
        <v>2</v>
      </c>
      <c r="U59" s="14" t="s">
        <v>69</v>
      </c>
      <c r="V59" s="14" t="s">
        <v>69</v>
      </c>
      <c r="W59" s="14" t="s">
        <v>69</v>
      </c>
      <c r="X59" s="14" t="s">
        <v>69</v>
      </c>
      <c r="Y59" s="14" t="s">
        <v>69</v>
      </c>
      <c r="AM59">
        <f>COUNTIF(P59:T59,"&gt;0")</f>
      </c>
      <c r="AN59">
        <f>COUNTIF(P59,"&gt;0")</f>
      </c>
      <c r="AO59">
        <f>COUNTIF(Q59,"&gt;0")</f>
      </c>
      <c r="AP59">
        <f>COUNTIF(R59,"&gt;0")</f>
      </c>
      <c r="AQ59">
        <f>COUNTIF(S59,"&gt;0")</f>
      </c>
      <c r="AR59">
        <f>COUNTIF(T59,"&gt;0")</f>
      </c>
      <c r="AX59" t="s">
        <v>145</v>
      </c>
      <c r="AY59" t="s">
        <v>150</v>
      </c>
    </row>
    <row r="60" ht="18" customHeight="1" spans="1:51" x14ac:dyDescent="0.25">
      <c r="A60" s="14"/>
      <c r="B60" s="14"/>
      <c r="C60" s="14"/>
      <c r="D60" s="14"/>
      <c r="E60" s="14"/>
      <c r="F60" s="15"/>
      <c r="G60" s="15"/>
      <c r="H60" s="14" t="s">
        <v>71</v>
      </c>
      <c r="I60" s="16"/>
      <c r="J60" s="17"/>
      <c r="K60" s="14"/>
      <c r="L60" s="14"/>
      <c r="M60" s="14"/>
      <c r="N60" s="14"/>
      <c r="O60" s="15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1" t="s">
        <v>69</v>
      </c>
      <c r="V60" s="21" t="s">
        <v>69</v>
      </c>
      <c r="W60" s="21" t="s">
        <v>69</v>
      </c>
      <c r="X60" s="21" t="s">
        <v>69</v>
      </c>
      <c r="Y60" s="21" t="s">
        <v>69</v>
      </c>
      <c r="AL60">
        <f>COUNTIF(P60:T60,"&gt;0")</f>
      </c>
      <c r="AS60">
        <f>COUNTIF(P60,"&gt;0")</f>
      </c>
      <c r="AT60">
        <f>COUNTIF(Q60,"&gt;0")</f>
      </c>
      <c r="AU60">
        <f>COUNTIF(R60,"&gt;0")</f>
      </c>
      <c r="AV60">
        <f>COUNTIF(S60,"&gt;0")</f>
      </c>
      <c r="AW60">
        <f>COUNTIF(T60,"&gt;0")</f>
      </c>
      <c r="AX60" t="s">
        <v>145</v>
      </c>
      <c r="AY60" t="s">
        <v>150</v>
      </c>
    </row>
    <row r="61" ht="28" customHeight="1" spans="1:51" x14ac:dyDescent="0.25">
      <c r="A61" s="14"/>
      <c r="B61" s="14"/>
      <c r="C61" s="14"/>
      <c r="D61" s="14"/>
      <c r="E61" s="14"/>
      <c r="F61" s="15" t="s">
        <v>151</v>
      </c>
      <c r="G61" s="15" t="s">
        <v>152</v>
      </c>
      <c r="H61" s="14" t="s">
        <v>66</v>
      </c>
      <c r="I61" s="16">
        <v>2</v>
      </c>
      <c r="J61" s="17">
        <v>1</v>
      </c>
      <c r="K61" s="14" t="s">
        <v>67</v>
      </c>
      <c r="L61" s="14" t="s">
        <v>68</v>
      </c>
      <c r="M61" s="14"/>
      <c r="N61" s="14"/>
      <c r="O61" s="15"/>
      <c r="P61" s="18">
        <v>2</v>
      </c>
      <c r="Q61" s="19">
        <v>0</v>
      </c>
      <c r="R61" s="19">
        <v>0</v>
      </c>
      <c r="S61" s="19">
        <v>0</v>
      </c>
      <c r="T61" s="19">
        <v>0</v>
      </c>
      <c r="U61" s="14" t="s">
        <v>69</v>
      </c>
      <c r="V61" s="14" t="s">
        <v>69</v>
      </c>
      <c r="W61" s="14" t="s">
        <v>69</v>
      </c>
      <c r="X61" s="14" t="s">
        <v>69</v>
      </c>
      <c r="Y61" s="14" t="s">
        <v>69</v>
      </c>
      <c r="AM61">
        <f>COUNTIF(P61:T61,"&gt;0")</f>
      </c>
      <c r="AN61">
        <f>COUNTIF(P61,"&gt;0")</f>
      </c>
      <c r="AO61">
        <f>COUNTIF(Q61,"&gt;0")</f>
      </c>
      <c r="AP61">
        <f>COUNTIF(R61,"&gt;0")</f>
      </c>
      <c r="AQ61">
        <f>COUNTIF(S61,"&gt;0")</f>
      </c>
      <c r="AR61">
        <f>COUNTIF(T61,"&gt;0")</f>
      </c>
      <c r="AX61" t="s">
        <v>145</v>
      </c>
      <c r="AY61" t="s">
        <v>153</v>
      </c>
    </row>
    <row r="62" ht="18" customHeight="1" spans="1:51" x14ac:dyDescent="0.25">
      <c r="A62" s="14"/>
      <c r="B62" s="14"/>
      <c r="C62" s="14"/>
      <c r="D62" s="14"/>
      <c r="E62" s="14"/>
      <c r="F62" s="15"/>
      <c r="G62" s="15"/>
      <c r="H62" s="14" t="s">
        <v>71</v>
      </c>
      <c r="I62" s="16"/>
      <c r="J62" s="17"/>
      <c r="K62" s="14"/>
      <c r="L62" s="14"/>
      <c r="M62" s="14"/>
      <c r="N62" s="14"/>
      <c r="O62" s="15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1" t="s">
        <v>69</v>
      </c>
      <c r="V62" s="21" t="s">
        <v>69</v>
      </c>
      <c r="W62" s="21" t="s">
        <v>69</v>
      </c>
      <c r="X62" s="21" t="s">
        <v>69</v>
      </c>
      <c r="Y62" s="21" t="s">
        <v>69</v>
      </c>
      <c r="AL62">
        <f>COUNTIF(P62:T62,"&gt;0")</f>
      </c>
      <c r="AS62">
        <f>COUNTIF(P62,"&gt;0")</f>
      </c>
      <c r="AT62">
        <f>COUNTIF(Q62,"&gt;0")</f>
      </c>
      <c r="AU62">
        <f>COUNTIF(R62,"&gt;0")</f>
      </c>
      <c r="AV62">
        <f>COUNTIF(S62,"&gt;0")</f>
      </c>
      <c r="AW62">
        <f>COUNTIF(T62,"&gt;0")</f>
      </c>
      <c r="AX62" t="s">
        <v>145</v>
      </c>
      <c r="AY62" t="s">
        <v>153</v>
      </c>
    </row>
    <row r="63" ht="28" customHeight="1" spans="1:51" x14ac:dyDescent="0.25">
      <c r="A63" s="14"/>
      <c r="B63" s="14"/>
      <c r="C63" s="14"/>
      <c r="D63" s="14"/>
      <c r="E63" s="14"/>
      <c r="F63" s="15" t="s">
        <v>151</v>
      </c>
      <c r="G63" s="15" t="s">
        <v>154</v>
      </c>
      <c r="H63" s="14" t="s">
        <v>66</v>
      </c>
      <c r="I63" s="16">
        <v>2</v>
      </c>
      <c r="J63" s="17">
        <v>1</v>
      </c>
      <c r="K63" s="14" t="s">
        <v>67</v>
      </c>
      <c r="L63" s="14" t="s">
        <v>68</v>
      </c>
      <c r="M63" s="14"/>
      <c r="N63" s="14"/>
      <c r="O63" s="15"/>
      <c r="P63" s="19">
        <v>0</v>
      </c>
      <c r="Q63" s="18">
        <v>2</v>
      </c>
      <c r="R63" s="19">
        <v>0</v>
      </c>
      <c r="S63" s="19">
        <v>0</v>
      </c>
      <c r="T63" s="19">
        <v>0</v>
      </c>
      <c r="U63" s="14" t="s">
        <v>69</v>
      </c>
      <c r="V63" s="14" t="s">
        <v>69</v>
      </c>
      <c r="W63" s="14" t="s">
        <v>69</v>
      </c>
      <c r="X63" s="14" t="s">
        <v>69</v>
      </c>
      <c r="Y63" s="14" t="s">
        <v>69</v>
      </c>
      <c r="AM63">
        <f>COUNTIF(P63:T63,"&gt;0")</f>
      </c>
      <c r="AN63">
        <f>COUNTIF(P63,"&gt;0")</f>
      </c>
      <c r="AO63">
        <f>COUNTIF(Q63,"&gt;0")</f>
      </c>
      <c r="AP63">
        <f>COUNTIF(R63,"&gt;0")</f>
      </c>
      <c r="AQ63">
        <f>COUNTIF(S63,"&gt;0")</f>
      </c>
      <c r="AR63">
        <f>COUNTIF(T63,"&gt;0")</f>
      </c>
      <c r="AX63" t="s">
        <v>145</v>
      </c>
      <c r="AY63" t="s">
        <v>155</v>
      </c>
    </row>
    <row r="64" ht="18" customHeight="1" spans="1:51" x14ac:dyDescent="0.25">
      <c r="A64" s="14"/>
      <c r="B64" s="14"/>
      <c r="C64" s="14"/>
      <c r="D64" s="14"/>
      <c r="E64" s="14"/>
      <c r="F64" s="15"/>
      <c r="G64" s="15"/>
      <c r="H64" s="14" t="s">
        <v>71</v>
      </c>
      <c r="I64" s="16"/>
      <c r="J64" s="17"/>
      <c r="K64" s="14"/>
      <c r="L64" s="14"/>
      <c r="M64" s="14"/>
      <c r="N64" s="14"/>
      <c r="O64" s="15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1" t="s">
        <v>69</v>
      </c>
      <c r="V64" s="21" t="s">
        <v>69</v>
      </c>
      <c r="W64" s="21" t="s">
        <v>69</v>
      </c>
      <c r="X64" s="21" t="s">
        <v>69</v>
      </c>
      <c r="Y64" s="21" t="s">
        <v>69</v>
      </c>
      <c r="AL64">
        <f>COUNTIF(P64:T64,"&gt;0")</f>
      </c>
      <c r="AS64">
        <f>COUNTIF(P64,"&gt;0")</f>
      </c>
      <c r="AT64">
        <f>COUNTIF(Q64,"&gt;0")</f>
      </c>
      <c r="AU64">
        <f>COUNTIF(R64,"&gt;0")</f>
      </c>
      <c r="AV64">
        <f>COUNTIF(S64,"&gt;0")</f>
      </c>
      <c r="AW64">
        <f>COUNTIF(T64,"&gt;0")</f>
      </c>
      <c r="AX64" t="s">
        <v>145</v>
      </c>
      <c r="AY64" t="s">
        <v>155</v>
      </c>
    </row>
    <row r="65" ht="28" customHeight="1" spans="1:51" x14ac:dyDescent="0.25">
      <c r="A65" s="14"/>
      <c r="B65" s="14"/>
      <c r="C65" s="14"/>
      <c r="D65" s="14"/>
      <c r="E65" s="14"/>
      <c r="F65" s="15" t="s">
        <v>151</v>
      </c>
      <c r="G65" s="15" t="s">
        <v>156</v>
      </c>
      <c r="H65" s="14" t="s">
        <v>66</v>
      </c>
      <c r="I65" s="16">
        <v>3</v>
      </c>
      <c r="J65" s="17">
        <v>3</v>
      </c>
      <c r="K65" s="14" t="s">
        <v>157</v>
      </c>
      <c r="L65" s="14" t="s">
        <v>68</v>
      </c>
      <c r="M65" s="14"/>
      <c r="N65" s="14"/>
      <c r="O65" s="15"/>
      <c r="P65" s="24">
        <v>3</v>
      </c>
      <c r="Q65" s="19">
        <v>0</v>
      </c>
      <c r="R65" s="19">
        <v>0</v>
      </c>
      <c r="S65" s="19">
        <v>0</v>
      </c>
      <c r="T65" s="19">
        <v>0</v>
      </c>
      <c r="U65" s="14" t="s">
        <v>69</v>
      </c>
      <c r="V65" s="14" t="s">
        <v>69</v>
      </c>
      <c r="W65" s="14" t="s">
        <v>69</v>
      </c>
      <c r="X65" s="14" t="s">
        <v>69</v>
      </c>
      <c r="Y65" s="14" t="s">
        <v>69</v>
      </c>
      <c r="AM65">
        <f>COUNTIF(P65:T65,"&gt;0")</f>
      </c>
      <c r="AN65">
        <f>COUNTIF(P65,"&gt;0")</f>
      </c>
      <c r="AO65">
        <f>COUNTIF(Q65,"&gt;0")</f>
      </c>
      <c r="AP65">
        <f>COUNTIF(R65,"&gt;0")</f>
      </c>
      <c r="AQ65">
        <f>COUNTIF(S65,"&gt;0")</f>
      </c>
      <c r="AR65">
        <f>COUNTIF(T65,"&gt;0")</f>
      </c>
      <c r="AX65" t="s">
        <v>145</v>
      </c>
      <c r="AY65" t="s">
        <v>158</v>
      </c>
    </row>
    <row r="66" ht="18" customHeight="1" spans="1:51" x14ac:dyDescent="0.25">
      <c r="A66" s="14"/>
      <c r="B66" s="14"/>
      <c r="C66" s="14"/>
      <c r="D66" s="14"/>
      <c r="E66" s="14"/>
      <c r="F66" s="15"/>
      <c r="G66" s="15"/>
      <c r="H66" s="14" t="s">
        <v>71</v>
      </c>
      <c r="I66" s="16"/>
      <c r="J66" s="17"/>
      <c r="K66" s="14"/>
      <c r="L66" s="14"/>
      <c r="M66" s="14"/>
      <c r="N66" s="14"/>
      <c r="O66" s="15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1" t="s">
        <v>69</v>
      </c>
      <c r="V66" s="21" t="s">
        <v>69</v>
      </c>
      <c r="W66" s="21" t="s">
        <v>69</v>
      </c>
      <c r="X66" s="21" t="s">
        <v>69</v>
      </c>
      <c r="Y66" s="21" t="s">
        <v>69</v>
      </c>
      <c r="AL66">
        <f>COUNTIF(P66:T66,"&gt;0")</f>
      </c>
      <c r="AS66">
        <f>COUNTIF(P66,"&gt;0")</f>
      </c>
      <c r="AT66">
        <f>COUNTIF(Q66,"&gt;0")</f>
      </c>
      <c r="AU66">
        <f>COUNTIF(R66,"&gt;0")</f>
      </c>
      <c r="AV66">
        <f>COUNTIF(S66,"&gt;0")</f>
      </c>
      <c r="AW66">
        <f>COUNTIF(T66,"&gt;0")</f>
      </c>
      <c r="AX66" t="s">
        <v>145</v>
      </c>
      <c r="AY66" t="s">
        <v>158</v>
      </c>
    </row>
    <row r="67" ht="28" customHeight="1" spans="1:51" x14ac:dyDescent="0.25">
      <c r="A67" s="14"/>
      <c r="B67" s="14"/>
      <c r="C67" s="14"/>
      <c r="D67" s="14"/>
      <c r="E67" s="14"/>
      <c r="F67" s="15" t="s">
        <v>151</v>
      </c>
      <c r="G67" s="15" t="s">
        <v>159</v>
      </c>
      <c r="H67" s="14" t="s">
        <v>66</v>
      </c>
      <c r="I67" s="16">
        <v>3</v>
      </c>
      <c r="J67" s="17">
        <v>3</v>
      </c>
      <c r="K67" s="14" t="s">
        <v>157</v>
      </c>
      <c r="L67" s="14" t="s">
        <v>68</v>
      </c>
      <c r="M67" s="14"/>
      <c r="N67" s="14"/>
      <c r="O67" s="15"/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4" t="s">
        <v>69</v>
      </c>
      <c r="V67" s="14" t="s">
        <v>69</v>
      </c>
      <c r="W67" s="14" t="s">
        <v>69</v>
      </c>
      <c r="X67" s="14" t="s">
        <v>69</v>
      </c>
      <c r="Y67" s="14" t="s">
        <v>69</v>
      </c>
      <c r="AM67">
        <f>COUNTIF(P67:T67,"&gt;0")</f>
      </c>
      <c r="AN67">
        <f>COUNTIF(P67,"&gt;0")</f>
      </c>
      <c r="AO67">
        <f>COUNTIF(Q67,"&gt;0")</f>
      </c>
      <c r="AP67">
        <f>COUNTIF(R67,"&gt;0")</f>
      </c>
      <c r="AQ67">
        <f>COUNTIF(S67,"&gt;0")</f>
      </c>
      <c r="AR67">
        <f>COUNTIF(T67,"&gt;0")</f>
      </c>
      <c r="AX67" t="s">
        <v>145</v>
      </c>
      <c r="AY67" t="s">
        <v>160</v>
      </c>
    </row>
    <row r="68" ht="18" customHeight="1" spans="1:51" x14ac:dyDescent="0.25">
      <c r="A68" s="14"/>
      <c r="B68" s="14"/>
      <c r="C68" s="14"/>
      <c r="D68" s="14"/>
      <c r="E68" s="14"/>
      <c r="F68" s="15"/>
      <c r="G68" s="15"/>
      <c r="H68" s="14" t="s">
        <v>71</v>
      </c>
      <c r="I68" s="16"/>
      <c r="J68" s="17"/>
      <c r="K68" s="14"/>
      <c r="L68" s="14"/>
      <c r="M68" s="14"/>
      <c r="N68" s="14"/>
      <c r="O68" s="15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1" t="s">
        <v>69</v>
      </c>
      <c r="V68" s="21" t="s">
        <v>69</v>
      </c>
      <c r="W68" s="21" t="s">
        <v>69</v>
      </c>
      <c r="X68" s="21" t="s">
        <v>69</v>
      </c>
      <c r="Y68" s="21" t="s">
        <v>69</v>
      </c>
      <c r="AL68">
        <f>COUNTIF(P68:T68,"&gt;0")</f>
      </c>
      <c r="AS68">
        <f>COUNTIF(P68,"&gt;0")</f>
      </c>
      <c r="AT68">
        <f>COUNTIF(Q68,"&gt;0")</f>
      </c>
      <c r="AU68">
        <f>COUNTIF(R68,"&gt;0")</f>
      </c>
      <c r="AV68">
        <f>COUNTIF(S68,"&gt;0")</f>
      </c>
      <c r="AW68">
        <f>COUNTIF(T68,"&gt;0")</f>
      </c>
      <c r="AX68" t="s">
        <v>145</v>
      </c>
      <c r="AY68" t="s">
        <v>160</v>
      </c>
    </row>
    <row r="69" ht="28" customHeight="1" spans="1:51" x14ac:dyDescent="0.25">
      <c r="A69" s="14"/>
      <c r="B69" s="14"/>
      <c r="C69" s="14"/>
      <c r="D69" s="14"/>
      <c r="E69" s="14"/>
      <c r="F69" s="15" t="s">
        <v>151</v>
      </c>
      <c r="G69" s="15" t="s">
        <v>161</v>
      </c>
      <c r="H69" s="14" t="s">
        <v>66</v>
      </c>
      <c r="I69" s="16">
        <v>5</v>
      </c>
      <c r="J69" s="17">
        <v>12</v>
      </c>
      <c r="K69" s="14" t="s">
        <v>141</v>
      </c>
      <c r="L69" s="14" t="s">
        <v>68</v>
      </c>
      <c r="M69" s="14"/>
      <c r="N69" s="14"/>
      <c r="O69" s="15"/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4" t="s">
        <v>69</v>
      </c>
      <c r="V69" s="14" t="s">
        <v>69</v>
      </c>
      <c r="W69" s="14" t="s">
        <v>69</v>
      </c>
      <c r="X69" s="14" t="s">
        <v>69</v>
      </c>
      <c r="Y69" s="14" t="s">
        <v>69</v>
      </c>
      <c r="AM69">
        <f>COUNTIF(P69:T69,"&gt;0")</f>
      </c>
      <c r="AN69">
        <f>COUNTIF(P69,"&gt;0")</f>
      </c>
      <c r="AO69">
        <f>COUNTIF(Q69,"&gt;0")</f>
      </c>
      <c r="AP69">
        <f>COUNTIF(R69,"&gt;0")</f>
      </c>
      <c r="AQ69">
        <f>COUNTIF(S69,"&gt;0")</f>
      </c>
      <c r="AR69">
        <f>COUNTIF(T69,"&gt;0")</f>
      </c>
      <c r="AX69" t="s">
        <v>145</v>
      </c>
      <c r="AY69" t="s">
        <v>162</v>
      </c>
    </row>
    <row r="70" ht="18" customHeight="1" spans="1:51" x14ac:dyDescent="0.25">
      <c r="A70" s="14"/>
      <c r="B70" s="14"/>
      <c r="C70" s="14"/>
      <c r="D70" s="14"/>
      <c r="E70" s="14"/>
      <c r="F70" s="15"/>
      <c r="G70" s="15"/>
      <c r="H70" s="14" t="s">
        <v>71</v>
      </c>
      <c r="I70" s="16"/>
      <c r="J70" s="17"/>
      <c r="K70" s="14"/>
      <c r="L70" s="14"/>
      <c r="M70" s="14"/>
      <c r="N70" s="14"/>
      <c r="O70" s="15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1" t="s">
        <v>69</v>
      </c>
      <c r="V70" s="21" t="s">
        <v>69</v>
      </c>
      <c r="W70" s="21" t="s">
        <v>69</v>
      </c>
      <c r="X70" s="21" t="s">
        <v>69</v>
      </c>
      <c r="Y70" s="21" t="s">
        <v>69</v>
      </c>
      <c r="AL70">
        <f>COUNTIF(P70:T70,"&gt;0")</f>
      </c>
      <c r="AS70">
        <f>COUNTIF(P70,"&gt;0")</f>
      </c>
      <c r="AT70">
        <f>COUNTIF(Q70,"&gt;0")</f>
      </c>
      <c r="AU70">
        <f>COUNTIF(R70,"&gt;0")</f>
      </c>
      <c r="AV70">
        <f>COUNTIF(S70,"&gt;0")</f>
      </c>
      <c r="AW70">
        <f>COUNTIF(T70,"&gt;0")</f>
      </c>
      <c r="AX70" t="s">
        <v>145</v>
      </c>
      <c r="AY70" t="s">
        <v>162</v>
      </c>
    </row>
    <row r="71" ht="28" customHeight="1" spans="1:51" x14ac:dyDescent="0.25">
      <c r="A71" s="14"/>
      <c r="B71" s="14"/>
      <c r="C71" s="14"/>
      <c r="D71" s="14"/>
      <c r="E71" s="14"/>
      <c r="F71" s="15" t="s">
        <v>151</v>
      </c>
      <c r="G71" s="15" t="s">
        <v>163</v>
      </c>
      <c r="H71" s="14" t="s">
        <v>66</v>
      </c>
      <c r="I71" s="16">
        <v>3</v>
      </c>
      <c r="J71" s="17">
        <v>3</v>
      </c>
      <c r="K71" s="14" t="s">
        <v>157</v>
      </c>
      <c r="L71" s="14" t="s">
        <v>68</v>
      </c>
      <c r="M71" s="14"/>
      <c r="N71" s="14"/>
      <c r="O71" s="15"/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4" t="s">
        <v>69</v>
      </c>
      <c r="V71" s="14" t="s">
        <v>69</v>
      </c>
      <c r="W71" s="14" t="s">
        <v>69</v>
      </c>
      <c r="X71" s="14" t="s">
        <v>69</v>
      </c>
      <c r="Y71" s="14" t="s">
        <v>69</v>
      </c>
      <c r="AM71">
        <f>COUNTIF(P71:T71,"&gt;0")</f>
      </c>
      <c r="AN71">
        <f>COUNTIF(P71,"&gt;0")</f>
      </c>
      <c r="AO71">
        <f>COUNTIF(Q71,"&gt;0")</f>
      </c>
      <c r="AP71">
        <f>COUNTIF(R71,"&gt;0")</f>
      </c>
      <c r="AQ71">
        <f>COUNTIF(S71,"&gt;0")</f>
      </c>
      <c r="AR71">
        <f>COUNTIF(T71,"&gt;0")</f>
      </c>
      <c r="AX71" t="s">
        <v>145</v>
      </c>
      <c r="AY71" t="s">
        <v>164</v>
      </c>
    </row>
    <row r="72" ht="18" customHeight="1" spans="1:51" x14ac:dyDescent="0.25">
      <c r="A72" s="14"/>
      <c r="B72" s="14"/>
      <c r="C72" s="14"/>
      <c r="D72" s="14"/>
      <c r="E72" s="14"/>
      <c r="F72" s="15"/>
      <c r="G72" s="15"/>
      <c r="H72" s="14" t="s">
        <v>71</v>
      </c>
      <c r="I72" s="16"/>
      <c r="J72" s="17"/>
      <c r="K72" s="14"/>
      <c r="L72" s="14"/>
      <c r="M72" s="14"/>
      <c r="N72" s="14"/>
      <c r="O72" s="15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1" t="s">
        <v>69</v>
      </c>
      <c r="V72" s="21" t="s">
        <v>69</v>
      </c>
      <c r="W72" s="21" t="s">
        <v>69</v>
      </c>
      <c r="X72" s="21" t="s">
        <v>69</v>
      </c>
      <c r="Y72" s="21" t="s">
        <v>69</v>
      </c>
      <c r="AL72">
        <f>COUNTIF(P72:T72,"&gt;0")</f>
      </c>
      <c r="AS72">
        <f>COUNTIF(P72,"&gt;0")</f>
      </c>
      <c r="AT72">
        <f>COUNTIF(Q72,"&gt;0")</f>
      </c>
      <c r="AU72">
        <f>COUNTIF(R72,"&gt;0")</f>
      </c>
      <c r="AV72">
        <f>COUNTIF(S72,"&gt;0")</f>
      </c>
      <c r="AW72">
        <f>COUNTIF(T72,"&gt;0")</f>
      </c>
      <c r="AX72" t="s">
        <v>145</v>
      </c>
      <c r="AY72" t="s">
        <v>164</v>
      </c>
    </row>
    <row r="73" ht="28" customHeight="1" spans="1:51" x14ac:dyDescent="0.25">
      <c r="A73" s="14"/>
      <c r="B73" s="14" t="s">
        <v>165</v>
      </c>
      <c r="C73" s="14" t="s">
        <v>166</v>
      </c>
      <c r="D73" s="14" t="s">
        <v>167</v>
      </c>
      <c r="E73" s="14" t="s">
        <v>168</v>
      </c>
      <c r="F73" s="15"/>
      <c r="G73" s="15" t="s">
        <v>169</v>
      </c>
      <c r="H73" s="14" t="s">
        <v>66</v>
      </c>
      <c r="I73" s="16">
        <v>1</v>
      </c>
      <c r="J73" s="17">
        <v>1</v>
      </c>
      <c r="K73" s="14" t="s">
        <v>121</v>
      </c>
      <c r="L73" s="14" t="s">
        <v>68</v>
      </c>
      <c r="M73" s="14"/>
      <c r="N73" s="14"/>
      <c r="O73" s="15"/>
      <c r="P73" s="22">
        <v>1</v>
      </c>
      <c r="Q73" s="22">
        <v>1</v>
      </c>
      <c r="R73" s="22">
        <v>1</v>
      </c>
      <c r="S73" s="22">
        <v>1</v>
      </c>
      <c r="T73" s="22">
        <v>1</v>
      </c>
      <c r="U73" s="14" t="s">
        <v>69</v>
      </c>
      <c r="V73" s="14" t="s">
        <v>69</v>
      </c>
      <c r="W73" s="14" t="s">
        <v>69</v>
      </c>
      <c r="X73" s="14" t="s">
        <v>69</v>
      </c>
      <c r="Y73" s="14" t="s">
        <v>69</v>
      </c>
      <c r="AM73">
        <f>COUNTIF(P73:T73,"&gt;0")</f>
      </c>
      <c r="AN73">
        <f>COUNTIF(P73,"&gt;0")</f>
      </c>
      <c r="AO73">
        <f>COUNTIF(Q73,"&gt;0")</f>
      </c>
      <c r="AP73">
        <f>COUNTIF(R73,"&gt;0")</f>
      </c>
      <c r="AQ73">
        <f>COUNTIF(S73,"&gt;0")</f>
      </c>
      <c r="AR73">
        <f>COUNTIF(T73,"&gt;0")</f>
      </c>
      <c r="AX73" t="s">
        <v>165</v>
      </c>
      <c r="AY73" t="s">
        <v>170</v>
      </c>
    </row>
    <row r="74" ht="18" customHeight="1" spans="1:51" x14ac:dyDescent="0.25">
      <c r="A74" s="14"/>
      <c r="B74" s="14"/>
      <c r="C74" s="14"/>
      <c r="D74" s="14"/>
      <c r="E74" s="14"/>
      <c r="F74" s="15"/>
      <c r="G74" s="15"/>
      <c r="H74" s="14" t="s">
        <v>71</v>
      </c>
      <c r="I74" s="16"/>
      <c r="J74" s="17"/>
      <c r="K74" s="14"/>
      <c r="L74" s="14"/>
      <c r="M74" s="14"/>
      <c r="N74" s="14"/>
      <c r="O74" s="15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1" t="s">
        <v>69</v>
      </c>
      <c r="V74" s="21" t="s">
        <v>69</v>
      </c>
      <c r="W74" s="21" t="s">
        <v>69</v>
      </c>
      <c r="X74" s="21" t="s">
        <v>69</v>
      </c>
      <c r="Y74" s="21" t="s">
        <v>69</v>
      </c>
      <c r="AL74">
        <f>COUNTIF(P74:T74,"&gt;0")</f>
      </c>
      <c r="AS74">
        <f>COUNTIF(P74,"&gt;0")</f>
      </c>
      <c r="AT74">
        <f>COUNTIF(Q74,"&gt;0")</f>
      </c>
      <c r="AU74">
        <f>COUNTIF(R74,"&gt;0")</f>
      </c>
      <c r="AV74">
        <f>COUNTIF(S74,"&gt;0")</f>
      </c>
      <c r="AW74">
        <f>COUNTIF(T74,"&gt;0")</f>
      </c>
      <c r="AX74" t="s">
        <v>165</v>
      </c>
      <c r="AY74" t="s">
        <v>170</v>
      </c>
    </row>
    <row r="75" ht="28" customHeight="1" spans="1:51" x14ac:dyDescent="0.25">
      <c r="A75" s="14"/>
      <c r="B75" s="14"/>
      <c r="C75" s="14"/>
      <c r="D75" s="14"/>
      <c r="E75" s="14"/>
      <c r="F75" s="15"/>
      <c r="G75" s="15" t="s">
        <v>171</v>
      </c>
      <c r="H75" s="14" t="s">
        <v>66</v>
      </c>
      <c r="I75" s="16">
        <v>1</v>
      </c>
      <c r="J75" s="17">
        <v>1</v>
      </c>
      <c r="K75" s="14" t="s">
        <v>121</v>
      </c>
      <c r="L75" s="14" t="s">
        <v>68</v>
      </c>
      <c r="M75" s="14"/>
      <c r="N75" s="14"/>
      <c r="O75" s="15"/>
      <c r="P75" s="22">
        <v>1</v>
      </c>
      <c r="Q75" s="22">
        <v>1</v>
      </c>
      <c r="R75" s="22">
        <v>1</v>
      </c>
      <c r="S75" s="22">
        <v>1</v>
      </c>
      <c r="T75" s="22">
        <v>1</v>
      </c>
      <c r="U75" s="14" t="s">
        <v>69</v>
      </c>
      <c r="V75" s="14" t="s">
        <v>69</v>
      </c>
      <c r="W75" s="14" t="s">
        <v>69</v>
      </c>
      <c r="X75" s="14" t="s">
        <v>69</v>
      </c>
      <c r="Y75" s="14" t="s">
        <v>69</v>
      </c>
      <c r="AM75">
        <f>COUNTIF(P75:T75,"&gt;0")</f>
      </c>
      <c r="AN75">
        <f>COUNTIF(P75,"&gt;0")</f>
      </c>
      <c r="AO75">
        <f>COUNTIF(Q75,"&gt;0")</f>
      </c>
      <c r="AP75">
        <f>COUNTIF(R75,"&gt;0")</f>
      </c>
      <c r="AQ75">
        <f>COUNTIF(S75,"&gt;0")</f>
      </c>
      <c r="AR75">
        <f>COUNTIF(T75,"&gt;0")</f>
      </c>
      <c r="AX75" t="s">
        <v>165</v>
      </c>
      <c r="AY75" t="s">
        <v>172</v>
      </c>
    </row>
    <row r="76" ht="18" customHeight="1" spans="1:51" x14ac:dyDescent="0.25">
      <c r="A76" s="14"/>
      <c r="B76" s="14"/>
      <c r="C76" s="14"/>
      <c r="D76" s="14"/>
      <c r="E76" s="14"/>
      <c r="F76" s="15"/>
      <c r="G76" s="15"/>
      <c r="H76" s="14" t="s">
        <v>71</v>
      </c>
      <c r="I76" s="16"/>
      <c r="J76" s="17"/>
      <c r="K76" s="14"/>
      <c r="L76" s="14"/>
      <c r="M76" s="14"/>
      <c r="N76" s="14"/>
      <c r="O76" s="15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1" t="s">
        <v>69</v>
      </c>
      <c r="V76" s="21" t="s">
        <v>69</v>
      </c>
      <c r="W76" s="21" t="s">
        <v>69</v>
      </c>
      <c r="X76" s="21" t="s">
        <v>69</v>
      </c>
      <c r="Y76" s="21" t="s">
        <v>69</v>
      </c>
      <c r="AL76">
        <f>COUNTIF(P76:T76,"&gt;0")</f>
      </c>
      <c r="AS76">
        <f>COUNTIF(P76,"&gt;0")</f>
      </c>
      <c r="AT76">
        <f>COUNTIF(Q76,"&gt;0")</f>
      </c>
      <c r="AU76">
        <f>COUNTIF(R76,"&gt;0")</f>
      </c>
      <c r="AV76">
        <f>COUNTIF(S76,"&gt;0")</f>
      </c>
      <c r="AW76">
        <f>COUNTIF(T76,"&gt;0")</f>
      </c>
      <c r="AX76" t="s">
        <v>165</v>
      </c>
      <c r="AY76" t="s">
        <v>172</v>
      </c>
    </row>
    <row r="77" ht="28" customHeight="1" spans="1:51" x14ac:dyDescent="0.25">
      <c r="A77" s="14"/>
      <c r="B77" s="14" t="s">
        <v>173</v>
      </c>
      <c r="C77" s="14" t="s">
        <v>174</v>
      </c>
      <c r="D77" s="14" t="s">
        <v>175</v>
      </c>
      <c r="E77" s="14" t="s">
        <v>168</v>
      </c>
      <c r="F77" s="15" t="s">
        <v>176</v>
      </c>
      <c r="G77" s="15" t="s">
        <v>177</v>
      </c>
      <c r="H77" s="14" t="s">
        <v>66</v>
      </c>
      <c r="I77" s="16">
        <v>1</v>
      </c>
      <c r="J77" s="17">
        <v>1</v>
      </c>
      <c r="K77" s="14" t="s">
        <v>121</v>
      </c>
      <c r="L77" s="14" t="s">
        <v>68</v>
      </c>
      <c r="M77" s="14"/>
      <c r="N77" s="14"/>
      <c r="O77" s="15"/>
      <c r="P77" s="22">
        <v>1</v>
      </c>
      <c r="Q77" s="22">
        <v>1</v>
      </c>
      <c r="R77" s="22">
        <v>1</v>
      </c>
      <c r="S77" s="22">
        <v>1</v>
      </c>
      <c r="T77" s="22">
        <v>1</v>
      </c>
      <c r="U77" s="14" t="s">
        <v>69</v>
      </c>
      <c r="V77" s="14" t="s">
        <v>69</v>
      </c>
      <c r="W77" s="14" t="s">
        <v>69</v>
      </c>
      <c r="X77" s="14" t="s">
        <v>69</v>
      </c>
      <c r="Y77" s="14" t="s">
        <v>69</v>
      </c>
      <c r="AM77">
        <f>COUNTIF(P77:T77,"&gt;0")</f>
      </c>
      <c r="AN77">
        <f>COUNTIF(P77,"&gt;0")</f>
      </c>
      <c r="AO77">
        <f>COUNTIF(Q77,"&gt;0")</f>
      </c>
      <c r="AP77">
        <f>COUNTIF(R77,"&gt;0")</f>
      </c>
      <c r="AQ77">
        <f>COUNTIF(S77,"&gt;0")</f>
      </c>
      <c r="AR77">
        <f>COUNTIF(T77,"&gt;0")</f>
      </c>
      <c r="AX77" t="s">
        <v>173</v>
      </c>
      <c r="AY77" t="s">
        <v>178</v>
      </c>
    </row>
    <row r="78" ht="18" customHeight="1" spans="1:51" x14ac:dyDescent="0.25">
      <c r="A78" s="14"/>
      <c r="B78" s="14"/>
      <c r="C78" s="14"/>
      <c r="D78" s="14"/>
      <c r="E78" s="14"/>
      <c r="F78" s="15"/>
      <c r="G78" s="15"/>
      <c r="H78" s="14" t="s">
        <v>71</v>
      </c>
      <c r="I78" s="16"/>
      <c r="J78" s="17"/>
      <c r="K78" s="14"/>
      <c r="L78" s="14"/>
      <c r="M78" s="14"/>
      <c r="N78" s="14"/>
      <c r="O78" s="15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1" t="s">
        <v>69</v>
      </c>
      <c r="V78" s="21" t="s">
        <v>69</v>
      </c>
      <c r="W78" s="21" t="s">
        <v>69</v>
      </c>
      <c r="X78" s="21" t="s">
        <v>69</v>
      </c>
      <c r="Y78" s="21" t="s">
        <v>69</v>
      </c>
      <c r="AL78">
        <f>COUNTIF(P78:T78,"&gt;0")</f>
      </c>
      <c r="AS78">
        <f>COUNTIF(P78,"&gt;0")</f>
      </c>
      <c r="AT78">
        <f>COUNTIF(Q78,"&gt;0")</f>
      </c>
      <c r="AU78">
        <f>COUNTIF(R78,"&gt;0")</f>
      </c>
      <c r="AV78">
        <f>COUNTIF(S78,"&gt;0")</f>
      </c>
      <c r="AW78">
        <f>COUNTIF(T78,"&gt;0")</f>
      </c>
      <c r="AX78" t="s">
        <v>173</v>
      </c>
      <c r="AY78" t="s">
        <v>178</v>
      </c>
    </row>
    <row r="79" ht="28" customHeight="1" spans="1:51" x14ac:dyDescent="0.25">
      <c r="A79" s="14"/>
      <c r="B79" s="14"/>
      <c r="C79" s="14"/>
      <c r="D79" s="14"/>
      <c r="E79" s="14"/>
      <c r="F79" s="15" t="s">
        <v>179</v>
      </c>
      <c r="G79" s="15" t="s">
        <v>180</v>
      </c>
      <c r="H79" s="14" t="s">
        <v>66</v>
      </c>
      <c r="I79" s="16">
        <v>1</v>
      </c>
      <c r="J79" s="17">
        <v>1</v>
      </c>
      <c r="K79" s="14" t="s">
        <v>121</v>
      </c>
      <c r="L79" s="14" t="s">
        <v>68</v>
      </c>
      <c r="M79" s="14"/>
      <c r="N79" s="14"/>
      <c r="O79" s="15"/>
      <c r="P79" s="22">
        <v>1</v>
      </c>
      <c r="Q79" s="22">
        <v>1</v>
      </c>
      <c r="R79" s="22">
        <v>1</v>
      </c>
      <c r="S79" s="22">
        <v>1</v>
      </c>
      <c r="T79" s="22">
        <v>1</v>
      </c>
      <c r="U79" s="14" t="s">
        <v>69</v>
      </c>
      <c r="V79" s="14" t="s">
        <v>69</v>
      </c>
      <c r="W79" s="14" t="s">
        <v>69</v>
      </c>
      <c r="X79" s="14" t="s">
        <v>69</v>
      </c>
      <c r="Y79" s="14" t="s">
        <v>69</v>
      </c>
      <c r="AM79">
        <f>COUNTIF(P79:T79,"&gt;0")</f>
      </c>
      <c r="AN79">
        <f>COUNTIF(P79,"&gt;0")</f>
      </c>
      <c r="AO79">
        <f>COUNTIF(Q79,"&gt;0")</f>
      </c>
      <c r="AP79">
        <f>COUNTIF(R79,"&gt;0")</f>
      </c>
      <c r="AQ79">
        <f>COUNTIF(S79,"&gt;0")</f>
      </c>
      <c r="AR79">
        <f>COUNTIF(T79,"&gt;0")</f>
      </c>
      <c r="AX79" t="s">
        <v>173</v>
      </c>
      <c r="AY79" t="s">
        <v>181</v>
      </c>
    </row>
    <row r="80" ht="18" customHeight="1" spans="1:51" x14ac:dyDescent="0.25">
      <c r="A80" s="14"/>
      <c r="B80" s="14"/>
      <c r="C80" s="14"/>
      <c r="D80" s="14"/>
      <c r="E80" s="14"/>
      <c r="F80" s="15"/>
      <c r="G80" s="15"/>
      <c r="H80" s="14" t="s">
        <v>71</v>
      </c>
      <c r="I80" s="16"/>
      <c r="J80" s="17"/>
      <c r="K80" s="14"/>
      <c r="L80" s="14"/>
      <c r="M80" s="14"/>
      <c r="N80" s="14"/>
      <c r="O80" s="15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1" t="s">
        <v>69</v>
      </c>
      <c r="V80" s="21" t="s">
        <v>69</v>
      </c>
      <c r="W80" s="21" t="s">
        <v>69</v>
      </c>
      <c r="X80" s="21" t="s">
        <v>69</v>
      </c>
      <c r="Y80" s="21" t="s">
        <v>69</v>
      </c>
      <c r="AL80">
        <f>COUNTIF(P80:T80,"&gt;0")</f>
      </c>
      <c r="AS80">
        <f>COUNTIF(P80,"&gt;0")</f>
      </c>
      <c r="AT80">
        <f>COUNTIF(Q80,"&gt;0")</f>
      </c>
      <c r="AU80">
        <f>COUNTIF(R80,"&gt;0")</f>
      </c>
      <c r="AV80">
        <f>COUNTIF(S80,"&gt;0")</f>
      </c>
      <c r="AW80">
        <f>COUNTIF(T80,"&gt;0")</f>
      </c>
      <c r="AX80" t="s">
        <v>173</v>
      </c>
      <c r="AY80" t="s">
        <v>181</v>
      </c>
    </row>
    <row r="81" ht="28" customHeight="1" spans="1:51" x14ac:dyDescent="0.25">
      <c r="A81" s="14"/>
      <c r="B81" s="14"/>
      <c r="C81" s="14"/>
      <c r="D81" s="14"/>
      <c r="E81" s="14"/>
      <c r="F81" s="15" t="s">
        <v>182</v>
      </c>
      <c r="G81" s="15" t="s">
        <v>183</v>
      </c>
      <c r="H81" s="14" t="s">
        <v>66</v>
      </c>
      <c r="I81" s="16">
        <v>1</v>
      </c>
      <c r="J81" s="17">
        <v>1</v>
      </c>
      <c r="K81" s="14" t="s">
        <v>121</v>
      </c>
      <c r="L81" s="14" t="s">
        <v>68</v>
      </c>
      <c r="M81" s="14"/>
      <c r="N81" s="14"/>
      <c r="O81" s="15"/>
      <c r="P81" s="22">
        <v>1</v>
      </c>
      <c r="Q81" s="22">
        <v>1</v>
      </c>
      <c r="R81" s="22">
        <v>1</v>
      </c>
      <c r="S81" s="22">
        <v>1</v>
      </c>
      <c r="T81" s="22">
        <v>1</v>
      </c>
      <c r="U81" s="14" t="s">
        <v>69</v>
      </c>
      <c r="V81" s="14" t="s">
        <v>69</v>
      </c>
      <c r="W81" s="14" t="s">
        <v>69</v>
      </c>
      <c r="X81" s="14" t="s">
        <v>69</v>
      </c>
      <c r="Y81" s="14" t="s">
        <v>69</v>
      </c>
      <c r="AM81">
        <f>COUNTIF(P81:T81,"&gt;0")</f>
      </c>
      <c r="AN81">
        <f>COUNTIF(P81,"&gt;0")</f>
      </c>
      <c r="AO81">
        <f>COUNTIF(Q81,"&gt;0")</f>
      </c>
      <c r="AP81">
        <f>COUNTIF(R81,"&gt;0")</f>
      </c>
      <c r="AQ81">
        <f>COUNTIF(S81,"&gt;0")</f>
      </c>
      <c r="AR81">
        <f>COUNTIF(T81,"&gt;0")</f>
      </c>
      <c r="AX81" t="s">
        <v>173</v>
      </c>
      <c r="AY81" t="s">
        <v>184</v>
      </c>
    </row>
    <row r="82" ht="18" customHeight="1" spans="1:51" x14ac:dyDescent="0.25">
      <c r="A82" s="14"/>
      <c r="B82" s="14"/>
      <c r="C82" s="14"/>
      <c r="D82" s="14"/>
      <c r="E82" s="14"/>
      <c r="F82" s="15"/>
      <c r="G82" s="15"/>
      <c r="H82" s="14" t="s">
        <v>71</v>
      </c>
      <c r="I82" s="16"/>
      <c r="J82" s="17"/>
      <c r="K82" s="14"/>
      <c r="L82" s="14"/>
      <c r="M82" s="14"/>
      <c r="N82" s="14"/>
      <c r="O82" s="15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1" t="s">
        <v>69</v>
      </c>
      <c r="V82" s="21" t="s">
        <v>69</v>
      </c>
      <c r="W82" s="21" t="s">
        <v>69</v>
      </c>
      <c r="X82" s="21" t="s">
        <v>69</v>
      </c>
      <c r="Y82" s="21" t="s">
        <v>69</v>
      </c>
      <c r="AL82">
        <f>COUNTIF(P82:T82,"&gt;0")</f>
      </c>
      <c r="AS82">
        <f>COUNTIF(P82,"&gt;0")</f>
      </c>
      <c r="AT82">
        <f>COUNTIF(Q82,"&gt;0")</f>
      </c>
      <c r="AU82">
        <f>COUNTIF(R82,"&gt;0")</f>
      </c>
      <c r="AV82">
        <f>COUNTIF(S82,"&gt;0")</f>
      </c>
      <c r="AW82">
        <f>COUNTIF(T82,"&gt;0")</f>
      </c>
      <c r="AX82" t="s">
        <v>173</v>
      </c>
      <c r="AY82" t="s">
        <v>184</v>
      </c>
    </row>
    <row r="83" ht="28" customHeight="1" spans="1:51" x14ac:dyDescent="0.25">
      <c r="A83" s="14"/>
      <c r="B83" s="14"/>
      <c r="C83" s="14"/>
      <c r="D83" s="14"/>
      <c r="E83" s="14"/>
      <c r="F83" s="15" t="s">
        <v>185</v>
      </c>
      <c r="G83" s="15" t="s">
        <v>186</v>
      </c>
      <c r="H83" s="14" t="s">
        <v>66</v>
      </c>
      <c r="I83" s="16">
        <v>1</v>
      </c>
      <c r="J83" s="17">
        <v>1</v>
      </c>
      <c r="K83" s="14" t="s">
        <v>121</v>
      </c>
      <c r="L83" s="14" t="s">
        <v>68</v>
      </c>
      <c r="M83" s="14"/>
      <c r="N83" s="14"/>
      <c r="O83" s="15"/>
      <c r="P83" s="22">
        <v>1</v>
      </c>
      <c r="Q83" s="22">
        <v>1</v>
      </c>
      <c r="R83" s="22">
        <v>1</v>
      </c>
      <c r="S83" s="22">
        <v>1</v>
      </c>
      <c r="T83" s="22">
        <v>1</v>
      </c>
      <c r="U83" s="14" t="s">
        <v>69</v>
      </c>
      <c r="V83" s="14" t="s">
        <v>69</v>
      </c>
      <c r="W83" s="14" t="s">
        <v>69</v>
      </c>
      <c r="X83" s="14" t="s">
        <v>69</v>
      </c>
      <c r="Y83" s="14" t="s">
        <v>69</v>
      </c>
      <c r="AM83">
        <f>COUNTIF(P83:T83,"&gt;0")</f>
      </c>
      <c r="AN83">
        <f>COUNTIF(P83,"&gt;0")</f>
      </c>
      <c r="AO83">
        <f>COUNTIF(Q83,"&gt;0")</f>
      </c>
      <c r="AP83">
        <f>COUNTIF(R83,"&gt;0")</f>
      </c>
      <c r="AQ83">
        <f>COUNTIF(S83,"&gt;0")</f>
      </c>
      <c r="AR83">
        <f>COUNTIF(T83,"&gt;0")</f>
      </c>
      <c r="AX83" t="s">
        <v>173</v>
      </c>
      <c r="AY83" t="s">
        <v>187</v>
      </c>
    </row>
    <row r="84" ht="18" customHeight="1" spans="1:51" x14ac:dyDescent="0.25">
      <c r="A84" s="14"/>
      <c r="B84" s="14"/>
      <c r="C84" s="14"/>
      <c r="D84" s="14"/>
      <c r="E84" s="14"/>
      <c r="F84" s="15"/>
      <c r="G84" s="15"/>
      <c r="H84" s="14" t="s">
        <v>71</v>
      </c>
      <c r="I84" s="16"/>
      <c r="J84" s="17"/>
      <c r="K84" s="14"/>
      <c r="L84" s="14"/>
      <c r="M84" s="14"/>
      <c r="N84" s="14"/>
      <c r="O84" s="15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1" t="s">
        <v>69</v>
      </c>
      <c r="V84" s="21" t="s">
        <v>69</v>
      </c>
      <c r="W84" s="21" t="s">
        <v>69</v>
      </c>
      <c r="X84" s="21" t="s">
        <v>69</v>
      </c>
      <c r="Y84" s="21" t="s">
        <v>69</v>
      </c>
      <c r="AL84">
        <f>COUNTIF(P84:T84,"&gt;0")</f>
      </c>
      <c r="AS84">
        <f>COUNTIF(P84,"&gt;0")</f>
      </c>
      <c r="AT84">
        <f>COUNTIF(Q84,"&gt;0")</f>
      </c>
      <c r="AU84">
        <f>COUNTIF(R84,"&gt;0")</f>
      </c>
      <c r="AV84">
        <f>COUNTIF(S84,"&gt;0")</f>
      </c>
      <c r="AW84">
        <f>COUNTIF(T84,"&gt;0")</f>
      </c>
      <c r="AX84" t="s">
        <v>173</v>
      </c>
      <c r="AY84" t="s">
        <v>187</v>
      </c>
    </row>
    <row r="85" ht="28" customHeight="1" spans="1:51" x14ac:dyDescent="0.25">
      <c r="A85" s="14"/>
      <c r="B85" s="14"/>
      <c r="C85" s="14"/>
      <c r="D85" s="14"/>
      <c r="E85" s="14"/>
      <c r="F85" s="15" t="s">
        <v>188</v>
      </c>
      <c r="G85" s="15" t="s">
        <v>189</v>
      </c>
      <c r="H85" s="14" t="s">
        <v>66</v>
      </c>
      <c r="I85" s="16">
        <v>1</v>
      </c>
      <c r="J85" s="17">
        <v>1</v>
      </c>
      <c r="K85" s="14" t="s">
        <v>121</v>
      </c>
      <c r="L85" s="14" t="s">
        <v>68</v>
      </c>
      <c r="M85" s="14"/>
      <c r="N85" s="14"/>
      <c r="O85" s="15"/>
      <c r="P85" s="22">
        <v>1</v>
      </c>
      <c r="Q85" s="22">
        <v>1</v>
      </c>
      <c r="R85" s="22">
        <v>1</v>
      </c>
      <c r="S85" s="22">
        <v>1</v>
      </c>
      <c r="T85" s="22">
        <v>1</v>
      </c>
      <c r="U85" s="14" t="s">
        <v>69</v>
      </c>
      <c r="V85" s="14" t="s">
        <v>69</v>
      </c>
      <c r="W85" s="14" t="s">
        <v>69</v>
      </c>
      <c r="X85" s="14" t="s">
        <v>69</v>
      </c>
      <c r="Y85" s="14" t="s">
        <v>69</v>
      </c>
      <c r="AM85">
        <f>COUNTIF(P85:T85,"&gt;0")</f>
      </c>
      <c r="AN85">
        <f>COUNTIF(P85,"&gt;0")</f>
      </c>
      <c r="AO85">
        <f>COUNTIF(Q85,"&gt;0")</f>
      </c>
      <c r="AP85">
        <f>COUNTIF(R85,"&gt;0")</f>
      </c>
      <c r="AQ85">
        <f>COUNTIF(S85,"&gt;0")</f>
      </c>
      <c r="AR85">
        <f>COUNTIF(T85,"&gt;0")</f>
      </c>
      <c r="AX85" t="s">
        <v>173</v>
      </c>
      <c r="AY85" t="s">
        <v>190</v>
      </c>
    </row>
    <row r="86" ht="18" customHeight="1" spans="1:51" x14ac:dyDescent="0.25">
      <c r="A86" s="14"/>
      <c r="B86" s="14"/>
      <c r="C86" s="14"/>
      <c r="D86" s="14"/>
      <c r="E86" s="14"/>
      <c r="F86" s="15"/>
      <c r="G86" s="15"/>
      <c r="H86" s="14" t="s">
        <v>71</v>
      </c>
      <c r="I86" s="16"/>
      <c r="J86" s="17"/>
      <c r="K86" s="14"/>
      <c r="L86" s="14"/>
      <c r="M86" s="14"/>
      <c r="N86" s="14"/>
      <c r="O86" s="15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1" t="s">
        <v>69</v>
      </c>
      <c r="V86" s="21" t="s">
        <v>69</v>
      </c>
      <c r="W86" s="21" t="s">
        <v>69</v>
      </c>
      <c r="X86" s="21" t="s">
        <v>69</v>
      </c>
      <c r="Y86" s="21" t="s">
        <v>69</v>
      </c>
      <c r="AL86">
        <f>COUNTIF(P86:T86,"&gt;0")</f>
      </c>
      <c r="AS86">
        <f>COUNTIF(P86,"&gt;0")</f>
      </c>
      <c r="AT86">
        <f>COUNTIF(Q86,"&gt;0")</f>
      </c>
      <c r="AU86">
        <f>COUNTIF(R86,"&gt;0")</f>
      </c>
      <c r="AV86">
        <f>COUNTIF(S86,"&gt;0")</f>
      </c>
      <c r="AW86">
        <f>COUNTIF(T86,"&gt;0")</f>
      </c>
      <c r="AX86" t="s">
        <v>173</v>
      </c>
      <c r="AY86" t="s">
        <v>190</v>
      </c>
    </row>
    <row r="87" ht="28" customHeight="1" spans="1:51" x14ac:dyDescent="0.25">
      <c r="A87" s="14"/>
      <c r="B87" s="14"/>
      <c r="C87" s="14"/>
      <c r="D87" s="14"/>
      <c r="E87" s="14"/>
      <c r="F87" s="15" t="s">
        <v>188</v>
      </c>
      <c r="G87" s="15" t="s">
        <v>191</v>
      </c>
      <c r="H87" s="14" t="s">
        <v>66</v>
      </c>
      <c r="I87" s="16">
        <v>1</v>
      </c>
      <c r="J87" s="17">
        <v>1</v>
      </c>
      <c r="K87" s="14" t="s">
        <v>121</v>
      </c>
      <c r="L87" s="14" t="s">
        <v>68</v>
      </c>
      <c r="M87" s="14"/>
      <c r="N87" s="14"/>
      <c r="O87" s="15"/>
      <c r="P87" s="22">
        <v>1</v>
      </c>
      <c r="Q87" s="22">
        <v>1</v>
      </c>
      <c r="R87" s="22">
        <v>1</v>
      </c>
      <c r="S87" s="22">
        <v>1</v>
      </c>
      <c r="T87" s="22">
        <v>1</v>
      </c>
      <c r="U87" s="14" t="s">
        <v>69</v>
      </c>
      <c r="V87" s="14" t="s">
        <v>69</v>
      </c>
      <c r="W87" s="14" t="s">
        <v>69</v>
      </c>
      <c r="X87" s="14" t="s">
        <v>69</v>
      </c>
      <c r="Y87" s="14" t="s">
        <v>69</v>
      </c>
      <c r="AM87">
        <f>COUNTIF(P87:T87,"&gt;0")</f>
      </c>
      <c r="AN87">
        <f>COUNTIF(P87,"&gt;0")</f>
      </c>
      <c r="AO87">
        <f>COUNTIF(Q87,"&gt;0")</f>
      </c>
      <c r="AP87">
        <f>COUNTIF(R87,"&gt;0")</f>
      </c>
      <c r="AQ87">
        <f>COUNTIF(S87,"&gt;0")</f>
      </c>
      <c r="AR87">
        <f>COUNTIF(T87,"&gt;0")</f>
      </c>
      <c r="AX87" t="s">
        <v>173</v>
      </c>
      <c r="AY87" t="s">
        <v>192</v>
      </c>
    </row>
    <row r="88" ht="18" customHeight="1" spans="1:51" x14ac:dyDescent="0.25">
      <c r="A88" s="14"/>
      <c r="B88" s="14"/>
      <c r="C88" s="14"/>
      <c r="D88" s="14"/>
      <c r="E88" s="14"/>
      <c r="F88" s="15"/>
      <c r="G88" s="15"/>
      <c r="H88" s="14" t="s">
        <v>71</v>
      </c>
      <c r="I88" s="16"/>
      <c r="J88" s="17"/>
      <c r="K88" s="14"/>
      <c r="L88" s="14"/>
      <c r="M88" s="14"/>
      <c r="N88" s="14"/>
      <c r="O88" s="15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1" t="s">
        <v>69</v>
      </c>
      <c r="V88" s="21" t="s">
        <v>69</v>
      </c>
      <c r="W88" s="21" t="s">
        <v>69</v>
      </c>
      <c r="X88" s="21" t="s">
        <v>69</v>
      </c>
      <c r="Y88" s="21" t="s">
        <v>69</v>
      </c>
      <c r="AL88">
        <f>COUNTIF(P88:T88,"&gt;0")</f>
      </c>
      <c r="AS88">
        <f>COUNTIF(P88,"&gt;0")</f>
      </c>
      <c r="AT88">
        <f>COUNTIF(Q88,"&gt;0")</f>
      </c>
      <c r="AU88">
        <f>COUNTIF(R88,"&gt;0")</f>
      </c>
      <c r="AV88">
        <f>COUNTIF(S88,"&gt;0")</f>
      </c>
      <c r="AW88">
        <f>COUNTIF(T88,"&gt;0")</f>
      </c>
      <c r="AX88" t="s">
        <v>173</v>
      </c>
      <c r="AY88" t="s">
        <v>192</v>
      </c>
    </row>
    <row r="89" ht="28" customHeight="1" spans="1:51" x14ac:dyDescent="0.25">
      <c r="A89" s="14"/>
      <c r="B89" s="14"/>
      <c r="C89" s="14"/>
      <c r="D89" s="14"/>
      <c r="E89" s="14"/>
      <c r="F89" s="15" t="s">
        <v>123</v>
      </c>
      <c r="G89" s="15" t="s">
        <v>193</v>
      </c>
      <c r="H89" s="14" t="s">
        <v>66</v>
      </c>
      <c r="I89" s="16">
        <v>1</v>
      </c>
      <c r="J89" s="17">
        <v>1</v>
      </c>
      <c r="K89" s="14" t="s">
        <v>121</v>
      </c>
      <c r="L89" s="14" t="s">
        <v>68</v>
      </c>
      <c r="M89" s="14"/>
      <c r="N89" s="14"/>
      <c r="O89" s="15"/>
      <c r="P89" s="22">
        <v>1</v>
      </c>
      <c r="Q89" s="22">
        <v>1</v>
      </c>
      <c r="R89" s="22">
        <v>1</v>
      </c>
      <c r="S89" s="22">
        <v>1</v>
      </c>
      <c r="T89" s="22">
        <v>1</v>
      </c>
      <c r="U89" s="14" t="s">
        <v>69</v>
      </c>
      <c r="V89" s="14" t="s">
        <v>69</v>
      </c>
      <c r="W89" s="14" t="s">
        <v>69</v>
      </c>
      <c r="X89" s="14" t="s">
        <v>69</v>
      </c>
      <c r="Y89" s="14" t="s">
        <v>69</v>
      </c>
      <c r="AM89">
        <f>COUNTIF(P89:T89,"&gt;0")</f>
      </c>
      <c r="AN89">
        <f>COUNTIF(P89,"&gt;0")</f>
      </c>
      <c r="AO89">
        <f>COUNTIF(Q89,"&gt;0")</f>
      </c>
      <c r="AP89">
        <f>COUNTIF(R89,"&gt;0")</f>
      </c>
      <c r="AQ89">
        <f>COUNTIF(S89,"&gt;0")</f>
      </c>
      <c r="AR89">
        <f>COUNTIF(T89,"&gt;0")</f>
      </c>
      <c r="AX89" t="s">
        <v>173</v>
      </c>
      <c r="AY89" t="s">
        <v>194</v>
      </c>
    </row>
    <row r="90" ht="18" customHeight="1" spans="1:51" x14ac:dyDescent="0.25">
      <c r="A90" s="14"/>
      <c r="B90" s="14"/>
      <c r="C90" s="14"/>
      <c r="D90" s="14"/>
      <c r="E90" s="14"/>
      <c r="F90" s="15"/>
      <c r="G90" s="15"/>
      <c r="H90" s="14" t="s">
        <v>71</v>
      </c>
      <c r="I90" s="16"/>
      <c r="J90" s="17"/>
      <c r="K90" s="14"/>
      <c r="L90" s="14"/>
      <c r="M90" s="14"/>
      <c r="N90" s="14"/>
      <c r="O90" s="15"/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1" t="s">
        <v>69</v>
      </c>
      <c r="V90" s="21" t="s">
        <v>69</v>
      </c>
      <c r="W90" s="21" t="s">
        <v>69</v>
      </c>
      <c r="X90" s="21" t="s">
        <v>69</v>
      </c>
      <c r="Y90" s="21" t="s">
        <v>69</v>
      </c>
      <c r="AL90">
        <f>COUNTIF(P90:T90,"&gt;0")</f>
      </c>
      <c r="AS90">
        <f>COUNTIF(P90,"&gt;0")</f>
      </c>
      <c r="AT90">
        <f>COUNTIF(Q90,"&gt;0")</f>
      </c>
      <c r="AU90">
        <f>COUNTIF(R90,"&gt;0")</f>
      </c>
      <c r="AV90">
        <f>COUNTIF(S90,"&gt;0")</f>
      </c>
      <c r="AW90">
        <f>COUNTIF(T90,"&gt;0")</f>
      </c>
      <c r="AX90" t="s">
        <v>173</v>
      </c>
      <c r="AY90" t="s">
        <v>194</v>
      </c>
    </row>
    <row r="91" ht="28" customHeight="1" spans="1:51" x14ac:dyDescent="0.25">
      <c r="A91" s="14"/>
      <c r="B91" s="14"/>
      <c r="C91" s="14"/>
      <c r="D91" s="14"/>
      <c r="E91" s="14"/>
      <c r="F91" s="15" t="s">
        <v>195</v>
      </c>
      <c r="G91" s="15" t="s">
        <v>196</v>
      </c>
      <c r="H91" s="14" t="s">
        <v>66</v>
      </c>
      <c r="I91" s="16">
        <v>1</v>
      </c>
      <c r="J91" s="17">
        <v>1</v>
      </c>
      <c r="K91" s="14" t="s">
        <v>121</v>
      </c>
      <c r="L91" s="14" t="s">
        <v>68</v>
      </c>
      <c r="M91" s="14"/>
      <c r="N91" s="14"/>
      <c r="O91" s="15"/>
      <c r="P91" s="22">
        <v>1</v>
      </c>
      <c r="Q91" s="22">
        <v>1</v>
      </c>
      <c r="R91" s="22">
        <v>1</v>
      </c>
      <c r="S91" s="22">
        <v>1</v>
      </c>
      <c r="T91" s="22">
        <v>1</v>
      </c>
      <c r="U91" s="14" t="s">
        <v>69</v>
      </c>
      <c r="V91" s="14" t="s">
        <v>69</v>
      </c>
      <c r="W91" s="14" t="s">
        <v>69</v>
      </c>
      <c r="X91" s="14" t="s">
        <v>69</v>
      </c>
      <c r="Y91" s="14" t="s">
        <v>69</v>
      </c>
      <c r="AM91">
        <f>COUNTIF(P91:T91,"&gt;0")</f>
      </c>
      <c r="AN91">
        <f>COUNTIF(P91,"&gt;0")</f>
      </c>
      <c r="AO91">
        <f>COUNTIF(Q91,"&gt;0")</f>
      </c>
      <c r="AP91">
        <f>COUNTIF(R91,"&gt;0")</f>
      </c>
      <c r="AQ91">
        <f>COUNTIF(S91,"&gt;0")</f>
      </c>
      <c r="AR91">
        <f>COUNTIF(T91,"&gt;0")</f>
      </c>
      <c r="AX91" t="s">
        <v>173</v>
      </c>
      <c r="AY91" t="s">
        <v>197</v>
      </c>
    </row>
    <row r="92" ht="18" customHeight="1" spans="1:51" x14ac:dyDescent="0.25">
      <c r="A92" s="14"/>
      <c r="B92" s="14"/>
      <c r="C92" s="14"/>
      <c r="D92" s="14"/>
      <c r="E92" s="14"/>
      <c r="F92" s="15"/>
      <c r="G92" s="15"/>
      <c r="H92" s="14" t="s">
        <v>71</v>
      </c>
      <c r="I92" s="16"/>
      <c r="J92" s="17"/>
      <c r="K92" s="14"/>
      <c r="L92" s="14"/>
      <c r="M92" s="14"/>
      <c r="N92" s="14"/>
      <c r="O92" s="15"/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1" t="s">
        <v>69</v>
      </c>
      <c r="V92" s="21" t="s">
        <v>69</v>
      </c>
      <c r="W92" s="21" t="s">
        <v>69</v>
      </c>
      <c r="X92" s="21" t="s">
        <v>69</v>
      </c>
      <c r="Y92" s="21" t="s">
        <v>69</v>
      </c>
      <c r="AL92">
        <f>COUNTIF(P92:T92,"&gt;0")</f>
      </c>
      <c r="AS92">
        <f>COUNTIF(P92,"&gt;0")</f>
      </c>
      <c r="AT92">
        <f>COUNTIF(Q92,"&gt;0")</f>
      </c>
      <c r="AU92">
        <f>COUNTIF(R92,"&gt;0")</f>
      </c>
      <c r="AV92">
        <f>COUNTIF(S92,"&gt;0")</f>
      </c>
      <c r="AW92">
        <f>COUNTIF(T92,"&gt;0")</f>
      </c>
      <c r="AX92" t="s">
        <v>173</v>
      </c>
      <c r="AY92" t="s">
        <v>197</v>
      </c>
    </row>
    <row r="93" ht="28" customHeight="1" spans="1:51" x14ac:dyDescent="0.25">
      <c r="A93" s="14"/>
      <c r="B93" s="14"/>
      <c r="C93" s="14"/>
      <c r="D93" s="14"/>
      <c r="E93" s="14"/>
      <c r="F93" s="15" t="s">
        <v>198</v>
      </c>
      <c r="G93" s="15" t="s">
        <v>199</v>
      </c>
      <c r="H93" s="14" t="s">
        <v>66</v>
      </c>
      <c r="I93" s="16">
        <v>1</v>
      </c>
      <c r="J93" s="17">
        <v>1</v>
      </c>
      <c r="K93" s="14" t="s">
        <v>121</v>
      </c>
      <c r="L93" s="14" t="s">
        <v>68</v>
      </c>
      <c r="M93" s="14"/>
      <c r="N93" s="14"/>
      <c r="O93" s="15"/>
      <c r="P93" s="22">
        <v>1</v>
      </c>
      <c r="Q93" s="22">
        <v>1</v>
      </c>
      <c r="R93" s="22">
        <v>1</v>
      </c>
      <c r="S93" s="22">
        <v>1</v>
      </c>
      <c r="T93" s="22">
        <v>1</v>
      </c>
      <c r="U93" s="14" t="s">
        <v>69</v>
      </c>
      <c r="V93" s="14" t="s">
        <v>69</v>
      </c>
      <c r="W93" s="14" t="s">
        <v>69</v>
      </c>
      <c r="X93" s="14" t="s">
        <v>69</v>
      </c>
      <c r="Y93" s="14" t="s">
        <v>69</v>
      </c>
      <c r="AM93">
        <f>COUNTIF(P93:T93,"&gt;0")</f>
      </c>
      <c r="AN93">
        <f>COUNTIF(P93,"&gt;0")</f>
      </c>
      <c r="AO93">
        <f>COUNTIF(Q93,"&gt;0")</f>
      </c>
      <c r="AP93">
        <f>COUNTIF(R93,"&gt;0")</f>
      </c>
      <c r="AQ93">
        <f>COUNTIF(S93,"&gt;0")</f>
      </c>
      <c r="AR93">
        <f>COUNTIF(T93,"&gt;0")</f>
      </c>
      <c r="AX93" t="s">
        <v>173</v>
      </c>
      <c r="AY93" t="s">
        <v>200</v>
      </c>
    </row>
    <row r="94" ht="18" customHeight="1" spans="1:51" x14ac:dyDescent="0.25">
      <c r="A94" s="14"/>
      <c r="B94" s="14"/>
      <c r="C94" s="14"/>
      <c r="D94" s="14"/>
      <c r="E94" s="14"/>
      <c r="F94" s="15"/>
      <c r="G94" s="15"/>
      <c r="H94" s="14" t="s">
        <v>71</v>
      </c>
      <c r="I94" s="16"/>
      <c r="J94" s="17"/>
      <c r="K94" s="14"/>
      <c r="L94" s="14"/>
      <c r="M94" s="14"/>
      <c r="N94" s="14"/>
      <c r="O94" s="15"/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1" t="s">
        <v>69</v>
      </c>
      <c r="V94" s="21" t="s">
        <v>69</v>
      </c>
      <c r="W94" s="21" t="s">
        <v>69</v>
      </c>
      <c r="X94" s="21" t="s">
        <v>69</v>
      </c>
      <c r="Y94" s="21" t="s">
        <v>69</v>
      </c>
      <c r="AL94">
        <f>COUNTIF(P94:T94,"&gt;0")</f>
      </c>
      <c r="AS94">
        <f>COUNTIF(P94,"&gt;0")</f>
      </c>
      <c r="AT94">
        <f>COUNTIF(Q94,"&gt;0")</f>
      </c>
      <c r="AU94">
        <f>COUNTIF(R94,"&gt;0")</f>
      </c>
      <c r="AV94">
        <f>COUNTIF(S94,"&gt;0")</f>
      </c>
      <c r="AW94">
        <f>COUNTIF(T94,"&gt;0")</f>
      </c>
      <c r="AX94" t="s">
        <v>173</v>
      </c>
      <c r="AY94" t="s">
        <v>200</v>
      </c>
    </row>
    <row r="95" ht="28" customHeight="1" spans="1:51" x14ac:dyDescent="0.25">
      <c r="A95" s="14"/>
      <c r="B95" s="14"/>
      <c r="C95" s="14"/>
      <c r="D95" s="14"/>
      <c r="E95" s="14"/>
      <c r="F95" s="15" t="s">
        <v>201</v>
      </c>
      <c r="G95" s="15" t="s">
        <v>202</v>
      </c>
      <c r="H95" s="14" t="s">
        <v>66</v>
      </c>
      <c r="I95" s="16">
        <v>1</v>
      </c>
      <c r="J95" s="17">
        <v>1</v>
      </c>
      <c r="K95" s="14" t="s">
        <v>121</v>
      </c>
      <c r="L95" s="14" t="s">
        <v>68</v>
      </c>
      <c r="M95" s="14"/>
      <c r="N95" s="14"/>
      <c r="O95" s="15"/>
      <c r="P95" s="22">
        <v>1</v>
      </c>
      <c r="Q95" s="22">
        <v>1</v>
      </c>
      <c r="R95" s="22">
        <v>1</v>
      </c>
      <c r="S95" s="22">
        <v>1</v>
      </c>
      <c r="T95" s="22">
        <v>1</v>
      </c>
      <c r="U95" s="14" t="s">
        <v>69</v>
      </c>
      <c r="V95" s="14" t="s">
        <v>69</v>
      </c>
      <c r="W95" s="14" t="s">
        <v>69</v>
      </c>
      <c r="X95" s="14" t="s">
        <v>69</v>
      </c>
      <c r="Y95" s="14" t="s">
        <v>69</v>
      </c>
      <c r="AM95">
        <f>COUNTIF(P95:T95,"&gt;0")</f>
      </c>
      <c r="AN95">
        <f>COUNTIF(P95,"&gt;0")</f>
      </c>
      <c r="AO95">
        <f>COUNTIF(Q95,"&gt;0")</f>
      </c>
      <c r="AP95">
        <f>COUNTIF(R95,"&gt;0")</f>
      </c>
      <c r="AQ95">
        <f>COUNTIF(S95,"&gt;0")</f>
      </c>
      <c r="AR95">
        <f>COUNTIF(T95,"&gt;0")</f>
      </c>
      <c r="AX95" t="s">
        <v>173</v>
      </c>
      <c r="AY95" t="s">
        <v>203</v>
      </c>
    </row>
    <row r="96" ht="18" customHeight="1" spans="1:51" x14ac:dyDescent="0.25">
      <c r="A96" s="14"/>
      <c r="B96" s="14"/>
      <c r="C96" s="14"/>
      <c r="D96" s="14"/>
      <c r="E96" s="14"/>
      <c r="F96" s="15"/>
      <c r="G96" s="15"/>
      <c r="H96" s="14" t="s">
        <v>71</v>
      </c>
      <c r="I96" s="16"/>
      <c r="J96" s="17"/>
      <c r="K96" s="14"/>
      <c r="L96" s="14"/>
      <c r="M96" s="14"/>
      <c r="N96" s="14"/>
      <c r="O96" s="15"/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1" t="s">
        <v>69</v>
      </c>
      <c r="V96" s="21" t="s">
        <v>69</v>
      </c>
      <c r="W96" s="21" t="s">
        <v>69</v>
      </c>
      <c r="X96" s="21" t="s">
        <v>69</v>
      </c>
      <c r="Y96" s="21" t="s">
        <v>69</v>
      </c>
      <c r="AL96">
        <f>COUNTIF(P96:T96,"&gt;0")</f>
      </c>
      <c r="AS96">
        <f>COUNTIF(P96,"&gt;0")</f>
      </c>
      <c r="AT96">
        <f>COUNTIF(Q96,"&gt;0")</f>
      </c>
      <c r="AU96">
        <f>COUNTIF(R96,"&gt;0")</f>
      </c>
      <c r="AV96">
        <f>COUNTIF(S96,"&gt;0")</f>
      </c>
      <c r="AW96">
        <f>COUNTIF(T96,"&gt;0")</f>
      </c>
      <c r="AX96" t="s">
        <v>173</v>
      </c>
      <c r="AY96" t="s">
        <v>203</v>
      </c>
    </row>
    <row r="97" ht="28" customHeight="1" spans="1:51" x14ac:dyDescent="0.25">
      <c r="A97" s="14"/>
      <c r="B97" s="14"/>
      <c r="C97" s="14"/>
      <c r="D97" s="14"/>
      <c r="E97" s="14"/>
      <c r="F97" s="15" t="s">
        <v>204</v>
      </c>
      <c r="G97" s="15" t="s">
        <v>205</v>
      </c>
      <c r="H97" s="14" t="s">
        <v>66</v>
      </c>
      <c r="I97" s="16">
        <v>2</v>
      </c>
      <c r="J97" s="17">
        <v>1</v>
      </c>
      <c r="K97" s="14" t="s">
        <v>67</v>
      </c>
      <c r="L97" s="14" t="s">
        <v>68</v>
      </c>
      <c r="M97" s="14"/>
      <c r="N97" s="14"/>
      <c r="O97" s="15"/>
      <c r="P97" s="19">
        <v>0</v>
      </c>
      <c r="Q97" s="19">
        <v>0</v>
      </c>
      <c r="R97" s="18">
        <v>2</v>
      </c>
      <c r="S97" s="19">
        <v>0</v>
      </c>
      <c r="T97" s="19">
        <v>0</v>
      </c>
      <c r="U97" s="14" t="s">
        <v>69</v>
      </c>
      <c r="V97" s="14" t="s">
        <v>69</v>
      </c>
      <c r="W97" s="14" t="s">
        <v>69</v>
      </c>
      <c r="X97" s="14" t="s">
        <v>69</v>
      </c>
      <c r="Y97" s="14" t="s">
        <v>69</v>
      </c>
      <c r="AM97">
        <f>COUNTIF(P97:T97,"&gt;0")</f>
      </c>
      <c r="AN97">
        <f>COUNTIF(P97,"&gt;0")</f>
      </c>
      <c r="AO97">
        <f>COUNTIF(Q97,"&gt;0")</f>
      </c>
      <c r="AP97">
        <f>COUNTIF(R97,"&gt;0")</f>
      </c>
      <c r="AQ97">
        <f>COUNTIF(S97,"&gt;0")</f>
      </c>
      <c r="AR97">
        <f>COUNTIF(T97,"&gt;0")</f>
      </c>
      <c r="AX97" t="s">
        <v>173</v>
      </c>
      <c r="AY97" t="s">
        <v>206</v>
      </c>
    </row>
    <row r="98" ht="18" customHeight="1" spans="1:51" x14ac:dyDescent="0.25">
      <c r="A98" s="14"/>
      <c r="B98" s="14"/>
      <c r="C98" s="14"/>
      <c r="D98" s="14"/>
      <c r="E98" s="14"/>
      <c r="F98" s="15"/>
      <c r="G98" s="15"/>
      <c r="H98" s="14" t="s">
        <v>71</v>
      </c>
      <c r="I98" s="16"/>
      <c r="J98" s="17"/>
      <c r="K98" s="14"/>
      <c r="L98" s="14"/>
      <c r="M98" s="14"/>
      <c r="N98" s="14"/>
      <c r="O98" s="15"/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1" t="s">
        <v>69</v>
      </c>
      <c r="V98" s="21" t="s">
        <v>69</v>
      </c>
      <c r="W98" s="21" t="s">
        <v>69</v>
      </c>
      <c r="X98" s="21" t="s">
        <v>69</v>
      </c>
      <c r="Y98" s="21" t="s">
        <v>69</v>
      </c>
      <c r="AL98">
        <f>COUNTIF(P98:T98,"&gt;0")</f>
      </c>
      <c r="AS98">
        <f>COUNTIF(P98,"&gt;0")</f>
      </c>
      <c r="AT98">
        <f>COUNTIF(Q98,"&gt;0")</f>
      </c>
      <c r="AU98">
        <f>COUNTIF(R98,"&gt;0")</f>
      </c>
      <c r="AV98">
        <f>COUNTIF(S98,"&gt;0")</f>
      </c>
      <c r="AW98">
        <f>COUNTIF(T98,"&gt;0")</f>
      </c>
      <c r="AX98" t="s">
        <v>173</v>
      </c>
      <c r="AY98" t="s">
        <v>206</v>
      </c>
    </row>
    <row r="99" ht="28" customHeight="1" spans="1:51" x14ac:dyDescent="0.25">
      <c r="A99" s="14"/>
      <c r="B99" s="14"/>
      <c r="C99" s="14"/>
      <c r="D99" s="14"/>
      <c r="E99" s="14"/>
      <c r="F99" s="15" t="s">
        <v>207</v>
      </c>
      <c r="G99" s="15" t="s">
        <v>208</v>
      </c>
      <c r="H99" s="14" t="s">
        <v>66</v>
      </c>
      <c r="I99" s="16">
        <v>5</v>
      </c>
      <c r="J99" s="17">
        <v>12</v>
      </c>
      <c r="K99" s="14" t="s">
        <v>141</v>
      </c>
      <c r="L99" s="14" t="s">
        <v>68</v>
      </c>
      <c r="M99" s="14"/>
      <c r="N99" s="14"/>
      <c r="O99" s="15"/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4" t="s">
        <v>69</v>
      </c>
      <c r="V99" s="14" t="s">
        <v>69</v>
      </c>
      <c r="W99" s="14" t="s">
        <v>69</v>
      </c>
      <c r="X99" s="14" t="s">
        <v>69</v>
      </c>
      <c r="Y99" s="14" t="s">
        <v>69</v>
      </c>
      <c r="AM99">
        <f>COUNTIF(P99:T99,"&gt;0")</f>
      </c>
      <c r="AN99">
        <f>COUNTIF(P99,"&gt;0")</f>
      </c>
      <c r="AO99">
        <f>COUNTIF(Q99,"&gt;0")</f>
      </c>
      <c r="AP99">
        <f>COUNTIF(R99,"&gt;0")</f>
      </c>
      <c r="AQ99">
        <f>COUNTIF(S99,"&gt;0")</f>
      </c>
      <c r="AR99">
        <f>COUNTIF(T99,"&gt;0")</f>
      </c>
      <c r="AX99" t="s">
        <v>173</v>
      </c>
      <c r="AY99" t="s">
        <v>209</v>
      </c>
    </row>
    <row r="100" ht="18" customHeight="1" spans="1:51" x14ac:dyDescent="0.25">
      <c r="A100" s="14"/>
      <c r="B100" s="14"/>
      <c r="C100" s="14"/>
      <c r="D100" s="14"/>
      <c r="E100" s="14"/>
      <c r="F100" s="15"/>
      <c r="G100" s="15"/>
      <c r="H100" s="14" t="s">
        <v>71</v>
      </c>
      <c r="I100" s="16"/>
      <c r="J100" s="17"/>
      <c r="K100" s="14"/>
      <c r="L100" s="14"/>
      <c r="M100" s="14"/>
      <c r="N100" s="14"/>
      <c r="O100" s="15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1" t="s">
        <v>69</v>
      </c>
      <c r="V100" s="21" t="s">
        <v>69</v>
      </c>
      <c r="W100" s="21" t="s">
        <v>69</v>
      </c>
      <c r="X100" s="21" t="s">
        <v>69</v>
      </c>
      <c r="Y100" s="21" t="s">
        <v>69</v>
      </c>
      <c r="AL100">
        <f>COUNTIF(P100:T100,"&gt;0")</f>
      </c>
      <c r="AS100">
        <f>COUNTIF(P100,"&gt;0")</f>
      </c>
      <c r="AT100">
        <f>COUNTIF(Q100,"&gt;0")</f>
      </c>
      <c r="AU100">
        <f>COUNTIF(R100,"&gt;0")</f>
      </c>
      <c r="AV100">
        <f>COUNTIF(S100,"&gt;0")</f>
      </c>
      <c r="AW100">
        <f>COUNTIF(T100,"&gt;0")</f>
      </c>
      <c r="AX100" t="s">
        <v>173</v>
      </c>
      <c r="AY100" t="s">
        <v>209</v>
      </c>
    </row>
    <row r="101" ht="28" customHeight="1" spans="1:51" x14ac:dyDescent="0.25">
      <c r="A101" s="14"/>
      <c r="B101" s="14"/>
      <c r="C101" s="14"/>
      <c r="D101" s="14"/>
      <c r="E101" s="14"/>
      <c r="F101" s="15" t="s">
        <v>176</v>
      </c>
      <c r="G101" s="15" t="s">
        <v>177</v>
      </c>
      <c r="H101" s="14" t="s">
        <v>66</v>
      </c>
      <c r="I101" s="16">
        <v>1</v>
      </c>
      <c r="J101" s="17">
        <v>1</v>
      </c>
      <c r="K101" s="14" t="s">
        <v>121</v>
      </c>
      <c r="L101" s="14" t="s">
        <v>68</v>
      </c>
      <c r="M101" s="14"/>
      <c r="N101" s="14"/>
      <c r="O101" s="15"/>
      <c r="P101" s="22">
        <v>1</v>
      </c>
      <c r="Q101" s="22">
        <v>1</v>
      </c>
      <c r="R101" s="22">
        <v>1</v>
      </c>
      <c r="S101" s="22">
        <v>1</v>
      </c>
      <c r="T101" s="22">
        <v>1</v>
      </c>
      <c r="U101" s="14" t="s">
        <v>69</v>
      </c>
      <c r="V101" s="14" t="s">
        <v>69</v>
      </c>
      <c r="W101" s="14" t="s">
        <v>69</v>
      </c>
      <c r="X101" s="14" t="s">
        <v>69</v>
      </c>
      <c r="Y101" s="14" t="s">
        <v>69</v>
      </c>
      <c r="AM101">
        <f>COUNTIF(P101:T101,"&gt;0")</f>
      </c>
      <c r="AN101">
        <f>COUNTIF(P101,"&gt;0")</f>
      </c>
      <c r="AO101">
        <f>COUNTIF(Q101,"&gt;0")</f>
      </c>
      <c r="AP101">
        <f>COUNTIF(R101,"&gt;0")</f>
      </c>
      <c r="AQ101">
        <f>COUNTIF(S101,"&gt;0")</f>
      </c>
      <c r="AR101">
        <f>COUNTIF(T101,"&gt;0")</f>
      </c>
      <c r="AX101" t="s">
        <v>173</v>
      </c>
      <c r="AY101" t="s">
        <v>210</v>
      </c>
    </row>
    <row r="102" ht="18" customHeight="1" spans="1:51" x14ac:dyDescent="0.25">
      <c r="A102" s="14"/>
      <c r="B102" s="14"/>
      <c r="C102" s="14"/>
      <c r="D102" s="14"/>
      <c r="E102" s="14"/>
      <c r="F102" s="15"/>
      <c r="G102" s="15"/>
      <c r="H102" s="14" t="s">
        <v>71</v>
      </c>
      <c r="I102" s="16"/>
      <c r="J102" s="17"/>
      <c r="K102" s="14"/>
      <c r="L102" s="14"/>
      <c r="M102" s="14"/>
      <c r="N102" s="14"/>
      <c r="O102" s="15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1" t="s">
        <v>69</v>
      </c>
      <c r="V102" s="21" t="s">
        <v>69</v>
      </c>
      <c r="W102" s="21" t="s">
        <v>69</v>
      </c>
      <c r="X102" s="21" t="s">
        <v>69</v>
      </c>
      <c r="Y102" s="21" t="s">
        <v>69</v>
      </c>
      <c r="AL102">
        <f>COUNTIF(P102:T102,"&gt;0")</f>
      </c>
      <c r="AS102">
        <f>COUNTIF(P102,"&gt;0")</f>
      </c>
      <c r="AT102">
        <f>COUNTIF(Q102,"&gt;0")</f>
      </c>
      <c r="AU102">
        <f>COUNTIF(R102,"&gt;0")</f>
      </c>
      <c r="AV102">
        <f>COUNTIF(S102,"&gt;0")</f>
      </c>
      <c r="AW102">
        <f>COUNTIF(T102,"&gt;0")</f>
      </c>
      <c r="AX102" t="s">
        <v>173</v>
      </c>
      <c r="AY102" t="s">
        <v>210</v>
      </c>
    </row>
    <row r="103" ht="28" customHeight="1" spans="1:51" x14ac:dyDescent="0.25">
      <c r="A103" s="14"/>
      <c r="B103" s="14"/>
      <c r="C103" s="14"/>
      <c r="D103" s="14"/>
      <c r="E103" s="14"/>
      <c r="F103" s="15" t="s">
        <v>179</v>
      </c>
      <c r="G103" s="15" t="s">
        <v>180</v>
      </c>
      <c r="H103" s="14" t="s">
        <v>66</v>
      </c>
      <c r="I103" s="16">
        <v>1</v>
      </c>
      <c r="J103" s="17">
        <v>1</v>
      </c>
      <c r="K103" s="14" t="s">
        <v>121</v>
      </c>
      <c r="L103" s="14" t="s">
        <v>68</v>
      </c>
      <c r="M103" s="14"/>
      <c r="N103" s="14"/>
      <c r="O103" s="15"/>
      <c r="P103" s="22">
        <v>1</v>
      </c>
      <c r="Q103" s="22">
        <v>1</v>
      </c>
      <c r="R103" s="22">
        <v>1</v>
      </c>
      <c r="S103" s="22">
        <v>1</v>
      </c>
      <c r="T103" s="22">
        <v>1</v>
      </c>
      <c r="U103" s="14" t="s">
        <v>69</v>
      </c>
      <c r="V103" s="14" t="s">
        <v>69</v>
      </c>
      <c r="W103" s="14" t="s">
        <v>69</v>
      </c>
      <c r="X103" s="14" t="s">
        <v>69</v>
      </c>
      <c r="Y103" s="14" t="s">
        <v>69</v>
      </c>
      <c r="AM103">
        <f>COUNTIF(P103:T103,"&gt;0")</f>
      </c>
      <c r="AN103">
        <f>COUNTIF(P103,"&gt;0")</f>
      </c>
      <c r="AO103">
        <f>COUNTIF(Q103,"&gt;0")</f>
      </c>
      <c r="AP103">
        <f>COUNTIF(R103,"&gt;0")</f>
      </c>
      <c r="AQ103">
        <f>COUNTIF(S103,"&gt;0")</f>
      </c>
      <c r="AR103">
        <f>COUNTIF(T103,"&gt;0")</f>
      </c>
      <c r="AX103" t="s">
        <v>173</v>
      </c>
      <c r="AY103" t="s">
        <v>211</v>
      </c>
    </row>
    <row r="104" ht="18" customHeight="1" spans="1:51" x14ac:dyDescent="0.25">
      <c r="A104" s="14"/>
      <c r="B104" s="14"/>
      <c r="C104" s="14"/>
      <c r="D104" s="14"/>
      <c r="E104" s="14"/>
      <c r="F104" s="15"/>
      <c r="G104" s="15"/>
      <c r="H104" s="14" t="s">
        <v>71</v>
      </c>
      <c r="I104" s="16"/>
      <c r="J104" s="17"/>
      <c r="K104" s="14"/>
      <c r="L104" s="14"/>
      <c r="M104" s="14"/>
      <c r="N104" s="14"/>
      <c r="O104" s="15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1" t="s">
        <v>69</v>
      </c>
      <c r="V104" s="21" t="s">
        <v>69</v>
      </c>
      <c r="W104" s="21" t="s">
        <v>69</v>
      </c>
      <c r="X104" s="21" t="s">
        <v>69</v>
      </c>
      <c r="Y104" s="21" t="s">
        <v>69</v>
      </c>
      <c r="AL104">
        <f>COUNTIF(P104:T104,"&gt;0")</f>
      </c>
      <c r="AS104">
        <f>COUNTIF(P104,"&gt;0")</f>
      </c>
      <c r="AT104">
        <f>COUNTIF(Q104,"&gt;0")</f>
      </c>
      <c r="AU104">
        <f>COUNTIF(R104,"&gt;0")</f>
      </c>
      <c r="AV104">
        <f>COUNTIF(S104,"&gt;0")</f>
      </c>
      <c r="AW104">
        <f>COUNTIF(T104,"&gt;0")</f>
      </c>
      <c r="AX104" t="s">
        <v>173</v>
      </c>
      <c r="AY104" t="s">
        <v>211</v>
      </c>
    </row>
    <row r="105" ht="28" customHeight="1" spans="1:51" x14ac:dyDescent="0.25">
      <c r="A105" s="14"/>
      <c r="B105" s="14"/>
      <c r="C105" s="14"/>
      <c r="D105" s="14"/>
      <c r="E105" s="14"/>
      <c r="F105" s="15" t="s">
        <v>182</v>
      </c>
      <c r="G105" s="15" t="s">
        <v>183</v>
      </c>
      <c r="H105" s="14" t="s">
        <v>66</v>
      </c>
      <c r="I105" s="16">
        <v>1</v>
      </c>
      <c r="J105" s="17">
        <v>1</v>
      </c>
      <c r="K105" s="14" t="s">
        <v>121</v>
      </c>
      <c r="L105" s="14" t="s">
        <v>68</v>
      </c>
      <c r="M105" s="14"/>
      <c r="N105" s="14"/>
      <c r="O105" s="15"/>
      <c r="P105" s="22">
        <v>1</v>
      </c>
      <c r="Q105" s="22">
        <v>1</v>
      </c>
      <c r="R105" s="22">
        <v>1</v>
      </c>
      <c r="S105" s="22">
        <v>1</v>
      </c>
      <c r="T105" s="22">
        <v>1</v>
      </c>
      <c r="U105" s="14" t="s">
        <v>69</v>
      </c>
      <c r="V105" s="14" t="s">
        <v>69</v>
      </c>
      <c r="W105" s="14" t="s">
        <v>69</v>
      </c>
      <c r="X105" s="14" t="s">
        <v>69</v>
      </c>
      <c r="Y105" s="14" t="s">
        <v>69</v>
      </c>
      <c r="AM105">
        <f>COUNTIF(P105:T105,"&gt;0")</f>
      </c>
      <c r="AN105">
        <f>COUNTIF(P105,"&gt;0")</f>
      </c>
      <c r="AO105">
        <f>COUNTIF(Q105,"&gt;0")</f>
      </c>
      <c r="AP105">
        <f>COUNTIF(R105,"&gt;0")</f>
      </c>
      <c r="AQ105">
        <f>COUNTIF(S105,"&gt;0")</f>
      </c>
      <c r="AR105">
        <f>COUNTIF(T105,"&gt;0")</f>
      </c>
      <c r="AX105" t="s">
        <v>173</v>
      </c>
      <c r="AY105" t="s">
        <v>212</v>
      </c>
    </row>
    <row r="106" ht="18" customHeight="1" spans="1:51" x14ac:dyDescent="0.25">
      <c r="A106" s="14"/>
      <c r="B106" s="14"/>
      <c r="C106" s="14"/>
      <c r="D106" s="14"/>
      <c r="E106" s="14"/>
      <c r="F106" s="15"/>
      <c r="G106" s="15"/>
      <c r="H106" s="14" t="s">
        <v>71</v>
      </c>
      <c r="I106" s="16"/>
      <c r="J106" s="17"/>
      <c r="K106" s="14"/>
      <c r="L106" s="14"/>
      <c r="M106" s="14"/>
      <c r="N106" s="14"/>
      <c r="O106" s="15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1" t="s">
        <v>69</v>
      </c>
      <c r="V106" s="21" t="s">
        <v>69</v>
      </c>
      <c r="W106" s="21" t="s">
        <v>69</v>
      </c>
      <c r="X106" s="21" t="s">
        <v>69</v>
      </c>
      <c r="Y106" s="21" t="s">
        <v>69</v>
      </c>
      <c r="AL106">
        <f>COUNTIF(P106:T106,"&gt;0")</f>
      </c>
      <c r="AS106">
        <f>COUNTIF(P106,"&gt;0")</f>
      </c>
      <c r="AT106">
        <f>COUNTIF(Q106,"&gt;0")</f>
      </c>
      <c r="AU106">
        <f>COUNTIF(R106,"&gt;0")</f>
      </c>
      <c r="AV106">
        <f>COUNTIF(S106,"&gt;0")</f>
      </c>
      <c r="AW106">
        <f>COUNTIF(T106,"&gt;0")</f>
      </c>
      <c r="AX106" t="s">
        <v>173</v>
      </c>
      <c r="AY106" t="s">
        <v>212</v>
      </c>
    </row>
    <row r="107" ht="28" customHeight="1" spans="1:51" x14ac:dyDescent="0.25">
      <c r="A107" s="14"/>
      <c r="B107" s="14"/>
      <c r="C107" s="14"/>
      <c r="D107" s="14"/>
      <c r="E107" s="14"/>
      <c r="F107" s="15" t="s">
        <v>185</v>
      </c>
      <c r="G107" s="15" t="s">
        <v>186</v>
      </c>
      <c r="H107" s="14" t="s">
        <v>66</v>
      </c>
      <c r="I107" s="16">
        <v>1</v>
      </c>
      <c r="J107" s="17">
        <v>1</v>
      </c>
      <c r="K107" s="14" t="s">
        <v>121</v>
      </c>
      <c r="L107" s="14" t="s">
        <v>68</v>
      </c>
      <c r="M107" s="14"/>
      <c r="N107" s="14"/>
      <c r="O107" s="15"/>
      <c r="P107" s="22">
        <v>1</v>
      </c>
      <c r="Q107" s="22">
        <v>1</v>
      </c>
      <c r="R107" s="22">
        <v>1</v>
      </c>
      <c r="S107" s="22">
        <v>1</v>
      </c>
      <c r="T107" s="22">
        <v>1</v>
      </c>
      <c r="U107" s="14" t="s">
        <v>69</v>
      </c>
      <c r="V107" s="14" t="s">
        <v>69</v>
      </c>
      <c r="W107" s="14" t="s">
        <v>69</v>
      </c>
      <c r="X107" s="14" t="s">
        <v>69</v>
      </c>
      <c r="Y107" s="14" t="s">
        <v>69</v>
      </c>
      <c r="AM107">
        <f>COUNTIF(P107:T107,"&gt;0")</f>
      </c>
      <c r="AN107">
        <f>COUNTIF(P107,"&gt;0")</f>
      </c>
      <c r="AO107">
        <f>COUNTIF(Q107,"&gt;0")</f>
      </c>
      <c r="AP107">
        <f>COUNTIF(R107,"&gt;0")</f>
      </c>
      <c r="AQ107">
        <f>COUNTIF(S107,"&gt;0")</f>
      </c>
      <c r="AR107">
        <f>COUNTIF(T107,"&gt;0")</f>
      </c>
      <c r="AX107" t="s">
        <v>173</v>
      </c>
      <c r="AY107" t="s">
        <v>213</v>
      </c>
    </row>
    <row r="108" ht="18" customHeight="1" spans="1:51" x14ac:dyDescent="0.25">
      <c r="A108" s="14"/>
      <c r="B108" s="14"/>
      <c r="C108" s="14"/>
      <c r="D108" s="14"/>
      <c r="E108" s="14"/>
      <c r="F108" s="15"/>
      <c r="G108" s="15"/>
      <c r="H108" s="14" t="s">
        <v>71</v>
      </c>
      <c r="I108" s="16"/>
      <c r="J108" s="17"/>
      <c r="K108" s="14"/>
      <c r="L108" s="14"/>
      <c r="M108" s="14"/>
      <c r="N108" s="14"/>
      <c r="O108" s="15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1" t="s">
        <v>69</v>
      </c>
      <c r="V108" s="21" t="s">
        <v>69</v>
      </c>
      <c r="W108" s="21" t="s">
        <v>69</v>
      </c>
      <c r="X108" s="21" t="s">
        <v>69</v>
      </c>
      <c r="Y108" s="21" t="s">
        <v>69</v>
      </c>
      <c r="AL108">
        <f>COUNTIF(P108:T108,"&gt;0")</f>
      </c>
      <c r="AS108">
        <f>COUNTIF(P108,"&gt;0")</f>
      </c>
      <c r="AT108">
        <f>COUNTIF(Q108,"&gt;0")</f>
      </c>
      <c r="AU108">
        <f>COUNTIF(R108,"&gt;0")</f>
      </c>
      <c r="AV108">
        <f>COUNTIF(S108,"&gt;0")</f>
      </c>
      <c r="AW108">
        <f>COUNTIF(T108,"&gt;0")</f>
      </c>
      <c r="AX108" t="s">
        <v>173</v>
      </c>
      <c r="AY108" t="s">
        <v>213</v>
      </c>
    </row>
    <row r="109" ht="28" customHeight="1" spans="1:51" x14ac:dyDescent="0.25">
      <c r="A109" s="14"/>
      <c r="B109" s="14"/>
      <c r="C109" s="14"/>
      <c r="D109" s="14"/>
      <c r="E109" s="14"/>
      <c r="F109" s="15" t="s">
        <v>188</v>
      </c>
      <c r="G109" s="15" t="s">
        <v>189</v>
      </c>
      <c r="H109" s="14" t="s">
        <v>66</v>
      </c>
      <c r="I109" s="16">
        <v>1</v>
      </c>
      <c r="J109" s="17">
        <v>1</v>
      </c>
      <c r="K109" s="14" t="s">
        <v>121</v>
      </c>
      <c r="L109" s="14" t="s">
        <v>68</v>
      </c>
      <c r="M109" s="14"/>
      <c r="N109" s="14"/>
      <c r="O109" s="15"/>
      <c r="P109" s="22">
        <v>1</v>
      </c>
      <c r="Q109" s="22">
        <v>1</v>
      </c>
      <c r="R109" s="22">
        <v>1</v>
      </c>
      <c r="S109" s="22">
        <v>1</v>
      </c>
      <c r="T109" s="22">
        <v>1</v>
      </c>
      <c r="U109" s="14" t="s">
        <v>69</v>
      </c>
      <c r="V109" s="14" t="s">
        <v>69</v>
      </c>
      <c r="W109" s="14" t="s">
        <v>69</v>
      </c>
      <c r="X109" s="14" t="s">
        <v>69</v>
      </c>
      <c r="Y109" s="14" t="s">
        <v>69</v>
      </c>
      <c r="AM109">
        <f>COUNTIF(P109:T109,"&gt;0")</f>
      </c>
      <c r="AN109">
        <f>COUNTIF(P109,"&gt;0")</f>
      </c>
      <c r="AO109">
        <f>COUNTIF(Q109,"&gt;0")</f>
      </c>
      <c r="AP109">
        <f>COUNTIF(R109,"&gt;0")</f>
      </c>
      <c r="AQ109">
        <f>COUNTIF(S109,"&gt;0")</f>
      </c>
      <c r="AR109">
        <f>COUNTIF(T109,"&gt;0")</f>
      </c>
      <c r="AX109" t="s">
        <v>173</v>
      </c>
      <c r="AY109" t="s">
        <v>214</v>
      </c>
    </row>
    <row r="110" ht="18" customHeight="1" spans="1:51" x14ac:dyDescent="0.25">
      <c r="A110" s="14"/>
      <c r="B110" s="14"/>
      <c r="C110" s="14"/>
      <c r="D110" s="14"/>
      <c r="E110" s="14"/>
      <c r="F110" s="15"/>
      <c r="G110" s="15"/>
      <c r="H110" s="14" t="s">
        <v>71</v>
      </c>
      <c r="I110" s="16"/>
      <c r="J110" s="17"/>
      <c r="K110" s="14"/>
      <c r="L110" s="14"/>
      <c r="M110" s="14"/>
      <c r="N110" s="14"/>
      <c r="O110" s="15"/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1" t="s">
        <v>69</v>
      </c>
      <c r="V110" s="21" t="s">
        <v>69</v>
      </c>
      <c r="W110" s="21" t="s">
        <v>69</v>
      </c>
      <c r="X110" s="21" t="s">
        <v>69</v>
      </c>
      <c r="Y110" s="21" t="s">
        <v>69</v>
      </c>
      <c r="AL110">
        <f>COUNTIF(P110:T110,"&gt;0")</f>
      </c>
      <c r="AS110">
        <f>COUNTIF(P110,"&gt;0")</f>
      </c>
      <c r="AT110">
        <f>COUNTIF(Q110,"&gt;0")</f>
      </c>
      <c r="AU110">
        <f>COUNTIF(R110,"&gt;0")</f>
      </c>
      <c r="AV110">
        <f>COUNTIF(S110,"&gt;0")</f>
      </c>
      <c r="AW110">
        <f>COUNTIF(T110,"&gt;0")</f>
      </c>
      <c r="AX110" t="s">
        <v>173</v>
      </c>
      <c r="AY110" t="s">
        <v>214</v>
      </c>
    </row>
    <row r="111" ht="28" customHeight="1" spans="1:51" x14ac:dyDescent="0.25">
      <c r="A111" s="14"/>
      <c r="B111" s="14"/>
      <c r="C111" s="14"/>
      <c r="D111" s="14"/>
      <c r="E111" s="14"/>
      <c r="F111" s="15" t="s">
        <v>188</v>
      </c>
      <c r="G111" s="15" t="s">
        <v>191</v>
      </c>
      <c r="H111" s="14" t="s">
        <v>66</v>
      </c>
      <c r="I111" s="16">
        <v>1</v>
      </c>
      <c r="J111" s="17">
        <v>1</v>
      </c>
      <c r="K111" s="14" t="s">
        <v>121</v>
      </c>
      <c r="L111" s="14" t="s">
        <v>68</v>
      </c>
      <c r="M111" s="14"/>
      <c r="N111" s="14"/>
      <c r="O111" s="15"/>
      <c r="P111" s="22">
        <v>1</v>
      </c>
      <c r="Q111" s="22">
        <v>1</v>
      </c>
      <c r="R111" s="22">
        <v>1</v>
      </c>
      <c r="S111" s="22">
        <v>1</v>
      </c>
      <c r="T111" s="22">
        <v>1</v>
      </c>
      <c r="U111" s="14" t="s">
        <v>69</v>
      </c>
      <c r="V111" s="14" t="s">
        <v>69</v>
      </c>
      <c r="W111" s="14" t="s">
        <v>69</v>
      </c>
      <c r="X111" s="14" t="s">
        <v>69</v>
      </c>
      <c r="Y111" s="14" t="s">
        <v>69</v>
      </c>
      <c r="AM111">
        <f>COUNTIF(P111:T111,"&gt;0")</f>
      </c>
      <c r="AN111">
        <f>COUNTIF(P111,"&gt;0")</f>
      </c>
      <c r="AO111">
        <f>COUNTIF(Q111,"&gt;0")</f>
      </c>
      <c r="AP111">
        <f>COUNTIF(R111,"&gt;0")</f>
      </c>
      <c r="AQ111">
        <f>COUNTIF(S111,"&gt;0")</f>
      </c>
      <c r="AR111">
        <f>COUNTIF(T111,"&gt;0")</f>
      </c>
      <c r="AX111" t="s">
        <v>173</v>
      </c>
      <c r="AY111" t="s">
        <v>215</v>
      </c>
    </row>
    <row r="112" ht="18" customHeight="1" spans="1:51" x14ac:dyDescent="0.25">
      <c r="A112" s="14"/>
      <c r="B112" s="14"/>
      <c r="C112" s="14"/>
      <c r="D112" s="14"/>
      <c r="E112" s="14"/>
      <c r="F112" s="15"/>
      <c r="G112" s="15"/>
      <c r="H112" s="14" t="s">
        <v>71</v>
      </c>
      <c r="I112" s="16"/>
      <c r="J112" s="17"/>
      <c r="K112" s="14"/>
      <c r="L112" s="14"/>
      <c r="M112" s="14"/>
      <c r="N112" s="14"/>
      <c r="O112" s="15"/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1" t="s">
        <v>69</v>
      </c>
      <c r="V112" s="21" t="s">
        <v>69</v>
      </c>
      <c r="W112" s="21" t="s">
        <v>69</v>
      </c>
      <c r="X112" s="21" t="s">
        <v>69</v>
      </c>
      <c r="Y112" s="21" t="s">
        <v>69</v>
      </c>
      <c r="AL112">
        <f>COUNTIF(P112:T112,"&gt;0")</f>
      </c>
      <c r="AS112">
        <f>COUNTIF(P112,"&gt;0")</f>
      </c>
      <c r="AT112">
        <f>COUNTIF(Q112,"&gt;0")</f>
      </c>
      <c r="AU112">
        <f>COUNTIF(R112,"&gt;0")</f>
      </c>
      <c r="AV112">
        <f>COUNTIF(S112,"&gt;0")</f>
      </c>
      <c r="AW112">
        <f>COUNTIF(T112,"&gt;0")</f>
      </c>
      <c r="AX112" t="s">
        <v>173</v>
      </c>
      <c r="AY112" t="s">
        <v>215</v>
      </c>
    </row>
    <row r="113" ht="28" customHeight="1" spans="1:51" x14ac:dyDescent="0.25">
      <c r="A113" s="14"/>
      <c r="B113" s="14"/>
      <c r="C113" s="14"/>
      <c r="D113" s="14"/>
      <c r="E113" s="14"/>
      <c r="F113" s="15" t="s">
        <v>123</v>
      </c>
      <c r="G113" s="15" t="s">
        <v>193</v>
      </c>
      <c r="H113" s="14" t="s">
        <v>66</v>
      </c>
      <c r="I113" s="16">
        <v>1</v>
      </c>
      <c r="J113" s="17">
        <v>1</v>
      </c>
      <c r="K113" s="14" t="s">
        <v>121</v>
      </c>
      <c r="L113" s="14" t="s">
        <v>68</v>
      </c>
      <c r="M113" s="14"/>
      <c r="N113" s="14"/>
      <c r="O113" s="15"/>
      <c r="P113" s="22">
        <v>1</v>
      </c>
      <c r="Q113" s="22">
        <v>1</v>
      </c>
      <c r="R113" s="22">
        <v>1</v>
      </c>
      <c r="S113" s="22">
        <v>1</v>
      </c>
      <c r="T113" s="22">
        <v>1</v>
      </c>
      <c r="U113" s="14" t="s">
        <v>69</v>
      </c>
      <c r="V113" s="14" t="s">
        <v>69</v>
      </c>
      <c r="W113" s="14" t="s">
        <v>69</v>
      </c>
      <c r="X113" s="14" t="s">
        <v>69</v>
      </c>
      <c r="Y113" s="14" t="s">
        <v>69</v>
      </c>
      <c r="AM113">
        <f>COUNTIF(P113:T113,"&gt;0")</f>
      </c>
      <c r="AN113">
        <f>COUNTIF(P113,"&gt;0")</f>
      </c>
      <c r="AO113">
        <f>COUNTIF(Q113,"&gt;0")</f>
      </c>
      <c r="AP113">
        <f>COUNTIF(R113,"&gt;0")</f>
      </c>
      <c r="AQ113">
        <f>COUNTIF(S113,"&gt;0")</f>
      </c>
      <c r="AR113">
        <f>COUNTIF(T113,"&gt;0")</f>
      </c>
      <c r="AX113" t="s">
        <v>173</v>
      </c>
      <c r="AY113" t="s">
        <v>216</v>
      </c>
    </row>
    <row r="114" ht="18" customHeight="1" spans="1:51" x14ac:dyDescent="0.25">
      <c r="A114" s="14"/>
      <c r="B114" s="14"/>
      <c r="C114" s="14"/>
      <c r="D114" s="14"/>
      <c r="E114" s="14"/>
      <c r="F114" s="15"/>
      <c r="G114" s="15"/>
      <c r="H114" s="14" t="s">
        <v>71</v>
      </c>
      <c r="I114" s="16"/>
      <c r="J114" s="17"/>
      <c r="K114" s="14"/>
      <c r="L114" s="14"/>
      <c r="M114" s="14"/>
      <c r="N114" s="14"/>
      <c r="O114" s="15"/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1" t="s">
        <v>69</v>
      </c>
      <c r="V114" s="21" t="s">
        <v>69</v>
      </c>
      <c r="W114" s="21" t="s">
        <v>69</v>
      </c>
      <c r="X114" s="21" t="s">
        <v>69</v>
      </c>
      <c r="Y114" s="21" t="s">
        <v>69</v>
      </c>
      <c r="AL114">
        <f>COUNTIF(P114:T114,"&gt;0")</f>
      </c>
      <c r="AS114">
        <f>COUNTIF(P114,"&gt;0")</f>
      </c>
      <c r="AT114">
        <f>COUNTIF(Q114,"&gt;0")</f>
      </c>
      <c r="AU114">
        <f>COUNTIF(R114,"&gt;0")</f>
      </c>
      <c r="AV114">
        <f>COUNTIF(S114,"&gt;0")</f>
      </c>
      <c r="AW114">
        <f>COUNTIF(T114,"&gt;0")</f>
      </c>
      <c r="AX114" t="s">
        <v>173</v>
      </c>
      <c r="AY114" t="s">
        <v>216</v>
      </c>
    </row>
    <row r="115" ht="28" customHeight="1" spans="1:51" x14ac:dyDescent="0.25">
      <c r="A115" s="14"/>
      <c r="B115" s="14"/>
      <c r="C115" s="14"/>
      <c r="D115" s="14"/>
      <c r="E115" s="14"/>
      <c r="F115" s="15" t="s">
        <v>195</v>
      </c>
      <c r="G115" s="15" t="s">
        <v>196</v>
      </c>
      <c r="H115" s="14" t="s">
        <v>66</v>
      </c>
      <c r="I115" s="16">
        <v>1</v>
      </c>
      <c r="J115" s="17">
        <v>1</v>
      </c>
      <c r="K115" s="14" t="s">
        <v>121</v>
      </c>
      <c r="L115" s="14" t="s">
        <v>68</v>
      </c>
      <c r="M115" s="14"/>
      <c r="N115" s="14"/>
      <c r="O115" s="15"/>
      <c r="P115" s="22">
        <v>1</v>
      </c>
      <c r="Q115" s="22">
        <v>1</v>
      </c>
      <c r="R115" s="22">
        <v>1</v>
      </c>
      <c r="S115" s="22">
        <v>1</v>
      </c>
      <c r="T115" s="22">
        <v>1</v>
      </c>
      <c r="U115" s="14" t="s">
        <v>69</v>
      </c>
      <c r="V115" s="14" t="s">
        <v>69</v>
      </c>
      <c r="W115" s="14" t="s">
        <v>69</v>
      </c>
      <c r="X115" s="14" t="s">
        <v>69</v>
      </c>
      <c r="Y115" s="14" t="s">
        <v>69</v>
      </c>
      <c r="AM115">
        <f>COUNTIF(P115:T115,"&gt;0")</f>
      </c>
      <c r="AN115">
        <f>COUNTIF(P115,"&gt;0")</f>
      </c>
      <c r="AO115">
        <f>COUNTIF(Q115,"&gt;0")</f>
      </c>
      <c r="AP115">
        <f>COUNTIF(R115,"&gt;0")</f>
      </c>
      <c r="AQ115">
        <f>COUNTIF(S115,"&gt;0")</f>
      </c>
      <c r="AR115">
        <f>COUNTIF(T115,"&gt;0")</f>
      </c>
      <c r="AX115" t="s">
        <v>173</v>
      </c>
      <c r="AY115" t="s">
        <v>217</v>
      </c>
    </row>
    <row r="116" ht="18" customHeight="1" spans="1:51" x14ac:dyDescent="0.25">
      <c r="A116" s="14"/>
      <c r="B116" s="14"/>
      <c r="C116" s="14"/>
      <c r="D116" s="14"/>
      <c r="E116" s="14"/>
      <c r="F116" s="15"/>
      <c r="G116" s="15"/>
      <c r="H116" s="14" t="s">
        <v>71</v>
      </c>
      <c r="I116" s="16"/>
      <c r="J116" s="17"/>
      <c r="K116" s="14"/>
      <c r="L116" s="14"/>
      <c r="M116" s="14"/>
      <c r="N116" s="14"/>
      <c r="O116" s="15"/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1" t="s">
        <v>69</v>
      </c>
      <c r="V116" s="21" t="s">
        <v>69</v>
      </c>
      <c r="W116" s="21" t="s">
        <v>69</v>
      </c>
      <c r="X116" s="21" t="s">
        <v>69</v>
      </c>
      <c r="Y116" s="21" t="s">
        <v>69</v>
      </c>
      <c r="AL116">
        <f>COUNTIF(P116:T116,"&gt;0")</f>
      </c>
      <c r="AS116">
        <f>COUNTIF(P116,"&gt;0")</f>
      </c>
      <c r="AT116">
        <f>COUNTIF(Q116,"&gt;0")</f>
      </c>
      <c r="AU116">
        <f>COUNTIF(R116,"&gt;0")</f>
      </c>
      <c r="AV116">
        <f>COUNTIF(S116,"&gt;0")</f>
      </c>
      <c r="AW116">
        <f>COUNTIF(T116,"&gt;0")</f>
      </c>
      <c r="AX116" t="s">
        <v>173</v>
      </c>
      <c r="AY116" t="s">
        <v>217</v>
      </c>
    </row>
    <row r="117" ht="28" customHeight="1" spans="1:51" x14ac:dyDescent="0.25">
      <c r="A117" s="14"/>
      <c r="B117" s="14"/>
      <c r="C117" s="14"/>
      <c r="D117" s="14"/>
      <c r="E117" s="14"/>
      <c r="F117" s="15" t="s">
        <v>198</v>
      </c>
      <c r="G117" s="15" t="s">
        <v>199</v>
      </c>
      <c r="H117" s="14" t="s">
        <v>66</v>
      </c>
      <c r="I117" s="16">
        <v>1</v>
      </c>
      <c r="J117" s="17">
        <v>1</v>
      </c>
      <c r="K117" s="14" t="s">
        <v>121</v>
      </c>
      <c r="L117" s="14" t="s">
        <v>68</v>
      </c>
      <c r="M117" s="14"/>
      <c r="N117" s="14"/>
      <c r="O117" s="15"/>
      <c r="P117" s="22">
        <v>1</v>
      </c>
      <c r="Q117" s="22">
        <v>1</v>
      </c>
      <c r="R117" s="22">
        <v>1</v>
      </c>
      <c r="S117" s="22">
        <v>1</v>
      </c>
      <c r="T117" s="22">
        <v>1</v>
      </c>
      <c r="U117" s="14" t="s">
        <v>69</v>
      </c>
      <c r="V117" s="14" t="s">
        <v>69</v>
      </c>
      <c r="W117" s="14" t="s">
        <v>69</v>
      </c>
      <c r="X117" s="14" t="s">
        <v>69</v>
      </c>
      <c r="Y117" s="14" t="s">
        <v>69</v>
      </c>
      <c r="AM117">
        <f>COUNTIF(P117:T117,"&gt;0")</f>
      </c>
      <c r="AN117">
        <f>COUNTIF(P117,"&gt;0")</f>
      </c>
      <c r="AO117">
        <f>COUNTIF(Q117,"&gt;0")</f>
      </c>
      <c r="AP117">
        <f>COUNTIF(R117,"&gt;0")</f>
      </c>
      <c r="AQ117">
        <f>COUNTIF(S117,"&gt;0")</f>
      </c>
      <c r="AR117">
        <f>COUNTIF(T117,"&gt;0")</f>
      </c>
      <c r="AX117" t="s">
        <v>173</v>
      </c>
      <c r="AY117" t="s">
        <v>218</v>
      </c>
    </row>
    <row r="118" ht="18" customHeight="1" spans="1:51" x14ac:dyDescent="0.25">
      <c r="A118" s="14"/>
      <c r="B118" s="14"/>
      <c r="C118" s="14"/>
      <c r="D118" s="14"/>
      <c r="E118" s="14"/>
      <c r="F118" s="15"/>
      <c r="G118" s="15"/>
      <c r="H118" s="14" t="s">
        <v>71</v>
      </c>
      <c r="I118" s="16"/>
      <c r="J118" s="17"/>
      <c r="K118" s="14"/>
      <c r="L118" s="14"/>
      <c r="M118" s="14"/>
      <c r="N118" s="14"/>
      <c r="O118" s="15"/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1" t="s">
        <v>69</v>
      </c>
      <c r="V118" s="21" t="s">
        <v>69</v>
      </c>
      <c r="W118" s="21" t="s">
        <v>69</v>
      </c>
      <c r="X118" s="21" t="s">
        <v>69</v>
      </c>
      <c r="Y118" s="21" t="s">
        <v>69</v>
      </c>
      <c r="AL118">
        <f>COUNTIF(P118:T118,"&gt;0")</f>
      </c>
      <c r="AS118">
        <f>COUNTIF(P118,"&gt;0")</f>
      </c>
      <c r="AT118">
        <f>COUNTIF(Q118,"&gt;0")</f>
      </c>
      <c r="AU118">
        <f>COUNTIF(R118,"&gt;0")</f>
      </c>
      <c r="AV118">
        <f>COUNTIF(S118,"&gt;0")</f>
      </c>
      <c r="AW118">
        <f>COUNTIF(T118,"&gt;0")</f>
      </c>
      <c r="AX118" t="s">
        <v>173</v>
      </c>
      <c r="AY118" t="s">
        <v>218</v>
      </c>
    </row>
    <row r="119" ht="28" customHeight="1" spans="1:51" x14ac:dyDescent="0.25">
      <c r="A119" s="14"/>
      <c r="B119" s="14"/>
      <c r="C119" s="14"/>
      <c r="D119" s="14"/>
      <c r="E119" s="14"/>
      <c r="F119" s="15" t="s">
        <v>201</v>
      </c>
      <c r="G119" s="15" t="s">
        <v>202</v>
      </c>
      <c r="H119" s="14" t="s">
        <v>66</v>
      </c>
      <c r="I119" s="16">
        <v>1</v>
      </c>
      <c r="J119" s="17">
        <v>1</v>
      </c>
      <c r="K119" s="14" t="s">
        <v>121</v>
      </c>
      <c r="L119" s="14" t="s">
        <v>68</v>
      </c>
      <c r="M119" s="14"/>
      <c r="N119" s="14"/>
      <c r="O119" s="15"/>
      <c r="P119" s="22">
        <v>1</v>
      </c>
      <c r="Q119" s="22">
        <v>1</v>
      </c>
      <c r="R119" s="22">
        <v>1</v>
      </c>
      <c r="S119" s="22">
        <v>1</v>
      </c>
      <c r="T119" s="22">
        <v>1</v>
      </c>
      <c r="U119" s="14" t="s">
        <v>69</v>
      </c>
      <c r="V119" s="14" t="s">
        <v>69</v>
      </c>
      <c r="W119" s="14" t="s">
        <v>69</v>
      </c>
      <c r="X119" s="14" t="s">
        <v>69</v>
      </c>
      <c r="Y119" s="14" t="s">
        <v>69</v>
      </c>
      <c r="AM119">
        <f>COUNTIF(P119:T119,"&gt;0")</f>
      </c>
      <c r="AN119">
        <f>COUNTIF(P119,"&gt;0")</f>
      </c>
      <c r="AO119">
        <f>COUNTIF(Q119,"&gt;0")</f>
      </c>
      <c r="AP119">
        <f>COUNTIF(R119,"&gt;0")</f>
      </c>
      <c r="AQ119">
        <f>COUNTIF(S119,"&gt;0")</f>
      </c>
      <c r="AR119">
        <f>COUNTIF(T119,"&gt;0")</f>
      </c>
      <c r="AX119" t="s">
        <v>173</v>
      </c>
      <c r="AY119" t="s">
        <v>219</v>
      </c>
    </row>
    <row r="120" ht="18" customHeight="1" spans="1:51" x14ac:dyDescent="0.25">
      <c r="A120" s="14"/>
      <c r="B120" s="14"/>
      <c r="C120" s="14"/>
      <c r="D120" s="14"/>
      <c r="E120" s="14"/>
      <c r="F120" s="15"/>
      <c r="G120" s="15"/>
      <c r="H120" s="14" t="s">
        <v>71</v>
      </c>
      <c r="I120" s="16"/>
      <c r="J120" s="17"/>
      <c r="K120" s="14"/>
      <c r="L120" s="14"/>
      <c r="M120" s="14"/>
      <c r="N120" s="14"/>
      <c r="O120" s="15"/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1" t="s">
        <v>69</v>
      </c>
      <c r="V120" s="21" t="s">
        <v>69</v>
      </c>
      <c r="W120" s="21" t="s">
        <v>69</v>
      </c>
      <c r="X120" s="21" t="s">
        <v>69</v>
      </c>
      <c r="Y120" s="21" t="s">
        <v>69</v>
      </c>
      <c r="AL120">
        <f>COUNTIF(P120:T120,"&gt;0")</f>
      </c>
      <c r="AS120">
        <f>COUNTIF(P120,"&gt;0")</f>
      </c>
      <c r="AT120">
        <f>COUNTIF(Q120,"&gt;0")</f>
      </c>
      <c r="AU120">
        <f>COUNTIF(R120,"&gt;0")</f>
      </c>
      <c r="AV120">
        <f>COUNTIF(S120,"&gt;0")</f>
      </c>
      <c r="AW120">
        <f>COUNTIF(T120,"&gt;0")</f>
      </c>
      <c r="AX120" t="s">
        <v>173</v>
      </c>
      <c r="AY120" t="s">
        <v>219</v>
      </c>
    </row>
    <row r="121" ht="28" customHeight="1" spans="1:51" x14ac:dyDescent="0.25">
      <c r="A121" s="14"/>
      <c r="B121" s="14"/>
      <c r="C121" s="14"/>
      <c r="D121" s="14"/>
      <c r="E121" s="14"/>
      <c r="F121" s="15" t="s">
        <v>204</v>
      </c>
      <c r="G121" s="15" t="s">
        <v>205</v>
      </c>
      <c r="H121" s="14" t="s">
        <v>66</v>
      </c>
      <c r="I121" s="16">
        <v>2</v>
      </c>
      <c r="J121" s="17">
        <v>1</v>
      </c>
      <c r="K121" s="14" t="s">
        <v>67</v>
      </c>
      <c r="L121" s="14" t="s">
        <v>68</v>
      </c>
      <c r="M121" s="14"/>
      <c r="N121" s="14"/>
      <c r="O121" s="15"/>
      <c r="P121" s="19">
        <v>0</v>
      </c>
      <c r="Q121" s="19">
        <v>0</v>
      </c>
      <c r="R121" s="19">
        <v>0</v>
      </c>
      <c r="S121" s="18">
        <v>2</v>
      </c>
      <c r="T121" s="19">
        <v>0</v>
      </c>
      <c r="U121" s="14" t="s">
        <v>69</v>
      </c>
      <c r="V121" s="14" t="s">
        <v>69</v>
      </c>
      <c r="W121" s="14" t="s">
        <v>69</v>
      </c>
      <c r="X121" s="14" t="s">
        <v>69</v>
      </c>
      <c r="Y121" s="14" t="s">
        <v>69</v>
      </c>
      <c r="AM121">
        <f>COUNTIF(P121:T121,"&gt;0")</f>
      </c>
      <c r="AN121">
        <f>COUNTIF(P121,"&gt;0")</f>
      </c>
      <c r="AO121">
        <f>COUNTIF(Q121,"&gt;0")</f>
      </c>
      <c r="AP121">
        <f>COUNTIF(R121,"&gt;0")</f>
      </c>
      <c r="AQ121">
        <f>COUNTIF(S121,"&gt;0")</f>
      </c>
      <c r="AR121">
        <f>COUNTIF(T121,"&gt;0")</f>
      </c>
      <c r="AX121" t="s">
        <v>173</v>
      </c>
      <c r="AY121" t="s">
        <v>220</v>
      </c>
    </row>
    <row r="122" ht="18" customHeight="1" spans="1:51" x14ac:dyDescent="0.25">
      <c r="A122" s="14"/>
      <c r="B122" s="14"/>
      <c r="C122" s="14"/>
      <c r="D122" s="14"/>
      <c r="E122" s="14"/>
      <c r="F122" s="15"/>
      <c r="G122" s="15"/>
      <c r="H122" s="14" t="s">
        <v>71</v>
      </c>
      <c r="I122" s="16"/>
      <c r="J122" s="17"/>
      <c r="K122" s="14"/>
      <c r="L122" s="14"/>
      <c r="M122" s="14"/>
      <c r="N122" s="14"/>
      <c r="O122" s="15"/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1" t="s">
        <v>69</v>
      </c>
      <c r="V122" s="21" t="s">
        <v>69</v>
      </c>
      <c r="W122" s="21" t="s">
        <v>69</v>
      </c>
      <c r="X122" s="21" t="s">
        <v>69</v>
      </c>
      <c r="Y122" s="21" t="s">
        <v>69</v>
      </c>
      <c r="AL122">
        <f>COUNTIF(P122:T122,"&gt;0")</f>
      </c>
      <c r="AS122">
        <f>COUNTIF(P122,"&gt;0")</f>
      </c>
      <c r="AT122">
        <f>COUNTIF(Q122,"&gt;0")</f>
      </c>
      <c r="AU122">
        <f>COUNTIF(R122,"&gt;0")</f>
      </c>
      <c r="AV122">
        <f>COUNTIF(S122,"&gt;0")</f>
      </c>
      <c r="AW122">
        <f>COUNTIF(T122,"&gt;0")</f>
      </c>
      <c r="AX122" t="s">
        <v>173</v>
      </c>
      <c r="AY122" t="s">
        <v>220</v>
      </c>
    </row>
    <row r="123" ht="28" customHeight="1" spans="1:51" x14ac:dyDescent="0.25">
      <c r="A123" s="14"/>
      <c r="B123" s="14"/>
      <c r="C123" s="14"/>
      <c r="D123" s="14"/>
      <c r="E123" s="14"/>
      <c r="F123" s="15" t="s">
        <v>207</v>
      </c>
      <c r="G123" s="15" t="s">
        <v>208</v>
      </c>
      <c r="H123" s="14" t="s">
        <v>66</v>
      </c>
      <c r="I123" s="16">
        <v>5</v>
      </c>
      <c r="J123" s="17">
        <v>12</v>
      </c>
      <c r="K123" s="14" t="s">
        <v>141</v>
      </c>
      <c r="L123" s="14" t="s">
        <v>68</v>
      </c>
      <c r="M123" s="14"/>
      <c r="N123" s="14"/>
      <c r="O123" s="15"/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4" t="s">
        <v>69</v>
      </c>
      <c r="V123" s="14" t="s">
        <v>69</v>
      </c>
      <c r="W123" s="14" t="s">
        <v>69</v>
      </c>
      <c r="X123" s="14" t="s">
        <v>69</v>
      </c>
      <c r="Y123" s="14" t="s">
        <v>69</v>
      </c>
      <c r="AM123">
        <f>COUNTIF(P123:T123,"&gt;0")</f>
      </c>
      <c r="AN123">
        <f>COUNTIF(P123,"&gt;0")</f>
      </c>
      <c r="AO123">
        <f>COUNTIF(Q123,"&gt;0")</f>
      </c>
      <c r="AP123">
        <f>COUNTIF(R123,"&gt;0")</f>
      </c>
      <c r="AQ123">
        <f>COUNTIF(S123,"&gt;0")</f>
      </c>
      <c r="AR123">
        <f>COUNTIF(T123,"&gt;0")</f>
      </c>
      <c r="AX123" t="s">
        <v>173</v>
      </c>
      <c r="AY123" t="s">
        <v>221</v>
      </c>
    </row>
    <row r="124" ht="18" customHeight="1" spans="1:51" x14ac:dyDescent="0.25">
      <c r="A124" s="14"/>
      <c r="B124" s="14"/>
      <c r="C124" s="14"/>
      <c r="D124" s="14"/>
      <c r="E124" s="14"/>
      <c r="F124" s="15"/>
      <c r="G124" s="15"/>
      <c r="H124" s="14" t="s">
        <v>71</v>
      </c>
      <c r="I124" s="16"/>
      <c r="J124" s="17"/>
      <c r="K124" s="14"/>
      <c r="L124" s="14"/>
      <c r="M124" s="14"/>
      <c r="N124" s="14"/>
      <c r="O124" s="15"/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1" t="s">
        <v>69</v>
      </c>
      <c r="V124" s="21" t="s">
        <v>69</v>
      </c>
      <c r="W124" s="21" t="s">
        <v>69</v>
      </c>
      <c r="X124" s="21" t="s">
        <v>69</v>
      </c>
      <c r="Y124" s="21" t="s">
        <v>69</v>
      </c>
      <c r="AL124">
        <f>COUNTIF(P124:T124,"&gt;0")</f>
      </c>
      <c r="AS124">
        <f>COUNTIF(P124,"&gt;0")</f>
      </c>
      <c r="AT124">
        <f>COUNTIF(Q124,"&gt;0")</f>
      </c>
      <c r="AU124">
        <f>COUNTIF(R124,"&gt;0")</f>
      </c>
      <c r="AV124">
        <f>COUNTIF(S124,"&gt;0")</f>
      </c>
      <c r="AW124">
        <f>COUNTIF(T124,"&gt;0")</f>
      </c>
      <c r="AX124" t="s">
        <v>173</v>
      </c>
      <c r="AY124" t="s">
        <v>221</v>
      </c>
    </row>
    <row r="125" ht="28" customHeight="1" spans="1:51" x14ac:dyDescent="0.25">
      <c r="A125" s="14"/>
      <c r="B125" s="14" t="s">
        <v>222</v>
      </c>
      <c r="C125" s="14" t="s">
        <v>223</v>
      </c>
      <c r="D125" s="14" t="s">
        <v>224</v>
      </c>
      <c r="E125" s="14" t="s">
        <v>168</v>
      </c>
      <c r="F125" s="15" t="s">
        <v>225</v>
      </c>
      <c r="G125" s="15" t="s">
        <v>226</v>
      </c>
      <c r="H125" s="14" t="s">
        <v>66</v>
      </c>
      <c r="I125" s="16">
        <v>2</v>
      </c>
      <c r="J125" s="17">
        <v>1</v>
      </c>
      <c r="K125" s="14" t="s">
        <v>67</v>
      </c>
      <c r="L125" s="14" t="s">
        <v>68</v>
      </c>
      <c r="M125" s="14"/>
      <c r="N125" s="14"/>
      <c r="O125" s="15"/>
      <c r="P125" s="19">
        <v>0</v>
      </c>
      <c r="Q125" s="19">
        <v>0</v>
      </c>
      <c r="R125" s="19">
        <v>0</v>
      </c>
      <c r="S125" s="19">
        <v>0</v>
      </c>
      <c r="T125" s="18">
        <v>2</v>
      </c>
      <c r="U125" s="14" t="s">
        <v>69</v>
      </c>
      <c r="V125" s="14" t="s">
        <v>69</v>
      </c>
      <c r="W125" s="14" t="s">
        <v>69</v>
      </c>
      <c r="X125" s="14" t="s">
        <v>69</v>
      </c>
      <c r="Y125" s="14" t="s">
        <v>69</v>
      </c>
      <c r="AM125">
        <f>COUNTIF(P125:T125,"&gt;0")</f>
      </c>
      <c r="AN125">
        <f>COUNTIF(P125,"&gt;0")</f>
      </c>
      <c r="AO125">
        <f>COUNTIF(Q125,"&gt;0")</f>
      </c>
      <c r="AP125">
        <f>COUNTIF(R125,"&gt;0")</f>
      </c>
      <c r="AQ125">
        <f>COUNTIF(S125,"&gt;0")</f>
      </c>
      <c r="AR125">
        <f>COUNTIF(T125,"&gt;0")</f>
      </c>
      <c r="AX125" t="s">
        <v>222</v>
      </c>
      <c r="AY125" t="s">
        <v>227</v>
      </c>
    </row>
    <row r="126" ht="18" customHeight="1" spans="1:51" x14ac:dyDescent="0.25">
      <c r="A126" s="14"/>
      <c r="B126" s="14"/>
      <c r="C126" s="14"/>
      <c r="D126" s="14"/>
      <c r="E126" s="14"/>
      <c r="F126" s="15"/>
      <c r="G126" s="15"/>
      <c r="H126" s="14" t="s">
        <v>71</v>
      </c>
      <c r="I126" s="16"/>
      <c r="J126" s="17"/>
      <c r="K126" s="14"/>
      <c r="L126" s="14"/>
      <c r="M126" s="14"/>
      <c r="N126" s="14"/>
      <c r="O126" s="15"/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1" t="s">
        <v>69</v>
      </c>
      <c r="V126" s="21" t="s">
        <v>69</v>
      </c>
      <c r="W126" s="21" t="s">
        <v>69</v>
      </c>
      <c r="X126" s="21" t="s">
        <v>69</v>
      </c>
      <c r="Y126" s="21" t="s">
        <v>69</v>
      </c>
      <c r="AL126">
        <f>COUNTIF(P126:T126,"&gt;0")</f>
      </c>
      <c r="AS126">
        <f>COUNTIF(P126,"&gt;0")</f>
      </c>
      <c r="AT126">
        <f>COUNTIF(Q126,"&gt;0")</f>
      </c>
      <c r="AU126">
        <f>COUNTIF(R126,"&gt;0")</f>
      </c>
      <c r="AV126">
        <f>COUNTIF(S126,"&gt;0")</f>
      </c>
      <c r="AW126">
        <f>COUNTIF(T126,"&gt;0")</f>
      </c>
      <c r="AX126" t="s">
        <v>222</v>
      </c>
      <c r="AY126" t="s">
        <v>227</v>
      </c>
    </row>
    <row r="127" ht="28" customHeight="1" spans="1:51" x14ac:dyDescent="0.25">
      <c r="A127" s="14"/>
      <c r="B127" s="14"/>
      <c r="C127" s="14"/>
      <c r="D127" s="14"/>
      <c r="E127" s="14"/>
      <c r="F127" s="15" t="s">
        <v>151</v>
      </c>
      <c r="G127" s="15" t="s">
        <v>228</v>
      </c>
      <c r="H127" s="14" t="s">
        <v>66</v>
      </c>
      <c r="I127" s="16">
        <v>2</v>
      </c>
      <c r="J127" s="17">
        <v>1</v>
      </c>
      <c r="K127" s="14" t="s">
        <v>67</v>
      </c>
      <c r="L127" s="14" t="s">
        <v>68</v>
      </c>
      <c r="M127" s="14"/>
      <c r="N127" s="14"/>
      <c r="O127" s="15"/>
      <c r="P127" s="18">
        <v>2</v>
      </c>
      <c r="Q127" s="19">
        <v>0</v>
      </c>
      <c r="R127" s="19">
        <v>0</v>
      </c>
      <c r="S127" s="19">
        <v>0</v>
      </c>
      <c r="T127" s="19">
        <v>0</v>
      </c>
      <c r="U127" s="14" t="s">
        <v>69</v>
      </c>
      <c r="V127" s="14" t="s">
        <v>69</v>
      </c>
      <c r="W127" s="14" t="s">
        <v>69</v>
      </c>
      <c r="X127" s="14" t="s">
        <v>69</v>
      </c>
      <c r="Y127" s="14" t="s">
        <v>69</v>
      </c>
      <c r="AM127">
        <f>COUNTIF(P127:T127,"&gt;0")</f>
      </c>
      <c r="AN127">
        <f>COUNTIF(P127,"&gt;0")</f>
      </c>
      <c r="AO127">
        <f>COUNTIF(Q127,"&gt;0")</f>
      </c>
      <c r="AP127">
        <f>COUNTIF(R127,"&gt;0")</f>
      </c>
      <c r="AQ127">
        <f>COUNTIF(S127,"&gt;0")</f>
      </c>
      <c r="AR127">
        <f>COUNTIF(T127,"&gt;0")</f>
      </c>
      <c r="AX127" t="s">
        <v>222</v>
      </c>
      <c r="AY127" t="s">
        <v>229</v>
      </c>
    </row>
    <row r="128" ht="18" customHeight="1" spans="1:51" x14ac:dyDescent="0.25">
      <c r="A128" s="14"/>
      <c r="B128" s="14"/>
      <c r="C128" s="14"/>
      <c r="D128" s="14"/>
      <c r="E128" s="14"/>
      <c r="F128" s="15"/>
      <c r="G128" s="15"/>
      <c r="H128" s="14" t="s">
        <v>71</v>
      </c>
      <c r="I128" s="16"/>
      <c r="J128" s="17"/>
      <c r="K128" s="14"/>
      <c r="L128" s="14"/>
      <c r="M128" s="14"/>
      <c r="N128" s="14"/>
      <c r="O128" s="15"/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1" t="s">
        <v>69</v>
      </c>
      <c r="V128" s="21" t="s">
        <v>69</v>
      </c>
      <c r="W128" s="21" t="s">
        <v>69</v>
      </c>
      <c r="X128" s="21" t="s">
        <v>69</v>
      </c>
      <c r="Y128" s="21" t="s">
        <v>69</v>
      </c>
      <c r="AL128">
        <f>COUNTIF(P128:T128,"&gt;0")</f>
      </c>
      <c r="AS128">
        <f>COUNTIF(P128,"&gt;0")</f>
      </c>
      <c r="AT128">
        <f>COUNTIF(Q128,"&gt;0")</f>
      </c>
      <c r="AU128">
        <f>COUNTIF(R128,"&gt;0")</f>
      </c>
      <c r="AV128">
        <f>COUNTIF(S128,"&gt;0")</f>
      </c>
      <c r="AW128">
        <f>COUNTIF(T128,"&gt;0")</f>
      </c>
      <c r="AX128" t="s">
        <v>222</v>
      </c>
      <c r="AY128" t="s">
        <v>229</v>
      </c>
    </row>
    <row r="129" ht="28" customHeight="1" spans="1:51" x14ac:dyDescent="0.25">
      <c r="A129" s="14"/>
      <c r="B129" s="14"/>
      <c r="C129" s="14"/>
      <c r="D129" s="14"/>
      <c r="E129" s="14"/>
      <c r="F129" s="15" t="s">
        <v>230</v>
      </c>
      <c r="G129" s="15" t="s">
        <v>231</v>
      </c>
      <c r="H129" s="14" t="s">
        <v>66</v>
      </c>
      <c r="I129" s="16">
        <v>2</v>
      </c>
      <c r="J129" s="17">
        <v>1</v>
      </c>
      <c r="K129" s="14" t="s">
        <v>67</v>
      </c>
      <c r="L129" s="14" t="s">
        <v>68</v>
      </c>
      <c r="M129" s="14"/>
      <c r="N129" s="14"/>
      <c r="O129" s="15"/>
      <c r="P129" s="19">
        <v>0</v>
      </c>
      <c r="Q129" s="18">
        <v>2</v>
      </c>
      <c r="R129" s="19">
        <v>0</v>
      </c>
      <c r="S129" s="19">
        <v>0</v>
      </c>
      <c r="T129" s="19">
        <v>0</v>
      </c>
      <c r="U129" s="14" t="s">
        <v>69</v>
      </c>
      <c r="V129" s="14" t="s">
        <v>69</v>
      </c>
      <c r="W129" s="14" t="s">
        <v>69</v>
      </c>
      <c r="X129" s="14" t="s">
        <v>69</v>
      </c>
      <c r="Y129" s="14" t="s">
        <v>69</v>
      </c>
      <c r="AM129">
        <f>COUNTIF(P129:T129,"&gt;0")</f>
      </c>
      <c r="AN129">
        <f>COUNTIF(P129,"&gt;0")</f>
      </c>
      <c r="AO129">
        <f>COUNTIF(Q129,"&gt;0")</f>
      </c>
      <c r="AP129">
        <f>COUNTIF(R129,"&gt;0")</f>
      </c>
      <c r="AQ129">
        <f>COUNTIF(S129,"&gt;0")</f>
      </c>
      <c r="AR129">
        <f>COUNTIF(T129,"&gt;0")</f>
      </c>
      <c r="AX129" t="s">
        <v>222</v>
      </c>
      <c r="AY129" t="s">
        <v>232</v>
      </c>
    </row>
    <row r="130" ht="18" customHeight="1" spans="1:51" x14ac:dyDescent="0.25">
      <c r="A130" s="14"/>
      <c r="B130" s="14"/>
      <c r="C130" s="14"/>
      <c r="D130" s="14"/>
      <c r="E130" s="14"/>
      <c r="F130" s="15"/>
      <c r="G130" s="15"/>
      <c r="H130" s="14" t="s">
        <v>71</v>
      </c>
      <c r="I130" s="16"/>
      <c r="J130" s="17"/>
      <c r="K130" s="14"/>
      <c r="L130" s="14"/>
      <c r="M130" s="14"/>
      <c r="N130" s="14"/>
      <c r="O130" s="15"/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1" t="s">
        <v>69</v>
      </c>
      <c r="V130" s="21" t="s">
        <v>69</v>
      </c>
      <c r="W130" s="21" t="s">
        <v>69</v>
      </c>
      <c r="X130" s="21" t="s">
        <v>69</v>
      </c>
      <c r="Y130" s="21" t="s">
        <v>69</v>
      </c>
      <c r="AL130">
        <f>COUNTIF(P130:T130,"&gt;0")</f>
      </c>
      <c r="AS130">
        <f>COUNTIF(P130,"&gt;0")</f>
      </c>
      <c r="AT130">
        <f>COUNTIF(Q130,"&gt;0")</f>
      </c>
      <c r="AU130">
        <f>COUNTIF(R130,"&gt;0")</f>
      </c>
      <c r="AV130">
        <f>COUNTIF(S130,"&gt;0")</f>
      </c>
      <c r="AW130">
        <f>COUNTIF(T130,"&gt;0")</f>
      </c>
      <c r="AX130" t="s">
        <v>222</v>
      </c>
      <c r="AY130" t="s">
        <v>232</v>
      </c>
    </row>
    <row r="131" ht="28" customHeight="1" spans="1:51" x14ac:dyDescent="0.25">
      <c r="A131" s="14"/>
      <c r="B131" s="14"/>
      <c r="C131" s="14"/>
      <c r="D131" s="14"/>
      <c r="E131" s="14"/>
      <c r="F131" s="15" t="s">
        <v>233</v>
      </c>
      <c r="G131" s="15" t="s">
        <v>234</v>
      </c>
      <c r="H131" s="14" t="s">
        <v>66</v>
      </c>
      <c r="I131" s="16">
        <v>2</v>
      </c>
      <c r="J131" s="17">
        <v>1</v>
      </c>
      <c r="K131" s="14" t="s">
        <v>67</v>
      </c>
      <c r="L131" s="14" t="s">
        <v>68</v>
      </c>
      <c r="M131" s="14"/>
      <c r="N131" s="14"/>
      <c r="O131" s="15"/>
      <c r="P131" s="19">
        <v>0</v>
      </c>
      <c r="Q131" s="19">
        <v>0</v>
      </c>
      <c r="R131" s="18">
        <v>2</v>
      </c>
      <c r="S131" s="19">
        <v>0</v>
      </c>
      <c r="T131" s="19">
        <v>0</v>
      </c>
      <c r="U131" s="14" t="s">
        <v>69</v>
      </c>
      <c r="V131" s="14" t="s">
        <v>69</v>
      </c>
      <c r="W131" s="14" t="s">
        <v>69</v>
      </c>
      <c r="X131" s="14" t="s">
        <v>69</v>
      </c>
      <c r="Y131" s="14" t="s">
        <v>69</v>
      </c>
      <c r="AM131">
        <f>COUNTIF(P131:T131,"&gt;0")</f>
      </c>
      <c r="AN131">
        <f>COUNTIF(P131,"&gt;0")</f>
      </c>
      <c r="AO131">
        <f>COUNTIF(Q131,"&gt;0")</f>
      </c>
      <c r="AP131">
        <f>COUNTIF(R131,"&gt;0")</f>
      </c>
      <c r="AQ131">
        <f>COUNTIF(S131,"&gt;0")</f>
      </c>
      <c r="AR131">
        <f>COUNTIF(T131,"&gt;0")</f>
      </c>
      <c r="AX131" t="s">
        <v>222</v>
      </c>
      <c r="AY131" t="s">
        <v>235</v>
      </c>
    </row>
    <row r="132" ht="18" customHeight="1" spans="1:51" x14ac:dyDescent="0.25">
      <c r="A132" s="14"/>
      <c r="B132" s="14"/>
      <c r="C132" s="14"/>
      <c r="D132" s="14"/>
      <c r="E132" s="14"/>
      <c r="F132" s="15"/>
      <c r="G132" s="15"/>
      <c r="H132" s="14" t="s">
        <v>71</v>
      </c>
      <c r="I132" s="16"/>
      <c r="J132" s="17"/>
      <c r="K132" s="14"/>
      <c r="L132" s="14"/>
      <c r="M132" s="14"/>
      <c r="N132" s="14"/>
      <c r="O132" s="15"/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1" t="s">
        <v>69</v>
      </c>
      <c r="V132" s="21" t="s">
        <v>69</v>
      </c>
      <c r="W132" s="21" t="s">
        <v>69</v>
      </c>
      <c r="X132" s="21" t="s">
        <v>69</v>
      </c>
      <c r="Y132" s="21" t="s">
        <v>69</v>
      </c>
      <c r="AL132">
        <f>COUNTIF(P132:T132,"&gt;0")</f>
      </c>
      <c r="AS132">
        <f>COUNTIF(P132,"&gt;0")</f>
      </c>
      <c r="AT132">
        <f>COUNTIF(Q132,"&gt;0")</f>
      </c>
      <c r="AU132">
        <f>COUNTIF(R132,"&gt;0")</f>
      </c>
      <c r="AV132">
        <f>COUNTIF(S132,"&gt;0")</f>
      </c>
      <c r="AW132">
        <f>COUNTIF(T132,"&gt;0")</f>
      </c>
      <c r="AX132" t="s">
        <v>222</v>
      </c>
      <c r="AY132" t="s">
        <v>235</v>
      </c>
    </row>
    <row r="133" ht="28" customHeight="1" spans="1:51" x14ac:dyDescent="0.25">
      <c r="A133" s="14"/>
      <c r="B133" s="14"/>
      <c r="C133" s="14"/>
      <c r="D133" s="14"/>
      <c r="E133" s="14"/>
      <c r="F133" s="15" t="s">
        <v>236</v>
      </c>
      <c r="G133" s="15" t="s">
        <v>237</v>
      </c>
      <c r="H133" s="14" t="s">
        <v>66</v>
      </c>
      <c r="I133" s="16">
        <v>2</v>
      </c>
      <c r="J133" s="17">
        <v>1</v>
      </c>
      <c r="K133" s="14" t="s">
        <v>67</v>
      </c>
      <c r="L133" s="14" t="s">
        <v>68</v>
      </c>
      <c r="M133" s="14"/>
      <c r="N133" s="14"/>
      <c r="O133" s="15"/>
      <c r="P133" s="19">
        <v>0</v>
      </c>
      <c r="Q133" s="19">
        <v>0</v>
      </c>
      <c r="R133" s="19">
        <v>0</v>
      </c>
      <c r="S133" s="18">
        <v>2</v>
      </c>
      <c r="T133" s="19">
        <v>0</v>
      </c>
      <c r="U133" s="14" t="s">
        <v>69</v>
      </c>
      <c r="V133" s="14" t="s">
        <v>69</v>
      </c>
      <c r="W133" s="14" t="s">
        <v>69</v>
      </c>
      <c r="X133" s="14" t="s">
        <v>69</v>
      </c>
      <c r="Y133" s="14" t="s">
        <v>69</v>
      </c>
      <c r="AM133">
        <f>COUNTIF(P133:T133,"&gt;0")</f>
      </c>
      <c r="AN133">
        <f>COUNTIF(P133,"&gt;0")</f>
      </c>
      <c r="AO133">
        <f>COUNTIF(Q133,"&gt;0")</f>
      </c>
      <c r="AP133">
        <f>COUNTIF(R133,"&gt;0")</f>
      </c>
      <c r="AQ133">
        <f>COUNTIF(S133,"&gt;0")</f>
      </c>
      <c r="AR133">
        <f>COUNTIF(T133,"&gt;0")</f>
      </c>
      <c r="AX133" t="s">
        <v>222</v>
      </c>
      <c r="AY133" t="s">
        <v>238</v>
      </c>
    </row>
    <row r="134" ht="18" customHeight="1" spans="1:51" x14ac:dyDescent="0.25">
      <c r="A134" s="14"/>
      <c r="B134" s="14"/>
      <c r="C134" s="14"/>
      <c r="D134" s="14"/>
      <c r="E134" s="14"/>
      <c r="F134" s="15"/>
      <c r="G134" s="15"/>
      <c r="H134" s="14" t="s">
        <v>71</v>
      </c>
      <c r="I134" s="16"/>
      <c r="J134" s="17"/>
      <c r="K134" s="14"/>
      <c r="L134" s="14"/>
      <c r="M134" s="14"/>
      <c r="N134" s="14"/>
      <c r="O134" s="15"/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1" t="s">
        <v>69</v>
      </c>
      <c r="V134" s="21" t="s">
        <v>69</v>
      </c>
      <c r="W134" s="21" t="s">
        <v>69</v>
      </c>
      <c r="X134" s="21" t="s">
        <v>69</v>
      </c>
      <c r="Y134" s="21" t="s">
        <v>69</v>
      </c>
      <c r="AL134">
        <f>COUNTIF(P134:T134,"&gt;0")</f>
      </c>
      <c r="AS134">
        <f>COUNTIF(P134,"&gt;0")</f>
      </c>
      <c r="AT134">
        <f>COUNTIF(Q134,"&gt;0")</f>
      </c>
      <c r="AU134">
        <f>COUNTIF(R134,"&gt;0")</f>
      </c>
      <c r="AV134">
        <f>COUNTIF(S134,"&gt;0")</f>
      </c>
      <c r="AW134">
        <f>COUNTIF(T134,"&gt;0")</f>
      </c>
      <c r="AX134" t="s">
        <v>222</v>
      </c>
      <c r="AY134" t="s">
        <v>238</v>
      </c>
    </row>
    <row r="135" ht="28" customHeight="1" spans="1:51" x14ac:dyDescent="0.25">
      <c r="A135" s="14"/>
      <c r="B135" s="14"/>
      <c r="C135" s="14"/>
      <c r="D135" s="14"/>
      <c r="E135" s="14"/>
      <c r="F135" s="15" t="s">
        <v>239</v>
      </c>
      <c r="G135" s="15" t="s">
        <v>240</v>
      </c>
      <c r="H135" s="14" t="s">
        <v>66</v>
      </c>
      <c r="I135" s="16">
        <v>2</v>
      </c>
      <c r="J135" s="17">
        <v>1</v>
      </c>
      <c r="K135" s="14" t="s">
        <v>67</v>
      </c>
      <c r="L135" s="14" t="s">
        <v>68</v>
      </c>
      <c r="M135" s="14"/>
      <c r="N135" s="14"/>
      <c r="O135" s="15"/>
      <c r="P135" s="19">
        <v>0</v>
      </c>
      <c r="Q135" s="19">
        <v>0</v>
      </c>
      <c r="R135" s="19">
        <v>0</v>
      </c>
      <c r="S135" s="19">
        <v>0</v>
      </c>
      <c r="T135" s="18">
        <v>2</v>
      </c>
      <c r="U135" s="14" t="s">
        <v>69</v>
      </c>
      <c r="V135" s="14" t="s">
        <v>69</v>
      </c>
      <c r="W135" s="14" t="s">
        <v>69</v>
      </c>
      <c r="X135" s="14" t="s">
        <v>69</v>
      </c>
      <c r="Y135" s="14" t="s">
        <v>69</v>
      </c>
      <c r="AM135">
        <f>COUNTIF(P135:T135,"&gt;0")</f>
      </c>
      <c r="AN135">
        <f>COUNTIF(P135,"&gt;0")</f>
      </c>
      <c r="AO135">
        <f>COUNTIF(Q135,"&gt;0")</f>
      </c>
      <c r="AP135">
        <f>COUNTIF(R135,"&gt;0")</f>
      </c>
      <c r="AQ135">
        <f>COUNTIF(S135,"&gt;0")</f>
      </c>
      <c r="AR135">
        <f>COUNTIF(T135,"&gt;0")</f>
      </c>
      <c r="AX135" t="s">
        <v>222</v>
      </c>
      <c r="AY135" t="s">
        <v>241</v>
      </c>
    </row>
    <row r="136" ht="18" customHeight="1" spans="1:51" x14ac:dyDescent="0.25">
      <c r="A136" s="14"/>
      <c r="B136" s="14"/>
      <c r="C136" s="14"/>
      <c r="D136" s="14"/>
      <c r="E136" s="14"/>
      <c r="F136" s="15"/>
      <c r="G136" s="15"/>
      <c r="H136" s="14" t="s">
        <v>71</v>
      </c>
      <c r="I136" s="16"/>
      <c r="J136" s="17"/>
      <c r="K136" s="14"/>
      <c r="L136" s="14"/>
      <c r="M136" s="14"/>
      <c r="N136" s="14"/>
      <c r="O136" s="15"/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1" t="s">
        <v>69</v>
      </c>
      <c r="V136" s="21" t="s">
        <v>69</v>
      </c>
      <c r="W136" s="21" t="s">
        <v>69</v>
      </c>
      <c r="X136" s="21" t="s">
        <v>69</v>
      </c>
      <c r="Y136" s="21" t="s">
        <v>69</v>
      </c>
      <c r="AL136">
        <f>COUNTIF(P136:T136,"&gt;0")</f>
      </c>
      <c r="AS136">
        <f>COUNTIF(P136,"&gt;0")</f>
      </c>
      <c r="AT136">
        <f>COUNTIF(Q136,"&gt;0")</f>
      </c>
      <c r="AU136">
        <f>COUNTIF(R136,"&gt;0")</f>
      </c>
      <c r="AV136">
        <f>COUNTIF(S136,"&gt;0")</f>
      </c>
      <c r="AW136">
        <f>COUNTIF(T136,"&gt;0")</f>
      </c>
      <c r="AX136" t="s">
        <v>222</v>
      </c>
      <c r="AY136" t="s">
        <v>241</v>
      </c>
    </row>
    <row r="137" ht="28" customHeight="1" spans="1:51" x14ac:dyDescent="0.25">
      <c r="A137" s="14"/>
      <c r="B137" s="14"/>
      <c r="C137" s="14"/>
      <c r="D137" s="14"/>
      <c r="E137" s="14"/>
      <c r="F137" s="15" t="s">
        <v>242</v>
      </c>
      <c r="G137" s="15" t="s">
        <v>243</v>
      </c>
      <c r="H137" s="14" t="s">
        <v>66</v>
      </c>
      <c r="I137" s="16">
        <v>3</v>
      </c>
      <c r="J137" s="17">
        <v>3</v>
      </c>
      <c r="K137" s="14" t="s">
        <v>157</v>
      </c>
      <c r="L137" s="14" t="s">
        <v>68</v>
      </c>
      <c r="M137" s="14"/>
      <c r="N137" s="14"/>
      <c r="O137" s="15"/>
      <c r="P137" s="19">
        <v>0</v>
      </c>
      <c r="Q137" s="24">
        <v>3</v>
      </c>
      <c r="R137" s="19">
        <v>0</v>
      </c>
      <c r="S137" s="19">
        <v>0</v>
      </c>
      <c r="T137" s="19">
        <v>0</v>
      </c>
      <c r="U137" s="14" t="s">
        <v>69</v>
      </c>
      <c r="V137" s="14" t="s">
        <v>69</v>
      </c>
      <c r="W137" s="14" t="s">
        <v>69</v>
      </c>
      <c r="X137" s="14" t="s">
        <v>69</v>
      </c>
      <c r="Y137" s="14" t="s">
        <v>69</v>
      </c>
      <c r="AM137">
        <f>COUNTIF(P137:T137,"&gt;0")</f>
      </c>
      <c r="AN137">
        <f>COUNTIF(P137,"&gt;0")</f>
      </c>
      <c r="AO137">
        <f>COUNTIF(Q137,"&gt;0")</f>
      </c>
      <c r="AP137">
        <f>COUNTIF(R137,"&gt;0")</f>
      </c>
      <c r="AQ137">
        <f>COUNTIF(S137,"&gt;0")</f>
      </c>
      <c r="AR137">
        <f>COUNTIF(T137,"&gt;0")</f>
      </c>
      <c r="AX137" t="s">
        <v>222</v>
      </c>
      <c r="AY137" t="s">
        <v>244</v>
      </c>
    </row>
    <row r="138" ht="18" customHeight="1" spans="1:51" x14ac:dyDescent="0.25">
      <c r="A138" s="14"/>
      <c r="B138" s="14"/>
      <c r="C138" s="14"/>
      <c r="D138" s="14"/>
      <c r="E138" s="14"/>
      <c r="F138" s="15"/>
      <c r="G138" s="15"/>
      <c r="H138" s="14" t="s">
        <v>71</v>
      </c>
      <c r="I138" s="16"/>
      <c r="J138" s="17"/>
      <c r="K138" s="14"/>
      <c r="L138" s="14"/>
      <c r="M138" s="14"/>
      <c r="N138" s="14"/>
      <c r="O138" s="15"/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1" t="s">
        <v>69</v>
      </c>
      <c r="V138" s="21" t="s">
        <v>69</v>
      </c>
      <c r="W138" s="21" t="s">
        <v>69</v>
      </c>
      <c r="X138" s="21" t="s">
        <v>69</v>
      </c>
      <c r="Y138" s="21" t="s">
        <v>69</v>
      </c>
      <c r="AL138">
        <f>COUNTIF(P138:T138,"&gt;0")</f>
      </c>
      <c r="AS138">
        <f>COUNTIF(P138,"&gt;0")</f>
      </c>
      <c r="AT138">
        <f>COUNTIF(Q138,"&gt;0")</f>
      </c>
      <c r="AU138">
        <f>COUNTIF(R138,"&gt;0")</f>
      </c>
      <c r="AV138">
        <f>COUNTIF(S138,"&gt;0")</f>
      </c>
      <c r="AW138">
        <f>COUNTIF(T138,"&gt;0")</f>
      </c>
      <c r="AX138" t="s">
        <v>222</v>
      </c>
      <c r="AY138" t="s">
        <v>244</v>
      </c>
    </row>
    <row r="139" ht="28" customHeight="1" spans="1:51" x14ac:dyDescent="0.25">
      <c r="A139" s="14"/>
      <c r="B139" s="14"/>
      <c r="C139" s="14"/>
      <c r="D139" s="14"/>
      <c r="E139" s="14"/>
      <c r="F139" s="15" t="s">
        <v>245</v>
      </c>
      <c r="G139" s="15" t="s">
        <v>246</v>
      </c>
      <c r="H139" s="14" t="s">
        <v>66</v>
      </c>
      <c r="I139" s="16">
        <v>3</v>
      </c>
      <c r="J139" s="17">
        <v>3</v>
      </c>
      <c r="K139" s="14" t="s">
        <v>157</v>
      </c>
      <c r="L139" s="14" t="s">
        <v>68</v>
      </c>
      <c r="M139" s="14"/>
      <c r="N139" s="14"/>
      <c r="O139" s="15"/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4" t="s">
        <v>69</v>
      </c>
      <c r="V139" s="14" t="s">
        <v>69</v>
      </c>
      <c r="W139" s="14" t="s">
        <v>69</v>
      </c>
      <c r="X139" s="14" t="s">
        <v>69</v>
      </c>
      <c r="Y139" s="14" t="s">
        <v>69</v>
      </c>
      <c r="AM139">
        <f>COUNTIF(P139:T139,"&gt;0")</f>
      </c>
      <c r="AN139">
        <f>COUNTIF(P139,"&gt;0")</f>
      </c>
      <c r="AO139">
        <f>COUNTIF(Q139,"&gt;0")</f>
      </c>
      <c r="AP139">
        <f>COUNTIF(R139,"&gt;0")</f>
      </c>
      <c r="AQ139">
        <f>COUNTIF(S139,"&gt;0")</f>
      </c>
      <c r="AR139">
        <f>COUNTIF(T139,"&gt;0")</f>
      </c>
      <c r="AX139" t="s">
        <v>222</v>
      </c>
      <c r="AY139" t="s">
        <v>247</v>
      </c>
    </row>
    <row r="140" ht="18" customHeight="1" spans="1:51" x14ac:dyDescent="0.25">
      <c r="A140" s="14"/>
      <c r="B140" s="14"/>
      <c r="C140" s="14"/>
      <c r="D140" s="14"/>
      <c r="E140" s="14"/>
      <c r="F140" s="15"/>
      <c r="G140" s="15"/>
      <c r="H140" s="14" t="s">
        <v>71</v>
      </c>
      <c r="I140" s="16"/>
      <c r="J140" s="17"/>
      <c r="K140" s="14"/>
      <c r="L140" s="14"/>
      <c r="M140" s="14"/>
      <c r="N140" s="14"/>
      <c r="O140" s="15"/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1" t="s">
        <v>69</v>
      </c>
      <c r="V140" s="21" t="s">
        <v>69</v>
      </c>
      <c r="W140" s="21" t="s">
        <v>69</v>
      </c>
      <c r="X140" s="21" t="s">
        <v>69</v>
      </c>
      <c r="Y140" s="21" t="s">
        <v>69</v>
      </c>
      <c r="AL140">
        <f>COUNTIF(P140:T140,"&gt;0")</f>
      </c>
      <c r="AS140">
        <f>COUNTIF(P140,"&gt;0")</f>
      </c>
      <c r="AT140">
        <f>COUNTIF(Q140,"&gt;0")</f>
      </c>
      <c r="AU140">
        <f>COUNTIF(R140,"&gt;0")</f>
      </c>
      <c r="AV140">
        <f>COUNTIF(S140,"&gt;0")</f>
      </c>
      <c r="AW140">
        <f>COUNTIF(T140,"&gt;0")</f>
      </c>
      <c r="AX140" t="s">
        <v>222</v>
      </c>
      <c r="AY140" t="s">
        <v>247</v>
      </c>
    </row>
    <row r="141" ht="28" customHeight="1" spans="1:51" x14ac:dyDescent="0.25">
      <c r="A141" s="14"/>
      <c r="B141" s="14"/>
      <c r="C141" s="14"/>
      <c r="D141" s="14"/>
      <c r="E141" s="14"/>
      <c r="F141" s="15" t="s">
        <v>248</v>
      </c>
      <c r="G141" s="15" t="s">
        <v>249</v>
      </c>
      <c r="H141" s="14" t="s">
        <v>66</v>
      </c>
      <c r="I141" s="16">
        <v>4</v>
      </c>
      <c r="J141" s="17">
        <v>6</v>
      </c>
      <c r="K141" s="14" t="s">
        <v>138</v>
      </c>
      <c r="L141" s="14" t="s">
        <v>68</v>
      </c>
      <c r="M141" s="14"/>
      <c r="N141" s="14"/>
      <c r="O141" s="15"/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4" t="s">
        <v>69</v>
      </c>
      <c r="V141" s="14" t="s">
        <v>69</v>
      </c>
      <c r="W141" s="14" t="s">
        <v>69</v>
      </c>
      <c r="X141" s="14" t="s">
        <v>69</v>
      </c>
      <c r="Y141" s="14" t="s">
        <v>69</v>
      </c>
      <c r="AM141">
        <f>COUNTIF(P141:T141,"&gt;0")</f>
      </c>
      <c r="AN141">
        <f>COUNTIF(P141,"&gt;0")</f>
      </c>
      <c r="AO141">
        <f>COUNTIF(Q141,"&gt;0")</f>
      </c>
      <c r="AP141">
        <f>COUNTIF(R141,"&gt;0")</f>
      </c>
      <c r="AQ141">
        <f>COUNTIF(S141,"&gt;0")</f>
      </c>
      <c r="AR141">
        <f>COUNTIF(T141,"&gt;0")</f>
      </c>
      <c r="AX141" t="s">
        <v>222</v>
      </c>
      <c r="AY141" t="s">
        <v>250</v>
      </c>
    </row>
    <row r="142" ht="18" customHeight="1" spans="1:51" x14ac:dyDescent="0.25">
      <c r="A142" s="14"/>
      <c r="B142" s="14"/>
      <c r="C142" s="14"/>
      <c r="D142" s="14"/>
      <c r="E142" s="14"/>
      <c r="F142" s="15"/>
      <c r="G142" s="15"/>
      <c r="H142" s="14" t="s">
        <v>71</v>
      </c>
      <c r="I142" s="16"/>
      <c r="J142" s="17"/>
      <c r="K142" s="14"/>
      <c r="L142" s="14"/>
      <c r="M142" s="14"/>
      <c r="N142" s="14"/>
      <c r="O142" s="15"/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1" t="s">
        <v>69</v>
      </c>
      <c r="V142" s="21" t="s">
        <v>69</v>
      </c>
      <c r="W142" s="21" t="s">
        <v>69</v>
      </c>
      <c r="X142" s="21" t="s">
        <v>69</v>
      </c>
      <c r="Y142" s="21" t="s">
        <v>69</v>
      </c>
      <c r="AL142">
        <f>COUNTIF(P142:T142,"&gt;0")</f>
      </c>
      <c r="AS142">
        <f>COUNTIF(P142,"&gt;0")</f>
      </c>
      <c r="AT142">
        <f>COUNTIF(Q142,"&gt;0")</f>
      </c>
      <c r="AU142">
        <f>COUNTIF(R142,"&gt;0")</f>
      </c>
      <c r="AV142">
        <f>COUNTIF(S142,"&gt;0")</f>
      </c>
      <c r="AW142">
        <f>COUNTIF(T142,"&gt;0")</f>
      </c>
      <c r="AX142" t="s">
        <v>222</v>
      </c>
      <c r="AY142" t="s">
        <v>250</v>
      </c>
    </row>
    <row r="143" ht="28" customHeight="1" spans="1:51" x14ac:dyDescent="0.25">
      <c r="A143" s="14"/>
      <c r="B143" s="14"/>
      <c r="C143" s="14"/>
      <c r="D143" s="14"/>
      <c r="E143" s="14"/>
      <c r="F143" s="15" t="s">
        <v>100</v>
      </c>
      <c r="G143" s="15" t="s">
        <v>251</v>
      </c>
      <c r="H143" s="14" t="s">
        <v>66</v>
      </c>
      <c r="I143" s="16">
        <v>4</v>
      </c>
      <c r="J143" s="17">
        <v>6</v>
      </c>
      <c r="K143" s="14" t="s">
        <v>138</v>
      </c>
      <c r="L143" s="14" t="s">
        <v>68</v>
      </c>
      <c r="M143" s="14"/>
      <c r="N143" s="14"/>
      <c r="O143" s="15"/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4" t="s">
        <v>69</v>
      </c>
      <c r="V143" s="14" t="s">
        <v>69</v>
      </c>
      <c r="W143" s="14" t="s">
        <v>69</v>
      </c>
      <c r="X143" s="14" t="s">
        <v>69</v>
      </c>
      <c r="Y143" s="14" t="s">
        <v>69</v>
      </c>
      <c r="AM143">
        <f>COUNTIF(P143:T143,"&gt;0")</f>
      </c>
      <c r="AN143">
        <f>COUNTIF(P143,"&gt;0")</f>
      </c>
      <c r="AO143">
        <f>COUNTIF(Q143,"&gt;0")</f>
      </c>
      <c r="AP143">
        <f>COUNTIF(R143,"&gt;0")</f>
      </c>
      <c r="AQ143">
        <f>COUNTIF(S143,"&gt;0")</f>
      </c>
      <c r="AR143">
        <f>COUNTIF(T143,"&gt;0")</f>
      </c>
      <c r="AX143" t="s">
        <v>222</v>
      </c>
      <c r="AY143" t="s">
        <v>252</v>
      </c>
    </row>
    <row r="144" ht="18" customHeight="1" spans="1:51" x14ac:dyDescent="0.25">
      <c r="A144" s="14"/>
      <c r="B144" s="14"/>
      <c r="C144" s="14"/>
      <c r="D144" s="14"/>
      <c r="E144" s="14"/>
      <c r="F144" s="15"/>
      <c r="G144" s="15"/>
      <c r="H144" s="14" t="s">
        <v>71</v>
      </c>
      <c r="I144" s="16"/>
      <c r="J144" s="17"/>
      <c r="K144" s="14"/>
      <c r="L144" s="14"/>
      <c r="M144" s="14"/>
      <c r="N144" s="14"/>
      <c r="O144" s="15"/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1" t="s">
        <v>69</v>
      </c>
      <c r="V144" s="21" t="s">
        <v>69</v>
      </c>
      <c r="W144" s="21" t="s">
        <v>69</v>
      </c>
      <c r="X144" s="21" t="s">
        <v>69</v>
      </c>
      <c r="Y144" s="21" t="s">
        <v>69</v>
      </c>
      <c r="AL144">
        <f>COUNTIF(P144:T144,"&gt;0")</f>
      </c>
      <c r="AS144">
        <f>COUNTIF(P144,"&gt;0")</f>
      </c>
      <c r="AT144">
        <f>COUNTIF(Q144,"&gt;0")</f>
      </c>
      <c r="AU144">
        <f>COUNTIF(R144,"&gt;0")</f>
      </c>
      <c r="AV144">
        <f>COUNTIF(S144,"&gt;0")</f>
      </c>
      <c r="AW144">
        <f>COUNTIF(T144,"&gt;0")</f>
      </c>
      <c r="AX144" t="s">
        <v>222</v>
      </c>
      <c r="AY144" t="s">
        <v>252</v>
      </c>
    </row>
    <row r="145" ht="28" customHeight="1" spans="1:51" x14ac:dyDescent="0.25">
      <c r="A145" s="14"/>
      <c r="B145" s="14"/>
      <c r="C145" s="14"/>
      <c r="D145" s="14"/>
      <c r="E145" s="14"/>
      <c r="F145" s="15" t="s">
        <v>253</v>
      </c>
      <c r="G145" s="15" t="s">
        <v>254</v>
      </c>
      <c r="H145" s="14" t="s">
        <v>66</v>
      </c>
      <c r="I145" s="16">
        <v>5</v>
      </c>
      <c r="J145" s="17">
        <v>12</v>
      </c>
      <c r="K145" s="14" t="s">
        <v>141</v>
      </c>
      <c r="L145" s="14" t="s">
        <v>68</v>
      </c>
      <c r="M145" s="14"/>
      <c r="N145" s="14"/>
      <c r="O145" s="15"/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4" t="s">
        <v>69</v>
      </c>
      <c r="V145" s="14" t="s">
        <v>69</v>
      </c>
      <c r="W145" s="14" t="s">
        <v>69</v>
      </c>
      <c r="X145" s="14" t="s">
        <v>69</v>
      </c>
      <c r="Y145" s="14" t="s">
        <v>69</v>
      </c>
      <c r="AM145">
        <f>COUNTIF(P145:T145,"&gt;0")</f>
      </c>
      <c r="AN145">
        <f>COUNTIF(P145,"&gt;0")</f>
      </c>
      <c r="AO145">
        <f>COUNTIF(Q145,"&gt;0")</f>
      </c>
      <c r="AP145">
        <f>COUNTIF(R145,"&gt;0")</f>
      </c>
      <c r="AQ145">
        <f>COUNTIF(S145,"&gt;0")</f>
      </c>
      <c r="AR145">
        <f>COUNTIF(T145,"&gt;0")</f>
      </c>
      <c r="AX145" t="s">
        <v>222</v>
      </c>
      <c r="AY145" t="s">
        <v>255</v>
      </c>
    </row>
    <row r="146" ht="18" customHeight="1" spans="1:51" x14ac:dyDescent="0.25">
      <c r="A146" s="14"/>
      <c r="B146" s="14"/>
      <c r="C146" s="14"/>
      <c r="D146" s="14"/>
      <c r="E146" s="14"/>
      <c r="F146" s="15"/>
      <c r="G146" s="15"/>
      <c r="H146" s="14" t="s">
        <v>71</v>
      </c>
      <c r="I146" s="16"/>
      <c r="J146" s="17"/>
      <c r="K146" s="14"/>
      <c r="L146" s="14"/>
      <c r="M146" s="14"/>
      <c r="N146" s="14"/>
      <c r="O146" s="15"/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1" t="s">
        <v>69</v>
      </c>
      <c r="V146" s="21" t="s">
        <v>69</v>
      </c>
      <c r="W146" s="21" t="s">
        <v>69</v>
      </c>
      <c r="X146" s="21" t="s">
        <v>69</v>
      </c>
      <c r="Y146" s="21" t="s">
        <v>69</v>
      </c>
      <c r="AL146">
        <f>COUNTIF(P146:T146,"&gt;0")</f>
      </c>
      <c r="AS146">
        <f>COUNTIF(P146,"&gt;0")</f>
      </c>
      <c r="AT146">
        <f>COUNTIF(Q146,"&gt;0")</f>
      </c>
      <c r="AU146">
        <f>COUNTIF(R146,"&gt;0")</f>
      </c>
      <c r="AV146">
        <f>COUNTIF(S146,"&gt;0")</f>
      </c>
      <c r="AW146">
        <f>COUNTIF(T146,"&gt;0")</f>
      </c>
      <c r="AX146" t="s">
        <v>222</v>
      </c>
      <c r="AY146" t="s">
        <v>255</v>
      </c>
    </row>
    <row r="147" ht="28" customHeight="1" spans="1:51" x14ac:dyDescent="0.25">
      <c r="A147" s="14"/>
      <c r="B147" s="14"/>
      <c r="C147" s="14"/>
      <c r="D147" s="14"/>
      <c r="E147" s="14"/>
      <c r="F147" s="15" t="s">
        <v>151</v>
      </c>
      <c r="G147" s="15" t="s">
        <v>256</v>
      </c>
      <c r="H147" s="14" t="s">
        <v>66</v>
      </c>
      <c r="I147" s="16">
        <v>5</v>
      </c>
      <c r="J147" s="17">
        <v>12</v>
      </c>
      <c r="K147" s="14" t="s">
        <v>141</v>
      </c>
      <c r="L147" s="14" t="s">
        <v>68</v>
      </c>
      <c r="M147" s="14"/>
      <c r="N147" s="14"/>
      <c r="O147" s="15"/>
      <c r="P147" s="25">
        <v>5</v>
      </c>
      <c r="Q147" s="19">
        <v>0</v>
      </c>
      <c r="R147" s="19">
        <v>0</v>
      </c>
      <c r="S147" s="19">
        <v>0</v>
      </c>
      <c r="T147" s="19">
        <v>0</v>
      </c>
      <c r="U147" s="14" t="s">
        <v>69</v>
      </c>
      <c r="V147" s="14" t="s">
        <v>69</v>
      </c>
      <c r="W147" s="14" t="s">
        <v>69</v>
      </c>
      <c r="X147" s="14" t="s">
        <v>69</v>
      </c>
      <c r="Y147" s="14" t="s">
        <v>69</v>
      </c>
      <c r="AM147">
        <f>COUNTIF(P147:T147,"&gt;0")</f>
      </c>
      <c r="AN147">
        <f>COUNTIF(P147,"&gt;0")</f>
      </c>
      <c r="AO147">
        <f>COUNTIF(Q147,"&gt;0")</f>
      </c>
      <c r="AP147">
        <f>COUNTIF(R147,"&gt;0")</f>
      </c>
      <c r="AQ147">
        <f>COUNTIF(S147,"&gt;0")</f>
      </c>
      <c r="AR147">
        <f>COUNTIF(T147,"&gt;0")</f>
      </c>
      <c r="AX147" t="s">
        <v>222</v>
      </c>
      <c r="AY147" t="s">
        <v>257</v>
      </c>
    </row>
    <row r="148" ht="18" customHeight="1" spans="1:51" x14ac:dyDescent="0.25">
      <c r="A148" s="14"/>
      <c r="B148" s="14"/>
      <c r="C148" s="14"/>
      <c r="D148" s="14"/>
      <c r="E148" s="14"/>
      <c r="F148" s="15"/>
      <c r="G148" s="15"/>
      <c r="H148" s="14" t="s">
        <v>71</v>
      </c>
      <c r="I148" s="16"/>
      <c r="J148" s="17"/>
      <c r="K148" s="14"/>
      <c r="L148" s="14"/>
      <c r="M148" s="14"/>
      <c r="N148" s="14"/>
      <c r="O148" s="15"/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1" t="s">
        <v>69</v>
      </c>
      <c r="V148" s="21" t="s">
        <v>69</v>
      </c>
      <c r="W148" s="21" t="s">
        <v>69</v>
      </c>
      <c r="X148" s="21" t="s">
        <v>69</v>
      </c>
      <c r="Y148" s="21" t="s">
        <v>69</v>
      </c>
      <c r="AL148">
        <f>COUNTIF(P148:T148,"&gt;0")</f>
      </c>
      <c r="AS148">
        <f>COUNTIF(P148,"&gt;0")</f>
      </c>
      <c r="AT148">
        <f>COUNTIF(Q148,"&gt;0")</f>
      </c>
      <c r="AU148">
        <f>COUNTIF(R148,"&gt;0")</f>
      </c>
      <c r="AV148">
        <f>COUNTIF(S148,"&gt;0")</f>
      </c>
      <c r="AW148">
        <f>COUNTIF(T148,"&gt;0")</f>
      </c>
      <c r="AX148" t="s">
        <v>222</v>
      </c>
      <c r="AY148" t="s">
        <v>257</v>
      </c>
    </row>
    <row r="149" ht="28" customHeight="1" spans="1:51" x14ac:dyDescent="0.25">
      <c r="A149" s="14"/>
      <c r="B149" s="14"/>
      <c r="C149" s="14"/>
      <c r="D149" s="14"/>
      <c r="E149" s="14"/>
      <c r="F149" s="15" t="s">
        <v>258</v>
      </c>
      <c r="G149" s="15" t="s">
        <v>259</v>
      </c>
      <c r="H149" s="14" t="s">
        <v>66</v>
      </c>
      <c r="I149" s="16">
        <v>5</v>
      </c>
      <c r="J149" s="17">
        <v>12</v>
      </c>
      <c r="K149" s="14" t="s">
        <v>141</v>
      </c>
      <c r="L149" s="14" t="s">
        <v>68</v>
      </c>
      <c r="M149" s="14"/>
      <c r="N149" s="14"/>
      <c r="O149" s="15"/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4" t="s">
        <v>69</v>
      </c>
      <c r="V149" s="14" t="s">
        <v>69</v>
      </c>
      <c r="W149" s="14" t="s">
        <v>69</v>
      </c>
      <c r="X149" s="14" t="s">
        <v>69</v>
      </c>
      <c r="Y149" s="14" t="s">
        <v>69</v>
      </c>
      <c r="AM149">
        <f>COUNTIF(P149:T149,"&gt;0")</f>
      </c>
      <c r="AN149">
        <f>COUNTIF(P149,"&gt;0")</f>
      </c>
      <c r="AO149">
        <f>COUNTIF(Q149,"&gt;0")</f>
      </c>
      <c r="AP149">
        <f>COUNTIF(R149,"&gt;0")</f>
      </c>
      <c r="AQ149">
        <f>COUNTIF(S149,"&gt;0")</f>
      </c>
      <c r="AR149">
        <f>COUNTIF(T149,"&gt;0")</f>
      </c>
      <c r="AX149" t="s">
        <v>222</v>
      </c>
      <c r="AY149" t="s">
        <v>260</v>
      </c>
    </row>
    <row r="150" ht="18" customHeight="1" spans="1:51" x14ac:dyDescent="0.25">
      <c r="A150" s="14"/>
      <c r="B150" s="14"/>
      <c r="C150" s="14"/>
      <c r="D150" s="14"/>
      <c r="E150" s="14"/>
      <c r="F150" s="15"/>
      <c r="G150" s="15"/>
      <c r="H150" s="14" t="s">
        <v>71</v>
      </c>
      <c r="I150" s="16"/>
      <c r="J150" s="17"/>
      <c r="K150" s="14"/>
      <c r="L150" s="14"/>
      <c r="M150" s="14"/>
      <c r="N150" s="14"/>
      <c r="O150" s="15"/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1" t="s">
        <v>69</v>
      </c>
      <c r="V150" s="21" t="s">
        <v>69</v>
      </c>
      <c r="W150" s="21" t="s">
        <v>69</v>
      </c>
      <c r="X150" s="21" t="s">
        <v>69</v>
      </c>
      <c r="Y150" s="21" t="s">
        <v>69</v>
      </c>
      <c r="AL150">
        <f>COUNTIF(P150:T150,"&gt;0")</f>
      </c>
      <c r="AS150">
        <f>COUNTIF(P150,"&gt;0")</f>
      </c>
      <c r="AT150">
        <f>COUNTIF(Q150,"&gt;0")</f>
      </c>
      <c r="AU150">
        <f>COUNTIF(R150,"&gt;0")</f>
      </c>
      <c r="AV150">
        <f>COUNTIF(S150,"&gt;0")</f>
      </c>
      <c r="AW150">
        <f>COUNTIF(T150,"&gt;0")</f>
      </c>
      <c r="AX150" t="s">
        <v>222</v>
      </c>
      <c r="AY150" t="s">
        <v>260</v>
      </c>
    </row>
    <row r="151" ht="28" customHeight="1" spans="1:51" x14ac:dyDescent="0.25">
      <c r="A151" s="14"/>
      <c r="B151" s="14"/>
      <c r="C151" s="14"/>
      <c r="D151" s="14"/>
      <c r="E151" s="14"/>
      <c r="F151" s="15" t="s">
        <v>261</v>
      </c>
      <c r="G151" s="15" t="s">
        <v>262</v>
      </c>
      <c r="H151" s="14" t="s">
        <v>66</v>
      </c>
      <c r="I151" s="16">
        <v>5</v>
      </c>
      <c r="J151" s="17">
        <v>12</v>
      </c>
      <c r="K151" s="14" t="s">
        <v>141</v>
      </c>
      <c r="L151" s="14" t="s">
        <v>68</v>
      </c>
      <c r="M151" s="14"/>
      <c r="N151" s="14"/>
      <c r="O151" s="15"/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4" t="s">
        <v>69</v>
      </c>
      <c r="V151" s="14" t="s">
        <v>69</v>
      </c>
      <c r="W151" s="14" t="s">
        <v>69</v>
      </c>
      <c r="X151" s="14" t="s">
        <v>69</v>
      </c>
      <c r="Y151" s="14" t="s">
        <v>69</v>
      </c>
      <c r="AM151">
        <f>COUNTIF(P151:T151,"&gt;0")</f>
      </c>
      <c r="AN151">
        <f>COUNTIF(P151,"&gt;0")</f>
      </c>
      <c r="AO151">
        <f>COUNTIF(Q151,"&gt;0")</f>
      </c>
      <c r="AP151">
        <f>COUNTIF(R151,"&gt;0")</f>
      </c>
      <c r="AQ151">
        <f>COUNTIF(S151,"&gt;0")</f>
      </c>
      <c r="AR151">
        <f>COUNTIF(T151,"&gt;0")</f>
      </c>
      <c r="AX151" t="s">
        <v>222</v>
      </c>
      <c r="AY151" t="s">
        <v>263</v>
      </c>
    </row>
    <row r="152" ht="18" customHeight="1" spans="1:51" x14ac:dyDescent="0.25">
      <c r="A152" s="14"/>
      <c r="B152" s="14"/>
      <c r="C152" s="14"/>
      <c r="D152" s="14"/>
      <c r="E152" s="14"/>
      <c r="F152" s="15"/>
      <c r="G152" s="15"/>
      <c r="H152" s="14" t="s">
        <v>71</v>
      </c>
      <c r="I152" s="16"/>
      <c r="J152" s="17"/>
      <c r="K152" s="14"/>
      <c r="L152" s="14"/>
      <c r="M152" s="14"/>
      <c r="N152" s="14"/>
      <c r="O152" s="15"/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1" t="s">
        <v>69</v>
      </c>
      <c r="V152" s="21" t="s">
        <v>69</v>
      </c>
      <c r="W152" s="21" t="s">
        <v>69</v>
      </c>
      <c r="X152" s="21" t="s">
        <v>69</v>
      </c>
      <c r="Y152" s="21" t="s">
        <v>69</v>
      </c>
      <c r="AL152">
        <f>COUNTIF(P152:T152,"&gt;0")</f>
      </c>
      <c r="AS152">
        <f>COUNTIF(P152,"&gt;0")</f>
      </c>
      <c r="AT152">
        <f>COUNTIF(Q152,"&gt;0")</f>
      </c>
      <c r="AU152">
        <f>COUNTIF(R152,"&gt;0")</f>
      </c>
      <c r="AV152">
        <f>COUNTIF(S152,"&gt;0")</f>
      </c>
      <c r="AW152">
        <f>COUNTIF(T152,"&gt;0")</f>
      </c>
      <c r="AX152" t="s">
        <v>222</v>
      </c>
      <c r="AY152" t="s">
        <v>263</v>
      </c>
    </row>
    <row r="153" ht="28" customHeight="1" spans="1:51" x14ac:dyDescent="0.25">
      <c r="A153" s="14"/>
      <c r="B153" s="14"/>
      <c r="C153" s="14"/>
      <c r="D153" s="14"/>
      <c r="E153" s="14"/>
      <c r="F153" s="15" t="s">
        <v>264</v>
      </c>
      <c r="G153" s="15" t="s">
        <v>265</v>
      </c>
      <c r="H153" s="14" t="s">
        <v>66</v>
      </c>
      <c r="I153" s="16">
        <v>5</v>
      </c>
      <c r="J153" s="17">
        <v>12</v>
      </c>
      <c r="K153" s="14" t="s">
        <v>141</v>
      </c>
      <c r="L153" s="14" t="s">
        <v>68</v>
      </c>
      <c r="M153" s="14"/>
      <c r="N153" s="14"/>
      <c r="O153" s="15"/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4" t="s">
        <v>69</v>
      </c>
      <c r="V153" s="14" t="s">
        <v>69</v>
      </c>
      <c r="W153" s="14" t="s">
        <v>69</v>
      </c>
      <c r="X153" s="14" t="s">
        <v>69</v>
      </c>
      <c r="Y153" s="14" t="s">
        <v>69</v>
      </c>
      <c r="AM153">
        <f>COUNTIF(P153:T153,"&gt;0")</f>
      </c>
      <c r="AN153">
        <f>COUNTIF(P153,"&gt;0")</f>
      </c>
      <c r="AO153">
        <f>COUNTIF(Q153,"&gt;0")</f>
      </c>
      <c r="AP153">
        <f>COUNTIF(R153,"&gt;0")</f>
      </c>
      <c r="AQ153">
        <f>COUNTIF(S153,"&gt;0")</f>
      </c>
      <c r="AR153">
        <f>COUNTIF(T153,"&gt;0")</f>
      </c>
      <c r="AX153" t="s">
        <v>222</v>
      </c>
      <c r="AY153" t="s">
        <v>266</v>
      </c>
    </row>
    <row r="154" ht="18" customHeight="1" spans="1:51" x14ac:dyDescent="0.25">
      <c r="A154" s="14"/>
      <c r="B154" s="14"/>
      <c r="C154" s="14"/>
      <c r="D154" s="14"/>
      <c r="E154" s="14"/>
      <c r="F154" s="15"/>
      <c r="G154" s="15"/>
      <c r="H154" s="14" t="s">
        <v>71</v>
      </c>
      <c r="I154" s="16"/>
      <c r="J154" s="17"/>
      <c r="K154" s="14"/>
      <c r="L154" s="14"/>
      <c r="M154" s="14"/>
      <c r="N154" s="14"/>
      <c r="O154" s="15"/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1" t="s">
        <v>69</v>
      </c>
      <c r="V154" s="21" t="s">
        <v>69</v>
      </c>
      <c r="W154" s="21" t="s">
        <v>69</v>
      </c>
      <c r="X154" s="21" t="s">
        <v>69</v>
      </c>
      <c r="Y154" s="21" t="s">
        <v>69</v>
      </c>
      <c r="AL154">
        <f>COUNTIF(P154:T154,"&gt;0")</f>
      </c>
      <c r="AS154">
        <f>COUNTIF(P154,"&gt;0")</f>
      </c>
      <c r="AT154">
        <f>COUNTIF(Q154,"&gt;0")</f>
      </c>
      <c r="AU154">
        <f>COUNTIF(R154,"&gt;0")</f>
      </c>
      <c r="AV154">
        <f>COUNTIF(S154,"&gt;0")</f>
      </c>
      <c r="AW154">
        <f>COUNTIF(T154,"&gt;0")</f>
      </c>
      <c r="AX154" t="s">
        <v>222</v>
      </c>
      <c r="AY154" t="s">
        <v>266</v>
      </c>
    </row>
    <row r="155" ht="28" customHeight="1" spans="1:51" x14ac:dyDescent="0.25">
      <c r="A155" s="14"/>
      <c r="B155" s="14"/>
      <c r="C155" s="14"/>
      <c r="D155" s="14"/>
      <c r="E155" s="14"/>
      <c r="F155" s="15" t="s">
        <v>267</v>
      </c>
      <c r="G155" s="15" t="s">
        <v>268</v>
      </c>
      <c r="H155" s="14" t="s">
        <v>66</v>
      </c>
      <c r="I155" s="16">
        <v>5</v>
      </c>
      <c r="J155" s="17">
        <v>12</v>
      </c>
      <c r="K155" s="14" t="s">
        <v>141</v>
      </c>
      <c r="L155" s="14" t="s">
        <v>68</v>
      </c>
      <c r="M155" s="14"/>
      <c r="N155" s="14"/>
      <c r="O155" s="15"/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4" t="s">
        <v>69</v>
      </c>
      <c r="V155" s="14" t="s">
        <v>69</v>
      </c>
      <c r="W155" s="14" t="s">
        <v>69</v>
      </c>
      <c r="X155" s="14" t="s">
        <v>69</v>
      </c>
      <c r="Y155" s="14" t="s">
        <v>69</v>
      </c>
      <c r="AM155">
        <f>COUNTIF(P155:T155,"&gt;0")</f>
      </c>
      <c r="AN155">
        <f>COUNTIF(P155,"&gt;0")</f>
      </c>
      <c r="AO155">
        <f>COUNTIF(Q155,"&gt;0")</f>
      </c>
      <c r="AP155">
        <f>COUNTIF(R155,"&gt;0")</f>
      </c>
      <c r="AQ155">
        <f>COUNTIF(S155,"&gt;0")</f>
      </c>
      <c r="AR155">
        <f>COUNTIF(T155,"&gt;0")</f>
      </c>
      <c r="AX155" t="s">
        <v>222</v>
      </c>
      <c r="AY155" t="s">
        <v>269</v>
      </c>
    </row>
    <row r="156" ht="18" customHeight="1" spans="1:51" x14ac:dyDescent="0.25">
      <c r="A156" s="14"/>
      <c r="B156" s="14"/>
      <c r="C156" s="14"/>
      <c r="D156" s="14"/>
      <c r="E156" s="14"/>
      <c r="F156" s="15"/>
      <c r="G156" s="15"/>
      <c r="H156" s="14" t="s">
        <v>71</v>
      </c>
      <c r="I156" s="16"/>
      <c r="J156" s="17"/>
      <c r="K156" s="14"/>
      <c r="L156" s="14"/>
      <c r="M156" s="14"/>
      <c r="N156" s="14"/>
      <c r="O156" s="15"/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1" t="s">
        <v>69</v>
      </c>
      <c r="V156" s="21" t="s">
        <v>69</v>
      </c>
      <c r="W156" s="21" t="s">
        <v>69</v>
      </c>
      <c r="X156" s="21" t="s">
        <v>69</v>
      </c>
      <c r="Y156" s="21" t="s">
        <v>69</v>
      </c>
      <c r="AL156">
        <f>COUNTIF(P156:T156,"&gt;0")</f>
      </c>
      <c r="AS156">
        <f>COUNTIF(P156,"&gt;0")</f>
      </c>
      <c r="AT156">
        <f>COUNTIF(Q156,"&gt;0")</f>
      </c>
      <c r="AU156">
        <f>COUNTIF(R156,"&gt;0")</f>
      </c>
      <c r="AV156">
        <f>COUNTIF(S156,"&gt;0")</f>
      </c>
      <c r="AW156">
        <f>COUNTIF(T156,"&gt;0")</f>
      </c>
      <c r="AX156" t="s">
        <v>222</v>
      </c>
      <c r="AY156" t="s">
        <v>269</v>
      </c>
    </row>
    <row r="157" ht="28" customHeight="1" spans="1:51" x14ac:dyDescent="0.25">
      <c r="A157" s="14"/>
      <c r="B157" s="14" t="s">
        <v>270</v>
      </c>
      <c r="C157" s="14" t="s">
        <v>271</v>
      </c>
      <c r="D157" s="14" t="s">
        <v>272</v>
      </c>
      <c r="E157" s="14" t="s">
        <v>168</v>
      </c>
      <c r="F157" s="15" t="s">
        <v>123</v>
      </c>
      <c r="G157" s="15" t="s">
        <v>273</v>
      </c>
      <c r="H157" s="14" t="s">
        <v>66</v>
      </c>
      <c r="I157" s="16">
        <v>3</v>
      </c>
      <c r="J157" s="17">
        <v>3</v>
      </c>
      <c r="K157" s="14" t="s">
        <v>157</v>
      </c>
      <c r="L157" s="14" t="s">
        <v>68</v>
      </c>
      <c r="M157" s="14"/>
      <c r="N157" s="14"/>
      <c r="O157" s="15"/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4" t="s">
        <v>69</v>
      </c>
      <c r="V157" s="14" t="s">
        <v>69</v>
      </c>
      <c r="W157" s="14" t="s">
        <v>69</v>
      </c>
      <c r="X157" s="14" t="s">
        <v>69</v>
      </c>
      <c r="Y157" s="14" t="s">
        <v>69</v>
      </c>
      <c r="AM157">
        <f>COUNTIF(P157:T157,"&gt;0")</f>
      </c>
      <c r="AN157">
        <f>COUNTIF(P157,"&gt;0")</f>
      </c>
      <c r="AO157">
        <f>COUNTIF(Q157,"&gt;0")</f>
      </c>
      <c r="AP157">
        <f>COUNTIF(R157,"&gt;0")</f>
      </c>
      <c r="AQ157">
        <f>COUNTIF(S157,"&gt;0")</f>
      </c>
      <c r="AR157">
        <f>COUNTIF(T157,"&gt;0")</f>
      </c>
      <c r="AX157" t="s">
        <v>270</v>
      </c>
      <c r="AY157" t="s">
        <v>274</v>
      </c>
    </row>
    <row r="158" ht="18" customHeight="1" spans="1:51" x14ac:dyDescent="0.25">
      <c r="A158" s="14"/>
      <c r="B158" s="14"/>
      <c r="C158" s="14"/>
      <c r="D158" s="14"/>
      <c r="E158" s="14"/>
      <c r="F158" s="15"/>
      <c r="G158" s="15"/>
      <c r="H158" s="14" t="s">
        <v>71</v>
      </c>
      <c r="I158" s="16"/>
      <c r="J158" s="17"/>
      <c r="K158" s="14"/>
      <c r="L158" s="14"/>
      <c r="M158" s="14"/>
      <c r="N158" s="14"/>
      <c r="O158" s="15"/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1" t="s">
        <v>69</v>
      </c>
      <c r="V158" s="21" t="s">
        <v>69</v>
      </c>
      <c r="W158" s="21" t="s">
        <v>69</v>
      </c>
      <c r="X158" s="21" t="s">
        <v>69</v>
      </c>
      <c r="Y158" s="21" t="s">
        <v>69</v>
      </c>
      <c r="AL158">
        <f>COUNTIF(P158:T158,"&gt;0")</f>
      </c>
      <c r="AS158">
        <f>COUNTIF(P158,"&gt;0")</f>
      </c>
      <c r="AT158">
        <f>COUNTIF(Q158,"&gt;0")</f>
      </c>
      <c r="AU158">
        <f>COUNTIF(R158,"&gt;0")</f>
      </c>
      <c r="AV158">
        <f>COUNTIF(S158,"&gt;0")</f>
      </c>
      <c r="AW158">
        <f>COUNTIF(T158,"&gt;0")</f>
      </c>
      <c r="AX158" t="s">
        <v>270</v>
      </c>
      <c r="AY158" t="s">
        <v>274</v>
      </c>
    </row>
    <row r="159" ht="28" customHeight="1" spans="1:51" x14ac:dyDescent="0.25">
      <c r="A159" s="14"/>
      <c r="B159" s="14"/>
      <c r="C159" s="14"/>
      <c r="D159" s="14"/>
      <c r="E159" s="14"/>
      <c r="F159" s="15" t="s">
        <v>275</v>
      </c>
      <c r="G159" s="15" t="s">
        <v>276</v>
      </c>
      <c r="H159" s="14" t="s">
        <v>66</v>
      </c>
      <c r="I159" s="16">
        <v>4</v>
      </c>
      <c r="J159" s="17">
        <v>6</v>
      </c>
      <c r="K159" s="14" t="s">
        <v>138</v>
      </c>
      <c r="L159" s="14" t="s">
        <v>68</v>
      </c>
      <c r="M159" s="14"/>
      <c r="N159" s="14"/>
      <c r="O159" s="15"/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4" t="s">
        <v>69</v>
      </c>
      <c r="V159" s="14" t="s">
        <v>69</v>
      </c>
      <c r="W159" s="14" t="s">
        <v>69</v>
      </c>
      <c r="X159" s="14" t="s">
        <v>69</v>
      </c>
      <c r="Y159" s="14" t="s">
        <v>69</v>
      </c>
      <c r="AM159">
        <f>COUNTIF(P159:T159,"&gt;0")</f>
      </c>
      <c r="AN159">
        <f>COUNTIF(P159,"&gt;0")</f>
      </c>
      <c r="AO159">
        <f>COUNTIF(Q159,"&gt;0")</f>
      </c>
      <c r="AP159">
        <f>COUNTIF(R159,"&gt;0")</f>
      </c>
      <c r="AQ159">
        <f>COUNTIF(S159,"&gt;0")</f>
      </c>
      <c r="AR159">
        <f>COUNTIF(T159,"&gt;0")</f>
      </c>
      <c r="AX159" t="s">
        <v>270</v>
      </c>
      <c r="AY159" t="s">
        <v>277</v>
      </c>
    </row>
    <row r="160" ht="18" customHeight="1" spans="1:51" x14ac:dyDescent="0.25">
      <c r="A160" s="14"/>
      <c r="B160" s="14"/>
      <c r="C160" s="14"/>
      <c r="D160" s="14"/>
      <c r="E160" s="14"/>
      <c r="F160" s="15"/>
      <c r="G160" s="15"/>
      <c r="H160" s="14" t="s">
        <v>71</v>
      </c>
      <c r="I160" s="16"/>
      <c r="J160" s="17"/>
      <c r="K160" s="14"/>
      <c r="L160" s="14"/>
      <c r="M160" s="14"/>
      <c r="N160" s="14"/>
      <c r="O160" s="15"/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1" t="s">
        <v>69</v>
      </c>
      <c r="V160" s="21" t="s">
        <v>69</v>
      </c>
      <c r="W160" s="21" t="s">
        <v>69</v>
      </c>
      <c r="X160" s="21" t="s">
        <v>69</v>
      </c>
      <c r="Y160" s="21" t="s">
        <v>69</v>
      </c>
      <c r="AL160">
        <f>COUNTIF(P160:T160,"&gt;0")</f>
      </c>
      <c r="AS160">
        <f>COUNTIF(P160,"&gt;0")</f>
      </c>
      <c r="AT160">
        <f>COUNTIF(Q160,"&gt;0")</f>
      </c>
      <c r="AU160">
        <f>COUNTIF(R160,"&gt;0")</f>
      </c>
      <c r="AV160">
        <f>COUNTIF(S160,"&gt;0")</f>
      </c>
      <c r="AW160">
        <f>COUNTIF(T160,"&gt;0")</f>
      </c>
      <c r="AX160" t="s">
        <v>270</v>
      </c>
      <c r="AY160" t="s">
        <v>277</v>
      </c>
    </row>
    <row r="161" ht="28" customHeight="1" spans="1:51" x14ac:dyDescent="0.25">
      <c r="A161" s="14"/>
      <c r="B161" s="14"/>
      <c r="C161" s="14"/>
      <c r="D161" s="14"/>
      <c r="E161" s="14"/>
      <c r="F161" s="15" t="s">
        <v>278</v>
      </c>
      <c r="G161" s="15" t="s">
        <v>279</v>
      </c>
      <c r="H161" s="14" t="s">
        <v>66</v>
      </c>
      <c r="I161" s="16">
        <v>4</v>
      </c>
      <c r="J161" s="17">
        <v>6</v>
      </c>
      <c r="K161" s="14" t="s">
        <v>138</v>
      </c>
      <c r="L161" s="14" t="s">
        <v>68</v>
      </c>
      <c r="M161" s="14"/>
      <c r="N161" s="14"/>
      <c r="O161" s="15"/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4" t="s">
        <v>69</v>
      </c>
      <c r="V161" s="14" t="s">
        <v>69</v>
      </c>
      <c r="W161" s="14" t="s">
        <v>69</v>
      </c>
      <c r="X161" s="14" t="s">
        <v>69</v>
      </c>
      <c r="Y161" s="14" t="s">
        <v>69</v>
      </c>
      <c r="AM161">
        <f>COUNTIF(P161:T161,"&gt;0")</f>
      </c>
      <c r="AN161">
        <f>COUNTIF(P161,"&gt;0")</f>
      </c>
      <c r="AO161">
        <f>COUNTIF(Q161,"&gt;0")</f>
      </c>
      <c r="AP161">
        <f>COUNTIF(R161,"&gt;0")</f>
      </c>
      <c r="AQ161">
        <f>COUNTIF(S161,"&gt;0")</f>
      </c>
      <c r="AR161">
        <f>COUNTIF(T161,"&gt;0")</f>
      </c>
      <c r="AX161" t="s">
        <v>270</v>
      </c>
      <c r="AY161" t="s">
        <v>280</v>
      </c>
    </row>
    <row r="162" ht="18" customHeight="1" spans="1:51" x14ac:dyDescent="0.25">
      <c r="A162" s="14"/>
      <c r="B162" s="14"/>
      <c r="C162" s="14"/>
      <c r="D162" s="14"/>
      <c r="E162" s="14"/>
      <c r="F162" s="15"/>
      <c r="G162" s="15"/>
      <c r="H162" s="14" t="s">
        <v>71</v>
      </c>
      <c r="I162" s="16"/>
      <c r="J162" s="17"/>
      <c r="K162" s="14"/>
      <c r="L162" s="14"/>
      <c r="M162" s="14"/>
      <c r="N162" s="14"/>
      <c r="O162" s="15"/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1" t="s">
        <v>69</v>
      </c>
      <c r="V162" s="21" t="s">
        <v>69</v>
      </c>
      <c r="W162" s="21" t="s">
        <v>69</v>
      </c>
      <c r="X162" s="21" t="s">
        <v>69</v>
      </c>
      <c r="Y162" s="21" t="s">
        <v>69</v>
      </c>
      <c r="AL162">
        <f>COUNTIF(P162:T162,"&gt;0")</f>
      </c>
      <c r="AS162">
        <f>COUNTIF(P162,"&gt;0")</f>
      </c>
      <c r="AT162">
        <f>COUNTIF(Q162,"&gt;0")</f>
      </c>
      <c r="AU162">
        <f>COUNTIF(R162,"&gt;0")</f>
      </c>
      <c r="AV162">
        <f>COUNTIF(S162,"&gt;0")</f>
      </c>
      <c r="AW162">
        <f>COUNTIF(T162,"&gt;0")</f>
      </c>
      <c r="AX162" t="s">
        <v>270</v>
      </c>
      <c r="AY162" t="s">
        <v>280</v>
      </c>
    </row>
    <row r="163" ht="28" customHeight="1" spans="1:51" x14ac:dyDescent="0.25">
      <c r="A163" s="14"/>
      <c r="B163" s="14"/>
      <c r="C163" s="14"/>
      <c r="D163" s="14"/>
      <c r="E163" s="14"/>
      <c r="F163" s="15" t="s">
        <v>151</v>
      </c>
      <c r="G163" s="15" t="s">
        <v>133</v>
      </c>
      <c r="H163" s="14" t="s">
        <v>66</v>
      </c>
      <c r="I163" s="16">
        <v>4</v>
      </c>
      <c r="J163" s="17">
        <v>6</v>
      </c>
      <c r="K163" s="14" t="s">
        <v>138</v>
      </c>
      <c r="L163" s="14" t="s">
        <v>68</v>
      </c>
      <c r="M163" s="14"/>
      <c r="N163" s="14"/>
      <c r="O163" s="15"/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4" t="s">
        <v>69</v>
      </c>
      <c r="V163" s="14" t="s">
        <v>69</v>
      </c>
      <c r="W163" s="14" t="s">
        <v>69</v>
      </c>
      <c r="X163" s="14" t="s">
        <v>69</v>
      </c>
      <c r="Y163" s="14" t="s">
        <v>69</v>
      </c>
      <c r="AM163">
        <f>COUNTIF(P163:T163,"&gt;0")</f>
      </c>
      <c r="AN163">
        <f>COUNTIF(P163,"&gt;0")</f>
      </c>
      <c r="AO163">
        <f>COUNTIF(Q163,"&gt;0")</f>
      </c>
      <c r="AP163">
        <f>COUNTIF(R163,"&gt;0")</f>
      </c>
      <c r="AQ163">
        <f>COUNTIF(S163,"&gt;0")</f>
      </c>
      <c r="AR163">
        <f>COUNTIF(T163,"&gt;0")</f>
      </c>
      <c r="AX163" t="s">
        <v>270</v>
      </c>
      <c r="AY163" t="s">
        <v>281</v>
      </c>
    </row>
    <row r="164" ht="18" customHeight="1" spans="1:51" x14ac:dyDescent="0.25">
      <c r="A164" s="14"/>
      <c r="B164" s="14"/>
      <c r="C164" s="14"/>
      <c r="D164" s="14"/>
      <c r="E164" s="14"/>
      <c r="F164" s="15"/>
      <c r="G164" s="15"/>
      <c r="H164" s="14" t="s">
        <v>71</v>
      </c>
      <c r="I164" s="16"/>
      <c r="J164" s="17"/>
      <c r="K164" s="14"/>
      <c r="L164" s="14"/>
      <c r="M164" s="14"/>
      <c r="N164" s="14"/>
      <c r="O164" s="15"/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1" t="s">
        <v>69</v>
      </c>
      <c r="V164" s="21" t="s">
        <v>69</v>
      </c>
      <c r="W164" s="21" t="s">
        <v>69</v>
      </c>
      <c r="X164" s="21" t="s">
        <v>69</v>
      </c>
      <c r="Y164" s="21" t="s">
        <v>69</v>
      </c>
      <c r="AL164">
        <f>COUNTIF(P164:T164,"&gt;0")</f>
      </c>
      <c r="AS164">
        <f>COUNTIF(P164,"&gt;0")</f>
      </c>
      <c r="AT164">
        <f>COUNTIF(Q164,"&gt;0")</f>
      </c>
      <c r="AU164">
        <f>COUNTIF(R164,"&gt;0")</f>
      </c>
      <c r="AV164">
        <f>COUNTIF(S164,"&gt;0")</f>
      </c>
      <c r="AW164">
        <f>COUNTIF(T164,"&gt;0")</f>
      </c>
      <c r="AX164" t="s">
        <v>270</v>
      </c>
      <c r="AY164" t="s">
        <v>281</v>
      </c>
    </row>
    <row r="165" ht="28" customHeight="1" spans="1:51" x14ac:dyDescent="0.25">
      <c r="A165" s="14"/>
      <c r="B165" s="14"/>
      <c r="C165" s="14"/>
      <c r="D165" s="14"/>
      <c r="E165" s="14"/>
      <c r="F165" s="15" t="s">
        <v>123</v>
      </c>
      <c r="G165" s="15" t="s">
        <v>273</v>
      </c>
      <c r="H165" s="14" t="s">
        <v>66</v>
      </c>
      <c r="I165" s="16">
        <v>4</v>
      </c>
      <c r="J165" s="17">
        <v>6</v>
      </c>
      <c r="K165" s="14" t="s">
        <v>138</v>
      </c>
      <c r="L165" s="14" t="s">
        <v>68</v>
      </c>
      <c r="M165" s="14"/>
      <c r="N165" s="14"/>
      <c r="O165" s="15"/>
      <c r="P165" s="19">
        <v>0</v>
      </c>
      <c r="Q165" s="23">
        <v>4</v>
      </c>
      <c r="R165" s="19">
        <v>0</v>
      </c>
      <c r="S165" s="19">
        <v>0</v>
      </c>
      <c r="T165" s="19">
        <v>0</v>
      </c>
      <c r="U165" s="14" t="s">
        <v>69</v>
      </c>
      <c r="V165" s="14" t="s">
        <v>69</v>
      </c>
      <c r="W165" s="14" t="s">
        <v>69</v>
      </c>
      <c r="X165" s="14" t="s">
        <v>69</v>
      </c>
      <c r="Y165" s="14" t="s">
        <v>69</v>
      </c>
      <c r="AM165">
        <f>COUNTIF(P165:T165,"&gt;0")</f>
      </c>
      <c r="AN165">
        <f>COUNTIF(P165,"&gt;0")</f>
      </c>
      <c r="AO165">
        <f>COUNTIF(Q165,"&gt;0")</f>
      </c>
      <c r="AP165">
        <f>COUNTIF(R165,"&gt;0")</f>
      </c>
      <c r="AQ165">
        <f>COUNTIF(S165,"&gt;0")</f>
      </c>
      <c r="AR165">
        <f>COUNTIF(T165,"&gt;0")</f>
      </c>
      <c r="AX165" t="s">
        <v>270</v>
      </c>
      <c r="AY165" t="s">
        <v>282</v>
      </c>
    </row>
    <row r="166" ht="18" customHeight="1" spans="1:51" x14ac:dyDescent="0.25">
      <c r="A166" s="14"/>
      <c r="B166" s="14"/>
      <c r="C166" s="14"/>
      <c r="D166" s="14"/>
      <c r="E166" s="14"/>
      <c r="F166" s="15"/>
      <c r="G166" s="15"/>
      <c r="H166" s="14" t="s">
        <v>71</v>
      </c>
      <c r="I166" s="16"/>
      <c r="J166" s="17"/>
      <c r="K166" s="14"/>
      <c r="L166" s="14"/>
      <c r="M166" s="14"/>
      <c r="N166" s="14"/>
      <c r="O166" s="15"/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1" t="s">
        <v>69</v>
      </c>
      <c r="V166" s="21" t="s">
        <v>69</v>
      </c>
      <c r="W166" s="21" t="s">
        <v>69</v>
      </c>
      <c r="X166" s="21" t="s">
        <v>69</v>
      </c>
      <c r="Y166" s="21" t="s">
        <v>69</v>
      </c>
      <c r="AL166">
        <f>COUNTIF(P166:T166,"&gt;0")</f>
      </c>
      <c r="AS166">
        <f>COUNTIF(P166,"&gt;0")</f>
      </c>
      <c r="AT166">
        <f>COUNTIF(Q166,"&gt;0")</f>
      </c>
      <c r="AU166">
        <f>COUNTIF(R166,"&gt;0")</f>
      </c>
      <c r="AV166">
        <f>COUNTIF(S166,"&gt;0")</f>
      </c>
      <c r="AW166">
        <f>COUNTIF(T166,"&gt;0")</f>
      </c>
      <c r="AX166" t="s">
        <v>270</v>
      </c>
      <c r="AY166" t="s">
        <v>282</v>
      </c>
    </row>
    <row r="167" ht="28" customHeight="1" spans="1:51" x14ac:dyDescent="0.25">
      <c r="A167" s="14"/>
      <c r="B167" s="14"/>
      <c r="C167" s="14"/>
      <c r="D167" s="14"/>
      <c r="E167" s="14"/>
      <c r="F167" s="15" t="s">
        <v>283</v>
      </c>
      <c r="G167" s="15" t="s">
        <v>284</v>
      </c>
      <c r="H167" s="14" t="s">
        <v>66</v>
      </c>
      <c r="I167" s="16">
        <v>5</v>
      </c>
      <c r="J167" s="17">
        <v>12</v>
      </c>
      <c r="K167" s="14" t="s">
        <v>141</v>
      </c>
      <c r="L167" s="14" t="s">
        <v>68</v>
      </c>
      <c r="M167" s="14"/>
      <c r="N167" s="14"/>
      <c r="O167" s="15"/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4" t="s">
        <v>69</v>
      </c>
      <c r="V167" s="14" t="s">
        <v>69</v>
      </c>
      <c r="W167" s="14" t="s">
        <v>69</v>
      </c>
      <c r="X167" s="14" t="s">
        <v>69</v>
      </c>
      <c r="Y167" s="14" t="s">
        <v>69</v>
      </c>
      <c r="AM167">
        <f>COUNTIF(P167:T167,"&gt;0")</f>
      </c>
      <c r="AN167">
        <f>COUNTIF(P167,"&gt;0")</f>
      </c>
      <c r="AO167">
        <f>COUNTIF(Q167,"&gt;0")</f>
      </c>
      <c r="AP167">
        <f>COUNTIF(R167,"&gt;0")</f>
      </c>
      <c r="AQ167">
        <f>COUNTIF(S167,"&gt;0")</f>
      </c>
      <c r="AR167">
        <f>COUNTIF(T167,"&gt;0")</f>
      </c>
      <c r="AX167" t="s">
        <v>270</v>
      </c>
      <c r="AY167" t="s">
        <v>285</v>
      </c>
    </row>
    <row r="168" ht="18" customHeight="1" spans="1:51" x14ac:dyDescent="0.25">
      <c r="A168" s="14"/>
      <c r="B168" s="14"/>
      <c r="C168" s="14"/>
      <c r="D168" s="14"/>
      <c r="E168" s="14"/>
      <c r="F168" s="15"/>
      <c r="G168" s="15"/>
      <c r="H168" s="14" t="s">
        <v>71</v>
      </c>
      <c r="I168" s="16"/>
      <c r="J168" s="17"/>
      <c r="K168" s="14"/>
      <c r="L168" s="14"/>
      <c r="M168" s="14"/>
      <c r="N168" s="14"/>
      <c r="O168" s="15"/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1" t="s">
        <v>69</v>
      </c>
      <c r="V168" s="21" t="s">
        <v>69</v>
      </c>
      <c r="W168" s="21" t="s">
        <v>69</v>
      </c>
      <c r="X168" s="21" t="s">
        <v>69</v>
      </c>
      <c r="Y168" s="21" t="s">
        <v>69</v>
      </c>
      <c r="AL168">
        <f>COUNTIF(P168:T168,"&gt;0")</f>
      </c>
      <c r="AS168">
        <f>COUNTIF(P168,"&gt;0")</f>
      </c>
      <c r="AT168">
        <f>COUNTIF(Q168,"&gt;0")</f>
      </c>
      <c r="AU168">
        <f>COUNTIF(R168,"&gt;0")</f>
      </c>
      <c r="AV168">
        <f>COUNTIF(S168,"&gt;0")</f>
      </c>
      <c r="AW168">
        <f>COUNTIF(T168,"&gt;0")</f>
      </c>
      <c r="AX168" t="s">
        <v>270</v>
      </c>
      <c r="AY168" t="s">
        <v>285</v>
      </c>
    </row>
    <row r="169" ht="28" customHeight="1" spans="1:51" x14ac:dyDescent="0.25">
      <c r="A169" s="14"/>
      <c r="B169" s="14"/>
      <c r="C169" s="14"/>
      <c r="D169" s="14"/>
      <c r="E169" s="14"/>
      <c r="F169" s="15" t="s">
        <v>123</v>
      </c>
      <c r="G169" s="15" t="s">
        <v>286</v>
      </c>
      <c r="H169" s="14" t="s">
        <v>66</v>
      </c>
      <c r="I169" s="16">
        <v>5</v>
      </c>
      <c r="J169" s="17">
        <v>12</v>
      </c>
      <c r="K169" s="14" t="s">
        <v>141</v>
      </c>
      <c r="L169" s="14" t="s">
        <v>68</v>
      </c>
      <c r="M169" s="14"/>
      <c r="N169" s="14"/>
      <c r="O169" s="15"/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4" t="s">
        <v>69</v>
      </c>
      <c r="V169" s="14" t="s">
        <v>69</v>
      </c>
      <c r="W169" s="14" t="s">
        <v>69</v>
      </c>
      <c r="X169" s="14" t="s">
        <v>69</v>
      </c>
      <c r="Y169" s="14" t="s">
        <v>69</v>
      </c>
      <c r="AM169">
        <f>COUNTIF(P169:T169,"&gt;0")</f>
      </c>
      <c r="AN169">
        <f>COUNTIF(P169,"&gt;0")</f>
      </c>
      <c r="AO169">
        <f>COUNTIF(Q169,"&gt;0")</f>
      </c>
      <c r="AP169">
        <f>COUNTIF(R169,"&gt;0")</f>
      </c>
      <c r="AQ169">
        <f>COUNTIF(S169,"&gt;0")</f>
      </c>
      <c r="AR169">
        <f>COUNTIF(T169,"&gt;0")</f>
      </c>
      <c r="AX169" t="s">
        <v>270</v>
      </c>
      <c r="AY169" t="s">
        <v>287</v>
      </c>
    </row>
    <row r="170" ht="18" customHeight="1" spans="1:51" x14ac:dyDescent="0.25">
      <c r="A170" s="14"/>
      <c r="B170" s="14"/>
      <c r="C170" s="14"/>
      <c r="D170" s="14"/>
      <c r="E170" s="14"/>
      <c r="F170" s="15"/>
      <c r="G170" s="15"/>
      <c r="H170" s="14" t="s">
        <v>71</v>
      </c>
      <c r="I170" s="16"/>
      <c r="J170" s="17"/>
      <c r="K170" s="14"/>
      <c r="L170" s="14"/>
      <c r="M170" s="14"/>
      <c r="N170" s="14"/>
      <c r="O170" s="15"/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1" t="s">
        <v>69</v>
      </c>
      <c r="V170" s="21" t="s">
        <v>69</v>
      </c>
      <c r="W170" s="21" t="s">
        <v>69</v>
      </c>
      <c r="X170" s="21" t="s">
        <v>69</v>
      </c>
      <c r="Y170" s="21" t="s">
        <v>69</v>
      </c>
      <c r="AL170">
        <f>COUNTIF(P170:T170,"&gt;0")</f>
      </c>
      <c r="AS170">
        <f>COUNTIF(P170,"&gt;0")</f>
      </c>
      <c r="AT170">
        <f>COUNTIF(Q170,"&gt;0")</f>
      </c>
      <c r="AU170">
        <f>COUNTIF(R170,"&gt;0")</f>
      </c>
      <c r="AV170">
        <f>COUNTIF(S170,"&gt;0")</f>
      </c>
      <c r="AW170">
        <f>COUNTIF(T170,"&gt;0")</f>
      </c>
      <c r="AX170" t="s">
        <v>270</v>
      </c>
      <c r="AY170" t="s">
        <v>287</v>
      </c>
    </row>
    <row r="171" ht="28" customHeight="1" spans="1:51" x14ac:dyDescent="0.25">
      <c r="A171" s="14"/>
      <c r="B171" s="14"/>
      <c r="C171" s="14"/>
      <c r="D171" s="14"/>
      <c r="E171" s="14"/>
      <c r="F171" s="15" t="s">
        <v>151</v>
      </c>
      <c r="G171" s="15" t="s">
        <v>140</v>
      </c>
      <c r="H171" s="14" t="s">
        <v>66</v>
      </c>
      <c r="I171" s="16">
        <v>5</v>
      </c>
      <c r="J171" s="17">
        <v>12</v>
      </c>
      <c r="K171" s="14" t="s">
        <v>141</v>
      </c>
      <c r="L171" s="14" t="s">
        <v>68</v>
      </c>
      <c r="M171" s="14"/>
      <c r="N171" s="14"/>
      <c r="O171" s="15"/>
      <c r="P171" s="19">
        <v>0</v>
      </c>
      <c r="Q171" s="19">
        <v>0</v>
      </c>
      <c r="R171" s="19">
        <v>0</v>
      </c>
      <c r="S171" s="19">
        <v>0</v>
      </c>
      <c r="T171" s="19">
        <v>0</v>
      </c>
      <c r="U171" s="14" t="s">
        <v>69</v>
      </c>
      <c r="V171" s="14" t="s">
        <v>69</v>
      </c>
      <c r="W171" s="14" t="s">
        <v>69</v>
      </c>
      <c r="X171" s="14" t="s">
        <v>69</v>
      </c>
      <c r="Y171" s="14" t="s">
        <v>69</v>
      </c>
      <c r="AM171">
        <f>COUNTIF(P171:T171,"&gt;0")</f>
      </c>
      <c r="AN171">
        <f>COUNTIF(P171,"&gt;0")</f>
      </c>
      <c r="AO171">
        <f>COUNTIF(Q171,"&gt;0")</f>
      </c>
      <c r="AP171">
        <f>COUNTIF(R171,"&gt;0")</f>
      </c>
      <c r="AQ171">
        <f>COUNTIF(S171,"&gt;0")</f>
      </c>
      <c r="AR171">
        <f>COUNTIF(T171,"&gt;0")</f>
      </c>
      <c r="AX171" t="s">
        <v>270</v>
      </c>
      <c r="AY171" t="s">
        <v>288</v>
      </c>
    </row>
    <row r="172" ht="18" customHeight="1" spans="1:51" x14ac:dyDescent="0.25">
      <c r="A172" s="14"/>
      <c r="B172" s="14"/>
      <c r="C172" s="14"/>
      <c r="D172" s="14"/>
      <c r="E172" s="14"/>
      <c r="F172" s="15"/>
      <c r="G172" s="15"/>
      <c r="H172" s="14" t="s">
        <v>71</v>
      </c>
      <c r="I172" s="16"/>
      <c r="J172" s="17"/>
      <c r="K172" s="14"/>
      <c r="L172" s="14"/>
      <c r="M172" s="14"/>
      <c r="N172" s="14"/>
      <c r="O172" s="15"/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1" t="s">
        <v>69</v>
      </c>
      <c r="V172" s="21" t="s">
        <v>69</v>
      </c>
      <c r="W172" s="21" t="s">
        <v>69</v>
      </c>
      <c r="X172" s="21" t="s">
        <v>69</v>
      </c>
      <c r="Y172" s="21" t="s">
        <v>69</v>
      </c>
      <c r="AL172">
        <f>COUNTIF(P172:T172,"&gt;0")</f>
      </c>
      <c r="AS172">
        <f>COUNTIF(P172,"&gt;0")</f>
      </c>
      <c r="AT172">
        <f>COUNTIF(Q172,"&gt;0")</f>
      </c>
      <c r="AU172">
        <f>COUNTIF(R172,"&gt;0")</f>
      </c>
      <c r="AV172">
        <f>COUNTIF(S172,"&gt;0")</f>
      </c>
      <c r="AW172">
        <f>COUNTIF(T172,"&gt;0")</f>
      </c>
      <c r="AX172" t="s">
        <v>270</v>
      </c>
      <c r="AY172" t="s">
        <v>288</v>
      </c>
    </row>
    <row r="173" ht="28" customHeight="1" spans="1:51" x14ac:dyDescent="0.25">
      <c r="A173" s="14"/>
      <c r="B173" s="14"/>
      <c r="C173" s="14"/>
      <c r="D173" s="14"/>
      <c r="E173" s="14"/>
      <c r="F173" s="15" t="s">
        <v>123</v>
      </c>
      <c r="G173" s="15" t="s">
        <v>273</v>
      </c>
      <c r="H173" s="14" t="s">
        <v>66</v>
      </c>
      <c r="I173" s="16">
        <v>5</v>
      </c>
      <c r="J173" s="17">
        <v>12</v>
      </c>
      <c r="K173" s="14" t="s">
        <v>141</v>
      </c>
      <c r="L173" s="14" t="s">
        <v>68</v>
      </c>
      <c r="M173" s="14"/>
      <c r="N173" s="14"/>
      <c r="O173" s="15"/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4" t="s">
        <v>69</v>
      </c>
      <c r="V173" s="14" t="s">
        <v>69</v>
      </c>
      <c r="W173" s="14" t="s">
        <v>69</v>
      </c>
      <c r="X173" s="14" t="s">
        <v>69</v>
      </c>
      <c r="Y173" s="14" t="s">
        <v>69</v>
      </c>
      <c r="AM173">
        <f>COUNTIF(P173:T173,"&gt;0")</f>
      </c>
      <c r="AN173">
        <f>COUNTIF(P173,"&gt;0")</f>
      </c>
      <c r="AO173">
        <f>COUNTIF(Q173,"&gt;0")</f>
      </c>
      <c r="AP173">
        <f>COUNTIF(R173,"&gt;0")</f>
      </c>
      <c r="AQ173">
        <f>COUNTIF(S173,"&gt;0")</f>
      </c>
      <c r="AR173">
        <f>COUNTIF(T173,"&gt;0")</f>
      </c>
      <c r="AX173" t="s">
        <v>270</v>
      </c>
      <c r="AY173" t="s">
        <v>289</v>
      </c>
    </row>
    <row r="174" ht="18" customHeight="1" spans="1:51" x14ac:dyDescent="0.25">
      <c r="A174" s="14"/>
      <c r="B174" s="14"/>
      <c r="C174" s="14"/>
      <c r="D174" s="14"/>
      <c r="E174" s="14"/>
      <c r="F174" s="15"/>
      <c r="G174" s="15"/>
      <c r="H174" s="14" t="s">
        <v>71</v>
      </c>
      <c r="I174" s="16"/>
      <c r="J174" s="17"/>
      <c r="K174" s="14"/>
      <c r="L174" s="14"/>
      <c r="M174" s="14"/>
      <c r="N174" s="14"/>
      <c r="O174" s="15"/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1" t="s">
        <v>69</v>
      </c>
      <c r="V174" s="21" t="s">
        <v>69</v>
      </c>
      <c r="W174" s="21" t="s">
        <v>69</v>
      </c>
      <c r="X174" s="21" t="s">
        <v>69</v>
      </c>
      <c r="Y174" s="21" t="s">
        <v>69</v>
      </c>
      <c r="AL174">
        <f>COUNTIF(P174:T174,"&gt;0")</f>
      </c>
      <c r="AS174">
        <f>COUNTIF(P174,"&gt;0")</f>
      </c>
      <c r="AT174">
        <f>COUNTIF(Q174,"&gt;0")</f>
      </c>
      <c r="AU174">
        <f>COUNTIF(R174,"&gt;0")</f>
      </c>
      <c r="AV174">
        <f>COUNTIF(S174,"&gt;0")</f>
      </c>
      <c r="AW174">
        <f>COUNTIF(T174,"&gt;0")</f>
      </c>
      <c r="AX174" t="s">
        <v>270</v>
      </c>
      <c r="AY174" t="s">
        <v>289</v>
      </c>
    </row>
    <row r="175" ht="28" customHeight="1" spans="1:51" x14ac:dyDescent="0.25">
      <c r="A175" s="14"/>
      <c r="B175" s="14"/>
      <c r="C175" s="14"/>
      <c r="D175" s="14"/>
      <c r="E175" s="14"/>
      <c r="F175" s="15" t="s">
        <v>275</v>
      </c>
      <c r="G175" s="15" t="s">
        <v>276</v>
      </c>
      <c r="H175" s="14" t="s">
        <v>66</v>
      </c>
      <c r="I175" s="16">
        <v>5</v>
      </c>
      <c r="J175" s="17">
        <v>12</v>
      </c>
      <c r="K175" s="14" t="s">
        <v>141</v>
      </c>
      <c r="L175" s="14" t="s">
        <v>68</v>
      </c>
      <c r="M175" s="14"/>
      <c r="N175" s="14"/>
      <c r="O175" s="15"/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4" t="s">
        <v>69</v>
      </c>
      <c r="V175" s="14" t="s">
        <v>69</v>
      </c>
      <c r="W175" s="14" t="s">
        <v>69</v>
      </c>
      <c r="X175" s="14" t="s">
        <v>69</v>
      </c>
      <c r="Y175" s="14" t="s">
        <v>69</v>
      </c>
      <c r="AM175">
        <f>COUNTIF(P175:T175,"&gt;0")</f>
      </c>
      <c r="AN175">
        <f>COUNTIF(P175,"&gt;0")</f>
      </c>
      <c r="AO175">
        <f>COUNTIF(Q175,"&gt;0")</f>
      </c>
      <c r="AP175">
        <f>COUNTIF(R175,"&gt;0")</f>
      </c>
      <c r="AQ175">
        <f>COUNTIF(S175,"&gt;0")</f>
      </c>
      <c r="AR175">
        <f>COUNTIF(T175,"&gt;0")</f>
      </c>
      <c r="AX175" t="s">
        <v>270</v>
      </c>
      <c r="AY175" t="s">
        <v>290</v>
      </c>
    </row>
    <row r="176" ht="18" customHeight="1" spans="1:51" x14ac:dyDescent="0.25">
      <c r="A176" s="14"/>
      <c r="B176" s="14"/>
      <c r="C176" s="14"/>
      <c r="D176" s="14"/>
      <c r="E176" s="14"/>
      <c r="F176" s="15"/>
      <c r="G176" s="15"/>
      <c r="H176" s="14" t="s">
        <v>71</v>
      </c>
      <c r="I176" s="16"/>
      <c r="J176" s="17"/>
      <c r="K176" s="14"/>
      <c r="L176" s="14"/>
      <c r="M176" s="14"/>
      <c r="N176" s="14"/>
      <c r="O176" s="15"/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1" t="s">
        <v>69</v>
      </c>
      <c r="V176" s="21" t="s">
        <v>69</v>
      </c>
      <c r="W176" s="21" t="s">
        <v>69</v>
      </c>
      <c r="X176" s="21" t="s">
        <v>69</v>
      </c>
      <c r="Y176" s="21" t="s">
        <v>69</v>
      </c>
      <c r="AL176">
        <f>COUNTIF(P176:T176,"&gt;0")</f>
      </c>
      <c r="AS176">
        <f>COUNTIF(P176,"&gt;0")</f>
      </c>
      <c r="AT176">
        <f>COUNTIF(Q176,"&gt;0")</f>
      </c>
      <c r="AU176">
        <f>COUNTIF(R176,"&gt;0")</f>
      </c>
      <c r="AV176">
        <f>COUNTIF(S176,"&gt;0")</f>
      </c>
      <c r="AW176">
        <f>COUNTIF(T176,"&gt;0")</f>
      </c>
      <c r="AX176" t="s">
        <v>270</v>
      </c>
      <c r="AY176" t="s">
        <v>290</v>
      </c>
    </row>
    <row r="177" ht="28" customHeight="1" spans="1:51" x14ac:dyDescent="0.25">
      <c r="A177" s="14"/>
      <c r="B177" s="14"/>
      <c r="C177" s="14"/>
      <c r="D177" s="14"/>
      <c r="E177" s="14"/>
      <c r="F177" s="15" t="s">
        <v>278</v>
      </c>
      <c r="G177" s="15" t="s">
        <v>279</v>
      </c>
      <c r="H177" s="14" t="s">
        <v>66</v>
      </c>
      <c r="I177" s="16">
        <v>5</v>
      </c>
      <c r="J177" s="17">
        <v>12</v>
      </c>
      <c r="K177" s="14" t="s">
        <v>141</v>
      </c>
      <c r="L177" s="14" t="s">
        <v>68</v>
      </c>
      <c r="M177" s="14"/>
      <c r="N177" s="14"/>
      <c r="O177" s="15"/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4" t="s">
        <v>69</v>
      </c>
      <c r="V177" s="14" t="s">
        <v>69</v>
      </c>
      <c r="W177" s="14" t="s">
        <v>69</v>
      </c>
      <c r="X177" s="14" t="s">
        <v>69</v>
      </c>
      <c r="Y177" s="14" t="s">
        <v>69</v>
      </c>
      <c r="AM177">
        <f>COUNTIF(P177:T177,"&gt;0")</f>
      </c>
      <c r="AN177">
        <f>COUNTIF(P177,"&gt;0")</f>
      </c>
      <c r="AO177">
        <f>COUNTIF(Q177,"&gt;0")</f>
      </c>
      <c r="AP177">
        <f>COUNTIF(R177,"&gt;0")</f>
      </c>
      <c r="AQ177">
        <f>COUNTIF(S177,"&gt;0")</f>
      </c>
      <c r="AR177">
        <f>COUNTIF(T177,"&gt;0")</f>
      </c>
      <c r="AX177" t="s">
        <v>270</v>
      </c>
      <c r="AY177" t="s">
        <v>291</v>
      </c>
    </row>
    <row r="178" ht="18" customHeight="1" spans="1:51" x14ac:dyDescent="0.25">
      <c r="A178" s="14"/>
      <c r="B178" s="14"/>
      <c r="C178" s="14"/>
      <c r="D178" s="14"/>
      <c r="E178" s="14"/>
      <c r="F178" s="15"/>
      <c r="G178" s="15"/>
      <c r="H178" s="14" t="s">
        <v>71</v>
      </c>
      <c r="I178" s="16"/>
      <c r="J178" s="17"/>
      <c r="K178" s="14"/>
      <c r="L178" s="14"/>
      <c r="M178" s="14"/>
      <c r="N178" s="14"/>
      <c r="O178" s="15"/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1" t="s">
        <v>69</v>
      </c>
      <c r="V178" s="21" t="s">
        <v>69</v>
      </c>
      <c r="W178" s="21" t="s">
        <v>69</v>
      </c>
      <c r="X178" s="21" t="s">
        <v>69</v>
      </c>
      <c r="Y178" s="21" t="s">
        <v>69</v>
      </c>
      <c r="AL178">
        <f>COUNTIF(P178:T178,"&gt;0")</f>
      </c>
      <c r="AS178">
        <f>COUNTIF(P178,"&gt;0")</f>
      </c>
      <c r="AT178">
        <f>COUNTIF(Q178,"&gt;0")</f>
      </c>
      <c r="AU178">
        <f>COUNTIF(R178,"&gt;0")</f>
      </c>
      <c r="AV178">
        <f>COUNTIF(S178,"&gt;0")</f>
      </c>
      <c r="AW178">
        <f>COUNTIF(T178,"&gt;0")</f>
      </c>
      <c r="AX178" t="s">
        <v>270</v>
      </c>
      <c r="AY178" t="s">
        <v>291</v>
      </c>
    </row>
    <row r="179" ht="28" customHeight="1" spans="1:51" x14ac:dyDescent="0.25">
      <c r="A179" s="14"/>
      <c r="B179" s="14"/>
      <c r="C179" s="14"/>
      <c r="D179" s="14"/>
      <c r="E179" s="14"/>
      <c r="F179" s="15" t="s">
        <v>151</v>
      </c>
      <c r="G179" s="15" t="s">
        <v>133</v>
      </c>
      <c r="H179" s="14" t="s">
        <v>66</v>
      </c>
      <c r="I179" s="16">
        <v>5</v>
      </c>
      <c r="J179" s="17">
        <v>12</v>
      </c>
      <c r="K179" s="14" t="s">
        <v>141</v>
      </c>
      <c r="L179" s="14" t="s">
        <v>68</v>
      </c>
      <c r="M179" s="14"/>
      <c r="N179" s="14"/>
      <c r="O179" s="15"/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4" t="s">
        <v>69</v>
      </c>
      <c r="V179" s="14" t="s">
        <v>69</v>
      </c>
      <c r="W179" s="14" t="s">
        <v>69</v>
      </c>
      <c r="X179" s="14" t="s">
        <v>69</v>
      </c>
      <c r="Y179" s="14" t="s">
        <v>69</v>
      </c>
      <c r="AM179">
        <f>COUNTIF(P179:T179,"&gt;0")</f>
      </c>
      <c r="AN179">
        <f>COUNTIF(P179,"&gt;0")</f>
      </c>
      <c r="AO179">
        <f>COUNTIF(Q179,"&gt;0")</f>
      </c>
      <c r="AP179">
        <f>COUNTIF(R179,"&gt;0")</f>
      </c>
      <c r="AQ179">
        <f>COUNTIF(S179,"&gt;0")</f>
      </c>
      <c r="AR179">
        <f>COUNTIF(T179,"&gt;0")</f>
      </c>
      <c r="AX179" t="s">
        <v>270</v>
      </c>
      <c r="AY179" t="s">
        <v>292</v>
      </c>
    </row>
    <row r="180" ht="18" customHeight="1" spans="1:51" x14ac:dyDescent="0.25">
      <c r="A180" s="14"/>
      <c r="B180" s="14"/>
      <c r="C180" s="14"/>
      <c r="D180" s="14"/>
      <c r="E180" s="14"/>
      <c r="F180" s="15"/>
      <c r="G180" s="15"/>
      <c r="H180" s="14" t="s">
        <v>71</v>
      </c>
      <c r="I180" s="16"/>
      <c r="J180" s="17"/>
      <c r="K180" s="14"/>
      <c r="L180" s="14"/>
      <c r="M180" s="14"/>
      <c r="N180" s="14"/>
      <c r="O180" s="15"/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1" t="s">
        <v>69</v>
      </c>
      <c r="V180" s="21" t="s">
        <v>69</v>
      </c>
      <c r="W180" s="21" t="s">
        <v>69</v>
      </c>
      <c r="X180" s="21" t="s">
        <v>69</v>
      </c>
      <c r="Y180" s="21" t="s">
        <v>69</v>
      </c>
      <c r="AL180">
        <f>COUNTIF(P180:T180,"&gt;0")</f>
      </c>
      <c r="AS180">
        <f>COUNTIF(P180,"&gt;0")</f>
      </c>
      <c r="AT180">
        <f>COUNTIF(Q180,"&gt;0")</f>
      </c>
      <c r="AU180">
        <f>COUNTIF(R180,"&gt;0")</f>
      </c>
      <c r="AV180">
        <f>COUNTIF(S180,"&gt;0")</f>
      </c>
      <c r="AW180">
        <f>COUNTIF(T180,"&gt;0")</f>
      </c>
      <c r="AX180" t="s">
        <v>270</v>
      </c>
      <c r="AY180" t="s">
        <v>292</v>
      </c>
    </row>
    <row r="181" ht="28" customHeight="1" spans="1:51" x14ac:dyDescent="0.25">
      <c r="A181" s="14"/>
      <c r="B181" s="14"/>
      <c r="C181" s="14"/>
      <c r="D181" s="14"/>
      <c r="E181" s="14"/>
      <c r="F181" s="15" t="s">
        <v>123</v>
      </c>
      <c r="G181" s="15" t="s">
        <v>273</v>
      </c>
      <c r="H181" s="14" t="s">
        <v>66</v>
      </c>
      <c r="I181" s="16">
        <v>5</v>
      </c>
      <c r="J181" s="17">
        <v>12</v>
      </c>
      <c r="K181" s="14" t="s">
        <v>141</v>
      </c>
      <c r="L181" s="14" t="s">
        <v>68</v>
      </c>
      <c r="M181" s="14"/>
      <c r="N181" s="14"/>
      <c r="O181" s="15"/>
      <c r="P181" s="19">
        <v>0</v>
      </c>
      <c r="Q181" s="25">
        <v>5</v>
      </c>
      <c r="R181" s="19">
        <v>0</v>
      </c>
      <c r="S181" s="19">
        <v>0</v>
      </c>
      <c r="T181" s="19">
        <v>0</v>
      </c>
      <c r="U181" s="14" t="s">
        <v>69</v>
      </c>
      <c r="V181" s="14" t="s">
        <v>69</v>
      </c>
      <c r="W181" s="14" t="s">
        <v>69</v>
      </c>
      <c r="X181" s="14" t="s">
        <v>69</v>
      </c>
      <c r="Y181" s="14" t="s">
        <v>69</v>
      </c>
      <c r="AM181">
        <f>COUNTIF(P181:T181,"&gt;0")</f>
      </c>
      <c r="AN181">
        <f>COUNTIF(P181,"&gt;0")</f>
      </c>
      <c r="AO181">
        <f>COUNTIF(Q181,"&gt;0")</f>
      </c>
      <c r="AP181">
        <f>COUNTIF(R181,"&gt;0")</f>
      </c>
      <c r="AQ181">
        <f>COUNTIF(S181,"&gt;0")</f>
      </c>
      <c r="AR181">
        <f>COUNTIF(T181,"&gt;0")</f>
      </c>
      <c r="AX181" t="s">
        <v>270</v>
      </c>
      <c r="AY181" t="s">
        <v>293</v>
      </c>
    </row>
    <row r="182" ht="18" customHeight="1" spans="1:51" x14ac:dyDescent="0.25">
      <c r="A182" s="14"/>
      <c r="B182" s="14"/>
      <c r="C182" s="14"/>
      <c r="D182" s="14"/>
      <c r="E182" s="14"/>
      <c r="F182" s="15"/>
      <c r="G182" s="15"/>
      <c r="H182" s="14" t="s">
        <v>71</v>
      </c>
      <c r="I182" s="16"/>
      <c r="J182" s="17"/>
      <c r="K182" s="14"/>
      <c r="L182" s="14"/>
      <c r="M182" s="14"/>
      <c r="N182" s="14"/>
      <c r="O182" s="15"/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1" t="s">
        <v>69</v>
      </c>
      <c r="V182" s="21" t="s">
        <v>69</v>
      </c>
      <c r="W182" s="21" t="s">
        <v>69</v>
      </c>
      <c r="X182" s="21" t="s">
        <v>69</v>
      </c>
      <c r="Y182" s="21" t="s">
        <v>69</v>
      </c>
      <c r="AL182">
        <f>COUNTIF(P182:T182,"&gt;0")</f>
      </c>
      <c r="AS182">
        <f>COUNTIF(P182,"&gt;0")</f>
      </c>
      <c r="AT182">
        <f>COUNTIF(Q182,"&gt;0")</f>
      </c>
      <c r="AU182">
        <f>COUNTIF(R182,"&gt;0")</f>
      </c>
      <c r="AV182">
        <f>COUNTIF(S182,"&gt;0")</f>
      </c>
      <c r="AW182">
        <f>COUNTIF(T182,"&gt;0")</f>
      </c>
      <c r="AX182" t="s">
        <v>270</v>
      </c>
      <c r="AY182" t="s">
        <v>293</v>
      </c>
    </row>
    <row r="183" ht="28" customHeight="1" spans="1:51" x14ac:dyDescent="0.25">
      <c r="A183" s="14"/>
      <c r="B183" s="14" t="s">
        <v>294</v>
      </c>
      <c r="C183" s="14" t="s">
        <v>295</v>
      </c>
      <c r="D183" s="14" t="s">
        <v>296</v>
      </c>
      <c r="E183" s="14" t="s">
        <v>168</v>
      </c>
      <c r="F183" s="15" t="s">
        <v>225</v>
      </c>
      <c r="G183" s="15" t="s">
        <v>297</v>
      </c>
      <c r="H183" s="14" t="s">
        <v>66</v>
      </c>
      <c r="I183" s="16">
        <v>2</v>
      </c>
      <c r="J183" s="17">
        <v>1</v>
      </c>
      <c r="K183" s="14" t="s">
        <v>67</v>
      </c>
      <c r="L183" s="14" t="s">
        <v>68</v>
      </c>
      <c r="M183" s="14"/>
      <c r="N183" s="14"/>
      <c r="O183" s="15"/>
      <c r="P183" s="18">
        <v>2</v>
      </c>
      <c r="Q183" s="19">
        <v>0</v>
      </c>
      <c r="R183" s="19">
        <v>0</v>
      </c>
      <c r="S183" s="19">
        <v>0</v>
      </c>
      <c r="T183" s="19">
        <v>0</v>
      </c>
      <c r="U183" s="14" t="s">
        <v>69</v>
      </c>
      <c r="V183" s="14" t="s">
        <v>69</v>
      </c>
      <c r="W183" s="14" t="s">
        <v>69</v>
      </c>
      <c r="X183" s="14" t="s">
        <v>69</v>
      </c>
      <c r="Y183" s="14" t="s">
        <v>69</v>
      </c>
      <c r="AM183">
        <f>COUNTIF(P183:T183,"&gt;0")</f>
      </c>
      <c r="AN183">
        <f>COUNTIF(P183,"&gt;0")</f>
      </c>
      <c r="AO183">
        <f>COUNTIF(Q183,"&gt;0")</f>
      </c>
      <c r="AP183">
        <f>COUNTIF(R183,"&gt;0")</f>
      </c>
      <c r="AQ183">
        <f>COUNTIF(S183,"&gt;0")</f>
      </c>
      <c r="AR183">
        <f>COUNTIF(T183,"&gt;0")</f>
      </c>
      <c r="AX183" t="s">
        <v>294</v>
      </c>
      <c r="AY183" t="s">
        <v>298</v>
      </c>
    </row>
    <row r="184" ht="18" customHeight="1" spans="1:51" x14ac:dyDescent="0.25">
      <c r="A184" s="14"/>
      <c r="B184" s="14"/>
      <c r="C184" s="14"/>
      <c r="D184" s="14"/>
      <c r="E184" s="14"/>
      <c r="F184" s="15"/>
      <c r="G184" s="15"/>
      <c r="H184" s="14" t="s">
        <v>71</v>
      </c>
      <c r="I184" s="16"/>
      <c r="J184" s="17"/>
      <c r="K184" s="14"/>
      <c r="L184" s="14"/>
      <c r="M184" s="14"/>
      <c r="N184" s="14"/>
      <c r="O184" s="15"/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1" t="s">
        <v>69</v>
      </c>
      <c r="V184" s="21" t="s">
        <v>69</v>
      </c>
      <c r="W184" s="21" t="s">
        <v>69</v>
      </c>
      <c r="X184" s="21" t="s">
        <v>69</v>
      </c>
      <c r="Y184" s="21" t="s">
        <v>69</v>
      </c>
      <c r="AL184">
        <f>COUNTIF(P184:T184,"&gt;0")</f>
      </c>
      <c r="AS184">
        <f>COUNTIF(P184,"&gt;0")</f>
      </c>
      <c r="AT184">
        <f>COUNTIF(Q184,"&gt;0")</f>
      </c>
      <c r="AU184">
        <f>COUNTIF(R184,"&gt;0")</f>
      </c>
      <c r="AV184">
        <f>COUNTIF(S184,"&gt;0")</f>
      </c>
      <c r="AW184">
        <f>COUNTIF(T184,"&gt;0")</f>
      </c>
      <c r="AX184" t="s">
        <v>294</v>
      </c>
      <c r="AY184" t="s">
        <v>298</v>
      </c>
    </row>
    <row r="185" ht="28" customHeight="1" spans="1:51" x14ac:dyDescent="0.25">
      <c r="A185" s="14"/>
      <c r="B185" s="14"/>
      <c r="C185" s="14"/>
      <c r="D185" s="14"/>
      <c r="E185" s="14"/>
      <c r="F185" s="15" t="s">
        <v>225</v>
      </c>
      <c r="G185" s="15" t="s">
        <v>299</v>
      </c>
      <c r="H185" s="14" t="s">
        <v>66</v>
      </c>
      <c r="I185" s="16">
        <v>2</v>
      </c>
      <c r="J185" s="17">
        <v>1</v>
      </c>
      <c r="K185" s="14" t="s">
        <v>67</v>
      </c>
      <c r="L185" s="14" t="s">
        <v>68</v>
      </c>
      <c r="M185" s="14"/>
      <c r="N185" s="14"/>
      <c r="O185" s="15"/>
      <c r="P185" s="19">
        <v>0</v>
      </c>
      <c r="Q185" s="18">
        <v>2</v>
      </c>
      <c r="R185" s="19">
        <v>0</v>
      </c>
      <c r="S185" s="19">
        <v>0</v>
      </c>
      <c r="T185" s="19">
        <v>0</v>
      </c>
      <c r="U185" s="14" t="s">
        <v>69</v>
      </c>
      <c r="V185" s="14" t="s">
        <v>69</v>
      </c>
      <c r="W185" s="14" t="s">
        <v>69</v>
      </c>
      <c r="X185" s="14" t="s">
        <v>69</v>
      </c>
      <c r="Y185" s="14" t="s">
        <v>69</v>
      </c>
      <c r="AM185">
        <f>COUNTIF(P185:T185,"&gt;0")</f>
      </c>
      <c r="AN185">
        <f>COUNTIF(P185,"&gt;0")</f>
      </c>
      <c r="AO185">
        <f>COUNTIF(Q185,"&gt;0")</f>
      </c>
      <c r="AP185">
        <f>COUNTIF(R185,"&gt;0")</f>
      </c>
      <c r="AQ185">
        <f>COUNTIF(S185,"&gt;0")</f>
      </c>
      <c r="AR185">
        <f>COUNTIF(T185,"&gt;0")</f>
      </c>
      <c r="AX185" t="s">
        <v>294</v>
      </c>
      <c r="AY185" t="s">
        <v>300</v>
      </c>
    </row>
    <row r="186" ht="18" customHeight="1" spans="1:51" x14ac:dyDescent="0.25">
      <c r="A186" s="14"/>
      <c r="B186" s="14"/>
      <c r="C186" s="14"/>
      <c r="D186" s="14"/>
      <c r="E186" s="14"/>
      <c r="F186" s="15"/>
      <c r="G186" s="15"/>
      <c r="H186" s="14" t="s">
        <v>71</v>
      </c>
      <c r="I186" s="16"/>
      <c r="J186" s="17"/>
      <c r="K186" s="14"/>
      <c r="L186" s="14"/>
      <c r="M186" s="14"/>
      <c r="N186" s="14"/>
      <c r="O186" s="15"/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1" t="s">
        <v>69</v>
      </c>
      <c r="V186" s="21" t="s">
        <v>69</v>
      </c>
      <c r="W186" s="21" t="s">
        <v>69</v>
      </c>
      <c r="X186" s="21" t="s">
        <v>69</v>
      </c>
      <c r="Y186" s="21" t="s">
        <v>69</v>
      </c>
      <c r="AL186">
        <f>COUNTIF(P186:T186,"&gt;0")</f>
      </c>
      <c r="AS186">
        <f>COUNTIF(P186,"&gt;0")</f>
      </c>
      <c r="AT186">
        <f>COUNTIF(Q186,"&gt;0")</f>
      </c>
      <c r="AU186">
        <f>COUNTIF(R186,"&gt;0")</f>
      </c>
      <c r="AV186">
        <f>COUNTIF(S186,"&gt;0")</f>
      </c>
      <c r="AW186">
        <f>COUNTIF(T186,"&gt;0")</f>
      </c>
      <c r="AX186" t="s">
        <v>294</v>
      </c>
      <c r="AY186" t="s">
        <v>300</v>
      </c>
    </row>
    <row r="187" ht="28" customHeight="1" spans="1:51" x14ac:dyDescent="0.25">
      <c r="A187" s="14"/>
      <c r="B187" s="14"/>
      <c r="C187" s="14"/>
      <c r="D187" s="14"/>
      <c r="E187" s="14"/>
      <c r="F187" s="15" t="s">
        <v>301</v>
      </c>
      <c r="G187" s="15" t="s">
        <v>302</v>
      </c>
      <c r="H187" s="14" t="s">
        <v>66</v>
      </c>
      <c r="I187" s="16">
        <v>2</v>
      </c>
      <c r="J187" s="17">
        <v>1</v>
      </c>
      <c r="K187" s="14" t="s">
        <v>67</v>
      </c>
      <c r="L187" s="14" t="s">
        <v>68</v>
      </c>
      <c r="M187" s="14"/>
      <c r="N187" s="14"/>
      <c r="O187" s="15"/>
      <c r="P187" s="19">
        <v>0</v>
      </c>
      <c r="Q187" s="19">
        <v>0</v>
      </c>
      <c r="R187" s="18">
        <v>2</v>
      </c>
      <c r="S187" s="19">
        <v>0</v>
      </c>
      <c r="T187" s="19">
        <v>0</v>
      </c>
      <c r="U187" s="14" t="s">
        <v>69</v>
      </c>
      <c r="V187" s="14" t="s">
        <v>69</v>
      </c>
      <c r="W187" s="14" t="s">
        <v>69</v>
      </c>
      <c r="X187" s="14" t="s">
        <v>69</v>
      </c>
      <c r="Y187" s="14" t="s">
        <v>69</v>
      </c>
      <c r="AM187">
        <f>COUNTIF(P187:T187,"&gt;0")</f>
      </c>
      <c r="AN187">
        <f>COUNTIF(P187,"&gt;0")</f>
      </c>
      <c r="AO187">
        <f>COUNTIF(Q187,"&gt;0")</f>
      </c>
      <c r="AP187">
        <f>COUNTIF(R187,"&gt;0")</f>
      </c>
      <c r="AQ187">
        <f>COUNTIF(S187,"&gt;0")</f>
      </c>
      <c r="AR187">
        <f>COUNTIF(T187,"&gt;0")</f>
      </c>
      <c r="AX187" t="s">
        <v>294</v>
      </c>
      <c r="AY187" t="s">
        <v>303</v>
      </c>
    </row>
    <row r="188" ht="18" customHeight="1" spans="1:51" x14ac:dyDescent="0.25">
      <c r="A188" s="14"/>
      <c r="B188" s="14"/>
      <c r="C188" s="14"/>
      <c r="D188" s="14"/>
      <c r="E188" s="14"/>
      <c r="F188" s="15"/>
      <c r="G188" s="15"/>
      <c r="H188" s="14" t="s">
        <v>71</v>
      </c>
      <c r="I188" s="16"/>
      <c r="J188" s="17"/>
      <c r="K188" s="14"/>
      <c r="L188" s="14"/>
      <c r="M188" s="14"/>
      <c r="N188" s="14"/>
      <c r="O188" s="15"/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1" t="s">
        <v>69</v>
      </c>
      <c r="V188" s="21" t="s">
        <v>69</v>
      </c>
      <c r="W188" s="21" t="s">
        <v>69</v>
      </c>
      <c r="X188" s="21" t="s">
        <v>69</v>
      </c>
      <c r="Y188" s="21" t="s">
        <v>69</v>
      </c>
      <c r="AL188">
        <f>COUNTIF(P188:T188,"&gt;0")</f>
      </c>
      <c r="AS188">
        <f>COUNTIF(P188,"&gt;0")</f>
      </c>
      <c r="AT188">
        <f>COUNTIF(Q188,"&gt;0")</f>
      </c>
      <c r="AU188">
        <f>COUNTIF(R188,"&gt;0")</f>
      </c>
      <c r="AV188">
        <f>COUNTIF(S188,"&gt;0")</f>
      </c>
      <c r="AW188">
        <f>COUNTIF(T188,"&gt;0")</f>
      </c>
      <c r="AX188" t="s">
        <v>294</v>
      </c>
      <c r="AY188" t="s">
        <v>303</v>
      </c>
    </row>
    <row r="189" ht="28" customHeight="1" spans="1:51" x14ac:dyDescent="0.25">
      <c r="A189" s="14"/>
      <c r="B189" s="14"/>
      <c r="C189" s="14"/>
      <c r="D189" s="14"/>
      <c r="E189" s="14"/>
      <c r="F189" s="15" t="s">
        <v>304</v>
      </c>
      <c r="G189" s="15" t="s">
        <v>305</v>
      </c>
      <c r="H189" s="14" t="s">
        <v>66</v>
      </c>
      <c r="I189" s="16">
        <v>2</v>
      </c>
      <c r="J189" s="17">
        <v>1</v>
      </c>
      <c r="K189" s="14" t="s">
        <v>67</v>
      </c>
      <c r="L189" s="14" t="s">
        <v>68</v>
      </c>
      <c r="M189" s="14"/>
      <c r="N189" s="14"/>
      <c r="O189" s="15"/>
      <c r="P189" s="19">
        <v>0</v>
      </c>
      <c r="Q189" s="19">
        <v>0</v>
      </c>
      <c r="R189" s="19">
        <v>0</v>
      </c>
      <c r="S189" s="18">
        <v>2</v>
      </c>
      <c r="T189" s="19">
        <v>0</v>
      </c>
      <c r="U189" s="14" t="s">
        <v>69</v>
      </c>
      <c r="V189" s="14" t="s">
        <v>69</v>
      </c>
      <c r="W189" s="14" t="s">
        <v>69</v>
      </c>
      <c r="X189" s="14" t="s">
        <v>69</v>
      </c>
      <c r="Y189" s="14" t="s">
        <v>69</v>
      </c>
      <c r="AM189">
        <f>COUNTIF(P189:T189,"&gt;0")</f>
      </c>
      <c r="AN189">
        <f>COUNTIF(P189,"&gt;0")</f>
      </c>
      <c r="AO189">
        <f>COUNTIF(Q189,"&gt;0")</f>
      </c>
      <c r="AP189">
        <f>COUNTIF(R189,"&gt;0")</f>
      </c>
      <c r="AQ189">
        <f>COUNTIF(S189,"&gt;0")</f>
      </c>
      <c r="AR189">
        <f>COUNTIF(T189,"&gt;0")</f>
      </c>
      <c r="AX189" t="s">
        <v>294</v>
      </c>
      <c r="AY189" t="s">
        <v>306</v>
      </c>
    </row>
    <row r="190" ht="18" customHeight="1" spans="1:51" x14ac:dyDescent="0.25">
      <c r="A190" s="14"/>
      <c r="B190" s="14"/>
      <c r="C190" s="14"/>
      <c r="D190" s="14"/>
      <c r="E190" s="14"/>
      <c r="F190" s="15"/>
      <c r="G190" s="15"/>
      <c r="H190" s="14" t="s">
        <v>71</v>
      </c>
      <c r="I190" s="16"/>
      <c r="J190" s="17"/>
      <c r="K190" s="14"/>
      <c r="L190" s="14"/>
      <c r="M190" s="14"/>
      <c r="N190" s="14"/>
      <c r="O190" s="15"/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1" t="s">
        <v>69</v>
      </c>
      <c r="V190" s="21" t="s">
        <v>69</v>
      </c>
      <c r="W190" s="21" t="s">
        <v>69</v>
      </c>
      <c r="X190" s="21" t="s">
        <v>69</v>
      </c>
      <c r="Y190" s="21" t="s">
        <v>69</v>
      </c>
      <c r="AL190">
        <f>COUNTIF(P190:T190,"&gt;0")</f>
      </c>
      <c r="AS190">
        <f>COUNTIF(P190,"&gt;0")</f>
      </c>
      <c r="AT190">
        <f>COUNTIF(Q190,"&gt;0")</f>
      </c>
      <c r="AU190">
        <f>COUNTIF(R190,"&gt;0")</f>
      </c>
      <c r="AV190">
        <f>COUNTIF(S190,"&gt;0")</f>
      </c>
      <c r="AW190">
        <f>COUNTIF(T190,"&gt;0")</f>
      </c>
      <c r="AX190" t="s">
        <v>294</v>
      </c>
      <c r="AY190" t="s">
        <v>306</v>
      </c>
    </row>
    <row r="191" ht="28" customHeight="1" spans="1:51" x14ac:dyDescent="0.25">
      <c r="A191" s="14"/>
      <c r="B191" s="14"/>
      <c r="C191" s="14"/>
      <c r="D191" s="14"/>
      <c r="E191" s="14"/>
      <c r="F191" s="15" t="s">
        <v>307</v>
      </c>
      <c r="G191" s="15" t="s">
        <v>308</v>
      </c>
      <c r="H191" s="14" t="s">
        <v>66</v>
      </c>
      <c r="I191" s="16">
        <v>2</v>
      </c>
      <c r="J191" s="17">
        <v>1</v>
      </c>
      <c r="K191" s="14" t="s">
        <v>67</v>
      </c>
      <c r="L191" s="14" t="s">
        <v>68</v>
      </c>
      <c r="M191" s="14"/>
      <c r="N191" s="14"/>
      <c r="O191" s="15"/>
      <c r="P191" s="19">
        <v>0</v>
      </c>
      <c r="Q191" s="19">
        <v>0</v>
      </c>
      <c r="R191" s="19">
        <v>0</v>
      </c>
      <c r="S191" s="19">
        <v>0</v>
      </c>
      <c r="T191" s="18">
        <v>2</v>
      </c>
      <c r="U191" s="14" t="s">
        <v>69</v>
      </c>
      <c r="V191" s="14" t="s">
        <v>69</v>
      </c>
      <c r="W191" s="14" t="s">
        <v>69</v>
      </c>
      <c r="X191" s="14" t="s">
        <v>69</v>
      </c>
      <c r="Y191" s="14" t="s">
        <v>69</v>
      </c>
      <c r="AM191">
        <f>COUNTIF(P191:T191,"&gt;0")</f>
      </c>
      <c r="AN191">
        <f>COUNTIF(P191,"&gt;0")</f>
      </c>
      <c r="AO191">
        <f>COUNTIF(Q191,"&gt;0")</f>
      </c>
      <c r="AP191">
        <f>COUNTIF(R191,"&gt;0")</f>
      </c>
      <c r="AQ191">
        <f>COUNTIF(S191,"&gt;0")</f>
      </c>
      <c r="AR191">
        <f>COUNTIF(T191,"&gt;0")</f>
      </c>
      <c r="AX191" t="s">
        <v>294</v>
      </c>
      <c r="AY191" t="s">
        <v>309</v>
      </c>
    </row>
    <row r="192" ht="18" customHeight="1" spans="1:51" x14ac:dyDescent="0.25">
      <c r="A192" s="14"/>
      <c r="B192" s="14"/>
      <c r="C192" s="14"/>
      <c r="D192" s="14"/>
      <c r="E192" s="14"/>
      <c r="F192" s="15"/>
      <c r="G192" s="15"/>
      <c r="H192" s="14" t="s">
        <v>71</v>
      </c>
      <c r="I192" s="16"/>
      <c r="J192" s="17"/>
      <c r="K192" s="14"/>
      <c r="L192" s="14"/>
      <c r="M192" s="14"/>
      <c r="N192" s="14"/>
      <c r="O192" s="15"/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1" t="s">
        <v>69</v>
      </c>
      <c r="V192" s="21" t="s">
        <v>69</v>
      </c>
      <c r="W192" s="21" t="s">
        <v>69</v>
      </c>
      <c r="X192" s="21" t="s">
        <v>69</v>
      </c>
      <c r="Y192" s="21" t="s">
        <v>69</v>
      </c>
      <c r="AL192">
        <f>COUNTIF(P192:T192,"&gt;0")</f>
      </c>
      <c r="AS192">
        <f>COUNTIF(P192,"&gt;0")</f>
      </c>
      <c r="AT192">
        <f>COUNTIF(Q192,"&gt;0")</f>
      </c>
      <c r="AU192">
        <f>COUNTIF(R192,"&gt;0")</f>
      </c>
      <c r="AV192">
        <f>COUNTIF(S192,"&gt;0")</f>
      </c>
      <c r="AW192">
        <f>COUNTIF(T192,"&gt;0")</f>
      </c>
      <c r="AX192" t="s">
        <v>294</v>
      </c>
      <c r="AY192" t="s">
        <v>309</v>
      </c>
    </row>
    <row r="193" ht="28" customHeight="1" spans="1:51" x14ac:dyDescent="0.25">
      <c r="A193" s="14"/>
      <c r="B193" s="14"/>
      <c r="C193" s="14"/>
      <c r="D193" s="14"/>
      <c r="E193" s="14"/>
      <c r="F193" s="15" t="s">
        <v>225</v>
      </c>
      <c r="G193" s="15" t="s">
        <v>310</v>
      </c>
      <c r="H193" s="14" t="s">
        <v>66</v>
      </c>
      <c r="I193" s="16">
        <v>2</v>
      </c>
      <c r="J193" s="17">
        <v>1</v>
      </c>
      <c r="K193" s="14" t="s">
        <v>67</v>
      </c>
      <c r="L193" s="14" t="s">
        <v>68</v>
      </c>
      <c r="M193" s="14"/>
      <c r="N193" s="14"/>
      <c r="O193" s="15"/>
      <c r="P193" s="18">
        <v>2</v>
      </c>
      <c r="Q193" s="19">
        <v>0</v>
      </c>
      <c r="R193" s="19">
        <v>0</v>
      </c>
      <c r="S193" s="19">
        <v>0</v>
      </c>
      <c r="T193" s="19">
        <v>0</v>
      </c>
      <c r="U193" s="14" t="s">
        <v>69</v>
      </c>
      <c r="V193" s="14" t="s">
        <v>69</v>
      </c>
      <c r="W193" s="14" t="s">
        <v>69</v>
      </c>
      <c r="X193" s="14" t="s">
        <v>69</v>
      </c>
      <c r="Y193" s="14" t="s">
        <v>69</v>
      </c>
      <c r="AM193">
        <f>COUNTIF(P193:T193,"&gt;0")</f>
      </c>
      <c r="AN193">
        <f>COUNTIF(P193,"&gt;0")</f>
      </c>
      <c r="AO193">
        <f>COUNTIF(Q193,"&gt;0")</f>
      </c>
      <c r="AP193">
        <f>COUNTIF(R193,"&gt;0")</f>
      </c>
      <c r="AQ193">
        <f>COUNTIF(S193,"&gt;0")</f>
      </c>
      <c r="AR193">
        <f>COUNTIF(T193,"&gt;0")</f>
      </c>
      <c r="AX193" t="s">
        <v>294</v>
      </c>
      <c r="AY193" t="s">
        <v>311</v>
      </c>
    </row>
    <row r="194" ht="18" customHeight="1" spans="1:51" x14ac:dyDescent="0.25">
      <c r="A194" s="14"/>
      <c r="B194" s="14"/>
      <c r="C194" s="14"/>
      <c r="D194" s="14"/>
      <c r="E194" s="14"/>
      <c r="F194" s="15"/>
      <c r="G194" s="15"/>
      <c r="H194" s="14" t="s">
        <v>71</v>
      </c>
      <c r="I194" s="16"/>
      <c r="J194" s="17"/>
      <c r="K194" s="14"/>
      <c r="L194" s="14"/>
      <c r="M194" s="14"/>
      <c r="N194" s="14"/>
      <c r="O194" s="15"/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1" t="s">
        <v>69</v>
      </c>
      <c r="V194" s="21" t="s">
        <v>69</v>
      </c>
      <c r="W194" s="21" t="s">
        <v>69</v>
      </c>
      <c r="X194" s="21" t="s">
        <v>69</v>
      </c>
      <c r="Y194" s="21" t="s">
        <v>69</v>
      </c>
      <c r="AL194">
        <f>COUNTIF(P194:T194,"&gt;0")</f>
      </c>
      <c r="AS194">
        <f>COUNTIF(P194,"&gt;0")</f>
      </c>
      <c r="AT194">
        <f>COUNTIF(Q194,"&gt;0")</f>
      </c>
      <c r="AU194">
        <f>COUNTIF(R194,"&gt;0")</f>
      </c>
      <c r="AV194">
        <f>COUNTIF(S194,"&gt;0")</f>
      </c>
      <c r="AW194">
        <f>COUNTIF(T194,"&gt;0")</f>
      </c>
      <c r="AX194" t="s">
        <v>294</v>
      </c>
      <c r="AY194" t="s">
        <v>311</v>
      </c>
    </row>
    <row r="195" ht="28" customHeight="1" spans="1:51" x14ac:dyDescent="0.25">
      <c r="A195" s="14"/>
      <c r="B195" s="14"/>
      <c r="C195" s="14"/>
      <c r="D195" s="14"/>
      <c r="E195" s="14"/>
      <c r="F195" s="15" t="s">
        <v>233</v>
      </c>
      <c r="G195" s="15" t="s">
        <v>312</v>
      </c>
      <c r="H195" s="14" t="s">
        <v>66</v>
      </c>
      <c r="I195" s="16">
        <v>2</v>
      </c>
      <c r="J195" s="17">
        <v>1</v>
      </c>
      <c r="K195" s="14" t="s">
        <v>67</v>
      </c>
      <c r="L195" s="14" t="s">
        <v>68</v>
      </c>
      <c r="M195" s="14"/>
      <c r="N195" s="14"/>
      <c r="O195" s="15"/>
      <c r="P195" s="19">
        <v>0</v>
      </c>
      <c r="Q195" s="18">
        <v>2</v>
      </c>
      <c r="R195" s="19">
        <v>0</v>
      </c>
      <c r="S195" s="19">
        <v>0</v>
      </c>
      <c r="T195" s="19">
        <v>0</v>
      </c>
      <c r="U195" s="14" t="s">
        <v>69</v>
      </c>
      <c r="V195" s="14" t="s">
        <v>69</v>
      </c>
      <c r="W195" s="14" t="s">
        <v>69</v>
      </c>
      <c r="X195" s="14" t="s">
        <v>69</v>
      </c>
      <c r="Y195" s="14" t="s">
        <v>69</v>
      </c>
      <c r="AM195">
        <f>COUNTIF(P195:T195,"&gt;0")</f>
      </c>
      <c r="AN195">
        <f>COUNTIF(P195,"&gt;0")</f>
      </c>
      <c r="AO195">
        <f>COUNTIF(Q195,"&gt;0")</f>
      </c>
      <c r="AP195">
        <f>COUNTIF(R195,"&gt;0")</f>
      </c>
      <c r="AQ195">
        <f>COUNTIF(S195,"&gt;0")</f>
      </c>
      <c r="AR195">
        <f>COUNTIF(T195,"&gt;0")</f>
      </c>
      <c r="AX195" t="s">
        <v>294</v>
      </c>
      <c r="AY195" t="s">
        <v>313</v>
      </c>
    </row>
    <row r="196" ht="18" customHeight="1" spans="1:51" x14ac:dyDescent="0.25">
      <c r="A196" s="14"/>
      <c r="B196" s="14"/>
      <c r="C196" s="14"/>
      <c r="D196" s="14"/>
      <c r="E196" s="14"/>
      <c r="F196" s="15"/>
      <c r="G196" s="15"/>
      <c r="H196" s="14" t="s">
        <v>71</v>
      </c>
      <c r="I196" s="16"/>
      <c r="J196" s="17"/>
      <c r="K196" s="14"/>
      <c r="L196" s="14"/>
      <c r="M196" s="14"/>
      <c r="N196" s="14"/>
      <c r="O196" s="15"/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1" t="s">
        <v>69</v>
      </c>
      <c r="V196" s="21" t="s">
        <v>69</v>
      </c>
      <c r="W196" s="21" t="s">
        <v>69</v>
      </c>
      <c r="X196" s="21" t="s">
        <v>69</v>
      </c>
      <c r="Y196" s="21" t="s">
        <v>69</v>
      </c>
      <c r="AL196">
        <f>COUNTIF(P196:T196,"&gt;0")</f>
      </c>
      <c r="AS196">
        <f>COUNTIF(P196,"&gt;0")</f>
      </c>
      <c r="AT196">
        <f>COUNTIF(Q196,"&gt;0")</f>
      </c>
      <c r="AU196">
        <f>COUNTIF(R196,"&gt;0")</f>
      </c>
      <c r="AV196">
        <f>COUNTIF(S196,"&gt;0")</f>
      </c>
      <c r="AW196">
        <f>COUNTIF(T196,"&gt;0")</f>
      </c>
      <c r="AX196" t="s">
        <v>294</v>
      </c>
      <c r="AY196" t="s">
        <v>313</v>
      </c>
    </row>
    <row r="197" ht="28" customHeight="1" spans="1:51" x14ac:dyDescent="0.25">
      <c r="A197" s="14"/>
      <c r="B197" s="14"/>
      <c r="C197" s="14"/>
      <c r="D197" s="14"/>
      <c r="E197" s="14"/>
      <c r="F197" s="15" t="s">
        <v>236</v>
      </c>
      <c r="G197" s="15" t="s">
        <v>237</v>
      </c>
      <c r="H197" s="14" t="s">
        <v>66</v>
      </c>
      <c r="I197" s="16">
        <v>2</v>
      </c>
      <c r="J197" s="17">
        <v>1</v>
      </c>
      <c r="K197" s="14" t="s">
        <v>67</v>
      </c>
      <c r="L197" s="14" t="s">
        <v>68</v>
      </c>
      <c r="M197" s="14"/>
      <c r="N197" s="14"/>
      <c r="O197" s="15"/>
      <c r="P197" s="19">
        <v>0</v>
      </c>
      <c r="Q197" s="19">
        <v>0</v>
      </c>
      <c r="R197" s="18">
        <v>2</v>
      </c>
      <c r="S197" s="19">
        <v>0</v>
      </c>
      <c r="T197" s="19">
        <v>0</v>
      </c>
      <c r="U197" s="14" t="s">
        <v>69</v>
      </c>
      <c r="V197" s="14" t="s">
        <v>69</v>
      </c>
      <c r="W197" s="14" t="s">
        <v>69</v>
      </c>
      <c r="X197" s="14" t="s">
        <v>69</v>
      </c>
      <c r="Y197" s="14" t="s">
        <v>69</v>
      </c>
      <c r="AM197">
        <f>COUNTIF(P197:T197,"&gt;0")</f>
      </c>
      <c r="AN197">
        <f>COUNTIF(P197,"&gt;0")</f>
      </c>
      <c r="AO197">
        <f>COUNTIF(Q197,"&gt;0")</f>
      </c>
      <c r="AP197">
        <f>COUNTIF(R197,"&gt;0")</f>
      </c>
      <c r="AQ197">
        <f>COUNTIF(S197,"&gt;0")</f>
      </c>
      <c r="AR197">
        <f>COUNTIF(T197,"&gt;0")</f>
      </c>
      <c r="AX197" t="s">
        <v>294</v>
      </c>
      <c r="AY197" t="s">
        <v>314</v>
      </c>
    </row>
    <row r="198" ht="18" customHeight="1" spans="1:51" x14ac:dyDescent="0.25">
      <c r="A198" s="14"/>
      <c r="B198" s="14"/>
      <c r="C198" s="14"/>
      <c r="D198" s="14"/>
      <c r="E198" s="14"/>
      <c r="F198" s="15"/>
      <c r="G198" s="15"/>
      <c r="H198" s="14" t="s">
        <v>71</v>
      </c>
      <c r="I198" s="16"/>
      <c r="J198" s="17"/>
      <c r="K198" s="14"/>
      <c r="L198" s="14"/>
      <c r="M198" s="14"/>
      <c r="N198" s="14"/>
      <c r="O198" s="15"/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1" t="s">
        <v>69</v>
      </c>
      <c r="V198" s="21" t="s">
        <v>69</v>
      </c>
      <c r="W198" s="21" t="s">
        <v>69</v>
      </c>
      <c r="X198" s="21" t="s">
        <v>69</v>
      </c>
      <c r="Y198" s="21" t="s">
        <v>69</v>
      </c>
      <c r="AL198">
        <f>COUNTIF(P198:T198,"&gt;0")</f>
      </c>
      <c r="AS198">
        <f>COUNTIF(P198,"&gt;0")</f>
      </c>
      <c r="AT198">
        <f>COUNTIF(Q198,"&gt;0")</f>
      </c>
      <c r="AU198">
        <f>COUNTIF(R198,"&gt;0")</f>
      </c>
      <c r="AV198">
        <f>COUNTIF(S198,"&gt;0")</f>
      </c>
      <c r="AW198">
        <f>COUNTIF(T198,"&gt;0")</f>
      </c>
      <c r="AX198" t="s">
        <v>294</v>
      </c>
      <c r="AY198" t="s">
        <v>314</v>
      </c>
    </row>
    <row r="199" ht="28" customHeight="1" spans="1:51" x14ac:dyDescent="0.25">
      <c r="A199" s="14"/>
      <c r="B199" s="14"/>
      <c r="C199" s="14"/>
      <c r="D199" s="14"/>
      <c r="E199" s="14"/>
      <c r="F199" s="15" t="s">
        <v>315</v>
      </c>
      <c r="G199" s="15" t="s">
        <v>316</v>
      </c>
      <c r="H199" s="14" t="s">
        <v>66</v>
      </c>
      <c r="I199" s="16">
        <v>2</v>
      </c>
      <c r="J199" s="17">
        <v>1</v>
      </c>
      <c r="K199" s="14" t="s">
        <v>67</v>
      </c>
      <c r="L199" s="14" t="s">
        <v>68</v>
      </c>
      <c r="M199" s="14"/>
      <c r="N199" s="14"/>
      <c r="O199" s="15"/>
      <c r="P199" s="19">
        <v>0</v>
      </c>
      <c r="Q199" s="19">
        <v>0</v>
      </c>
      <c r="R199" s="19">
        <v>0</v>
      </c>
      <c r="S199" s="18">
        <v>2</v>
      </c>
      <c r="T199" s="19">
        <v>0</v>
      </c>
      <c r="U199" s="14" t="s">
        <v>69</v>
      </c>
      <c r="V199" s="14" t="s">
        <v>69</v>
      </c>
      <c r="W199" s="14" t="s">
        <v>69</v>
      </c>
      <c r="X199" s="14" t="s">
        <v>69</v>
      </c>
      <c r="Y199" s="14" t="s">
        <v>69</v>
      </c>
      <c r="AM199">
        <f>COUNTIF(P199:T199,"&gt;0")</f>
      </c>
      <c r="AN199">
        <f>COUNTIF(P199,"&gt;0")</f>
      </c>
      <c r="AO199">
        <f>COUNTIF(Q199,"&gt;0")</f>
      </c>
      <c r="AP199">
        <f>COUNTIF(R199,"&gt;0")</f>
      </c>
      <c r="AQ199">
        <f>COUNTIF(S199,"&gt;0")</f>
      </c>
      <c r="AR199">
        <f>COUNTIF(T199,"&gt;0")</f>
      </c>
      <c r="AX199" t="s">
        <v>294</v>
      </c>
      <c r="AY199" t="s">
        <v>317</v>
      </c>
    </row>
    <row r="200" ht="18" customHeight="1" spans="1:51" x14ac:dyDescent="0.25">
      <c r="A200" s="14"/>
      <c r="B200" s="14"/>
      <c r="C200" s="14"/>
      <c r="D200" s="14"/>
      <c r="E200" s="14"/>
      <c r="F200" s="15"/>
      <c r="G200" s="15"/>
      <c r="H200" s="14" t="s">
        <v>71</v>
      </c>
      <c r="I200" s="16"/>
      <c r="J200" s="17"/>
      <c r="K200" s="14"/>
      <c r="L200" s="14"/>
      <c r="M200" s="14"/>
      <c r="N200" s="14"/>
      <c r="O200" s="15"/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1" t="s">
        <v>69</v>
      </c>
      <c r="V200" s="21" t="s">
        <v>69</v>
      </c>
      <c r="W200" s="21" t="s">
        <v>69</v>
      </c>
      <c r="X200" s="21" t="s">
        <v>69</v>
      </c>
      <c r="Y200" s="21" t="s">
        <v>69</v>
      </c>
      <c r="AL200">
        <f>COUNTIF(P200:T200,"&gt;0")</f>
      </c>
      <c r="AS200">
        <f>COUNTIF(P200,"&gt;0")</f>
      </c>
      <c r="AT200">
        <f>COUNTIF(Q200,"&gt;0")</f>
      </c>
      <c r="AU200">
        <f>COUNTIF(R200,"&gt;0")</f>
      </c>
      <c r="AV200">
        <f>COUNTIF(S200,"&gt;0")</f>
      </c>
      <c r="AW200">
        <f>COUNTIF(T200,"&gt;0")</f>
      </c>
      <c r="AX200" t="s">
        <v>294</v>
      </c>
      <c r="AY200" t="s">
        <v>317</v>
      </c>
    </row>
    <row r="201" ht="28" customHeight="1" spans="1:51" x14ac:dyDescent="0.25">
      <c r="A201" s="14"/>
      <c r="B201" s="14"/>
      <c r="C201" s="14"/>
      <c r="D201" s="14"/>
      <c r="E201" s="14"/>
      <c r="F201" s="15" t="s">
        <v>318</v>
      </c>
      <c r="G201" s="15" t="s">
        <v>319</v>
      </c>
      <c r="H201" s="14" t="s">
        <v>66</v>
      </c>
      <c r="I201" s="16">
        <v>3</v>
      </c>
      <c r="J201" s="17">
        <v>3</v>
      </c>
      <c r="K201" s="14" t="s">
        <v>157</v>
      </c>
      <c r="L201" s="14" t="s">
        <v>68</v>
      </c>
      <c r="M201" s="14"/>
      <c r="N201" s="14"/>
      <c r="O201" s="15"/>
      <c r="P201" s="19">
        <v>0</v>
      </c>
      <c r="Q201" s="19">
        <v>0</v>
      </c>
      <c r="R201" s="24">
        <v>3</v>
      </c>
      <c r="S201" s="19">
        <v>0</v>
      </c>
      <c r="T201" s="19">
        <v>0</v>
      </c>
      <c r="U201" s="14" t="s">
        <v>69</v>
      </c>
      <c r="V201" s="14" t="s">
        <v>69</v>
      </c>
      <c r="W201" s="14" t="s">
        <v>69</v>
      </c>
      <c r="X201" s="14" t="s">
        <v>69</v>
      </c>
      <c r="Y201" s="14" t="s">
        <v>69</v>
      </c>
      <c r="AM201">
        <f>COUNTIF(P201:T201,"&gt;0")</f>
      </c>
      <c r="AN201">
        <f>COUNTIF(P201,"&gt;0")</f>
      </c>
      <c r="AO201">
        <f>COUNTIF(Q201,"&gt;0")</f>
      </c>
      <c r="AP201">
        <f>COUNTIF(R201,"&gt;0")</f>
      </c>
      <c r="AQ201">
        <f>COUNTIF(S201,"&gt;0")</f>
      </c>
      <c r="AR201">
        <f>COUNTIF(T201,"&gt;0")</f>
      </c>
      <c r="AX201" t="s">
        <v>294</v>
      </c>
      <c r="AY201" t="s">
        <v>320</v>
      </c>
    </row>
    <row r="202" ht="18" customHeight="1" spans="1:51" x14ac:dyDescent="0.25">
      <c r="A202" s="14"/>
      <c r="B202" s="14"/>
      <c r="C202" s="14"/>
      <c r="D202" s="14"/>
      <c r="E202" s="14"/>
      <c r="F202" s="15"/>
      <c r="G202" s="15"/>
      <c r="H202" s="14" t="s">
        <v>71</v>
      </c>
      <c r="I202" s="16"/>
      <c r="J202" s="17"/>
      <c r="K202" s="14"/>
      <c r="L202" s="14"/>
      <c r="M202" s="14"/>
      <c r="N202" s="14"/>
      <c r="O202" s="15"/>
      <c r="P202" s="20">
        <v>0</v>
      </c>
      <c r="Q202" s="20">
        <v>0</v>
      </c>
      <c r="R202" s="20">
        <v>0</v>
      </c>
      <c r="S202" s="20">
        <v>0</v>
      </c>
      <c r="T202" s="20">
        <v>0</v>
      </c>
      <c r="U202" s="21" t="s">
        <v>69</v>
      </c>
      <c r="V202" s="21" t="s">
        <v>69</v>
      </c>
      <c r="W202" s="21" t="s">
        <v>69</v>
      </c>
      <c r="X202" s="21" t="s">
        <v>69</v>
      </c>
      <c r="Y202" s="21" t="s">
        <v>69</v>
      </c>
      <c r="AL202">
        <f>COUNTIF(P202:T202,"&gt;0")</f>
      </c>
      <c r="AS202">
        <f>COUNTIF(P202,"&gt;0")</f>
      </c>
      <c r="AT202">
        <f>COUNTIF(Q202,"&gt;0")</f>
      </c>
      <c r="AU202">
        <f>COUNTIF(R202,"&gt;0")</f>
      </c>
      <c r="AV202">
        <f>COUNTIF(S202,"&gt;0")</f>
      </c>
      <c r="AW202">
        <f>COUNTIF(T202,"&gt;0")</f>
      </c>
      <c r="AX202" t="s">
        <v>294</v>
      </c>
      <c r="AY202" t="s">
        <v>320</v>
      </c>
    </row>
    <row r="203" ht="28" customHeight="1" spans="1:51" x14ac:dyDescent="0.25">
      <c r="A203" s="14"/>
      <c r="B203" s="14"/>
      <c r="C203" s="14"/>
      <c r="D203" s="14"/>
      <c r="E203" s="14"/>
      <c r="F203" s="15" t="s">
        <v>321</v>
      </c>
      <c r="G203" s="15" t="s">
        <v>322</v>
      </c>
      <c r="H203" s="14" t="s">
        <v>66</v>
      </c>
      <c r="I203" s="16">
        <v>3</v>
      </c>
      <c r="J203" s="17">
        <v>3</v>
      </c>
      <c r="K203" s="14" t="s">
        <v>157</v>
      </c>
      <c r="L203" s="14" t="s">
        <v>68</v>
      </c>
      <c r="M203" s="14"/>
      <c r="N203" s="14"/>
      <c r="O203" s="15"/>
      <c r="P203" s="19">
        <v>0</v>
      </c>
      <c r="Q203" s="19">
        <v>0</v>
      </c>
      <c r="R203" s="19">
        <v>0</v>
      </c>
      <c r="S203" s="19">
        <v>0</v>
      </c>
      <c r="T203" s="19">
        <v>0</v>
      </c>
      <c r="U203" s="14" t="s">
        <v>69</v>
      </c>
      <c r="V203" s="14" t="s">
        <v>69</v>
      </c>
      <c r="W203" s="14" t="s">
        <v>69</v>
      </c>
      <c r="X203" s="14" t="s">
        <v>69</v>
      </c>
      <c r="Y203" s="14" t="s">
        <v>69</v>
      </c>
      <c r="AM203">
        <f>COUNTIF(P203:T203,"&gt;0")</f>
      </c>
      <c r="AN203">
        <f>COUNTIF(P203,"&gt;0")</f>
      </c>
      <c r="AO203">
        <f>COUNTIF(Q203,"&gt;0")</f>
      </c>
      <c r="AP203">
        <f>COUNTIF(R203,"&gt;0")</f>
      </c>
      <c r="AQ203">
        <f>COUNTIF(S203,"&gt;0")</f>
      </c>
      <c r="AR203">
        <f>COUNTIF(T203,"&gt;0")</f>
      </c>
      <c r="AX203" t="s">
        <v>294</v>
      </c>
      <c r="AY203" t="s">
        <v>323</v>
      </c>
    </row>
    <row r="204" ht="18" customHeight="1" spans="1:51" x14ac:dyDescent="0.25">
      <c r="A204" s="14"/>
      <c r="B204" s="14"/>
      <c r="C204" s="14"/>
      <c r="D204" s="14"/>
      <c r="E204" s="14"/>
      <c r="F204" s="15"/>
      <c r="G204" s="15"/>
      <c r="H204" s="14" t="s">
        <v>71</v>
      </c>
      <c r="I204" s="16"/>
      <c r="J204" s="17"/>
      <c r="K204" s="14"/>
      <c r="L204" s="14"/>
      <c r="M204" s="14"/>
      <c r="N204" s="14"/>
      <c r="O204" s="15"/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1" t="s">
        <v>69</v>
      </c>
      <c r="V204" s="21" t="s">
        <v>69</v>
      </c>
      <c r="W204" s="21" t="s">
        <v>69</v>
      </c>
      <c r="X204" s="21" t="s">
        <v>69</v>
      </c>
      <c r="Y204" s="21" t="s">
        <v>69</v>
      </c>
      <c r="AL204">
        <f>COUNTIF(P204:T204,"&gt;0")</f>
      </c>
      <c r="AS204">
        <f>COUNTIF(P204,"&gt;0")</f>
      </c>
      <c r="AT204">
        <f>COUNTIF(Q204,"&gt;0")</f>
      </c>
      <c r="AU204">
        <f>COUNTIF(R204,"&gt;0")</f>
      </c>
      <c r="AV204">
        <f>COUNTIF(S204,"&gt;0")</f>
      </c>
      <c r="AW204">
        <f>COUNTIF(T204,"&gt;0")</f>
      </c>
      <c r="AX204" t="s">
        <v>294</v>
      </c>
      <c r="AY204" t="s">
        <v>323</v>
      </c>
    </row>
    <row r="205" ht="28" customHeight="1" spans="1:51" x14ac:dyDescent="0.25">
      <c r="A205" s="14"/>
      <c r="B205" s="14"/>
      <c r="C205" s="14"/>
      <c r="D205" s="14"/>
      <c r="E205" s="14"/>
      <c r="F205" s="15" t="s">
        <v>324</v>
      </c>
      <c r="G205" s="15" t="s">
        <v>249</v>
      </c>
      <c r="H205" s="14" t="s">
        <v>66</v>
      </c>
      <c r="I205" s="16">
        <v>3</v>
      </c>
      <c r="J205" s="17">
        <v>3</v>
      </c>
      <c r="K205" s="14" t="s">
        <v>157</v>
      </c>
      <c r="L205" s="14" t="s">
        <v>68</v>
      </c>
      <c r="M205" s="14"/>
      <c r="N205" s="14"/>
      <c r="O205" s="15"/>
      <c r="P205" s="19">
        <v>0</v>
      </c>
      <c r="Q205" s="19">
        <v>0</v>
      </c>
      <c r="R205" s="19">
        <v>0</v>
      </c>
      <c r="S205" s="19">
        <v>0</v>
      </c>
      <c r="T205" s="19">
        <v>0</v>
      </c>
      <c r="U205" s="14" t="s">
        <v>69</v>
      </c>
      <c r="V205" s="14" t="s">
        <v>69</v>
      </c>
      <c r="W205" s="14" t="s">
        <v>69</v>
      </c>
      <c r="X205" s="14" t="s">
        <v>69</v>
      </c>
      <c r="Y205" s="14" t="s">
        <v>69</v>
      </c>
      <c r="AM205">
        <f>COUNTIF(P205:T205,"&gt;0")</f>
      </c>
      <c r="AN205">
        <f>COUNTIF(P205,"&gt;0")</f>
      </c>
      <c r="AO205">
        <f>COUNTIF(Q205,"&gt;0")</f>
      </c>
      <c r="AP205">
        <f>COUNTIF(R205,"&gt;0")</f>
      </c>
      <c r="AQ205">
        <f>COUNTIF(S205,"&gt;0")</f>
      </c>
      <c r="AR205">
        <f>COUNTIF(T205,"&gt;0")</f>
      </c>
      <c r="AX205" t="s">
        <v>294</v>
      </c>
      <c r="AY205" t="s">
        <v>325</v>
      </c>
    </row>
    <row r="206" ht="18" customHeight="1" spans="1:51" x14ac:dyDescent="0.25">
      <c r="A206" s="14"/>
      <c r="B206" s="14"/>
      <c r="C206" s="14"/>
      <c r="D206" s="14"/>
      <c r="E206" s="14"/>
      <c r="F206" s="15"/>
      <c r="G206" s="15"/>
      <c r="H206" s="14" t="s">
        <v>71</v>
      </c>
      <c r="I206" s="16"/>
      <c r="J206" s="17"/>
      <c r="K206" s="14"/>
      <c r="L206" s="14"/>
      <c r="M206" s="14"/>
      <c r="N206" s="14"/>
      <c r="O206" s="15"/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1" t="s">
        <v>69</v>
      </c>
      <c r="V206" s="21" t="s">
        <v>69</v>
      </c>
      <c r="W206" s="21" t="s">
        <v>69</v>
      </c>
      <c r="X206" s="21" t="s">
        <v>69</v>
      </c>
      <c r="Y206" s="21" t="s">
        <v>69</v>
      </c>
      <c r="AL206">
        <f>COUNTIF(P206:T206,"&gt;0")</f>
      </c>
      <c r="AS206">
        <f>COUNTIF(P206,"&gt;0")</f>
      </c>
      <c r="AT206">
        <f>COUNTIF(Q206,"&gt;0")</f>
      </c>
      <c r="AU206">
        <f>COUNTIF(R206,"&gt;0")</f>
      </c>
      <c r="AV206">
        <f>COUNTIF(S206,"&gt;0")</f>
      </c>
      <c r="AW206">
        <f>COUNTIF(T206,"&gt;0")</f>
      </c>
      <c r="AX206" t="s">
        <v>294</v>
      </c>
      <c r="AY206" t="s">
        <v>325</v>
      </c>
    </row>
    <row r="207" ht="28" customHeight="1" spans="1:51" x14ac:dyDescent="0.25">
      <c r="A207" s="14"/>
      <c r="B207" s="14"/>
      <c r="C207" s="14"/>
      <c r="D207" s="14"/>
      <c r="E207" s="14"/>
      <c r="F207" s="15" t="s">
        <v>261</v>
      </c>
      <c r="G207" s="15" t="s">
        <v>326</v>
      </c>
      <c r="H207" s="14" t="s">
        <v>66</v>
      </c>
      <c r="I207" s="16">
        <v>3</v>
      </c>
      <c r="J207" s="17">
        <v>3</v>
      </c>
      <c r="K207" s="14" t="s">
        <v>157</v>
      </c>
      <c r="L207" s="14" t="s">
        <v>68</v>
      </c>
      <c r="M207" s="14"/>
      <c r="N207" s="14"/>
      <c r="O207" s="15"/>
      <c r="P207" s="19">
        <v>0</v>
      </c>
      <c r="Q207" s="19">
        <v>0</v>
      </c>
      <c r="R207" s="19">
        <v>0</v>
      </c>
      <c r="S207" s="24">
        <v>3</v>
      </c>
      <c r="T207" s="19">
        <v>0</v>
      </c>
      <c r="U207" s="14" t="s">
        <v>69</v>
      </c>
      <c r="V207" s="14" t="s">
        <v>69</v>
      </c>
      <c r="W207" s="14" t="s">
        <v>69</v>
      </c>
      <c r="X207" s="14" t="s">
        <v>69</v>
      </c>
      <c r="Y207" s="14" t="s">
        <v>69</v>
      </c>
      <c r="AM207">
        <f>COUNTIF(P207:T207,"&gt;0")</f>
      </c>
      <c r="AN207">
        <f>COUNTIF(P207,"&gt;0")</f>
      </c>
      <c r="AO207">
        <f>COUNTIF(Q207,"&gt;0")</f>
      </c>
      <c r="AP207">
        <f>COUNTIF(R207,"&gt;0")</f>
      </c>
      <c r="AQ207">
        <f>COUNTIF(S207,"&gt;0")</f>
      </c>
      <c r="AR207">
        <f>COUNTIF(T207,"&gt;0")</f>
      </c>
      <c r="AX207" t="s">
        <v>294</v>
      </c>
      <c r="AY207" t="s">
        <v>327</v>
      </c>
    </row>
    <row r="208" ht="18" customHeight="1" spans="1:51" x14ac:dyDescent="0.25">
      <c r="A208" s="14"/>
      <c r="B208" s="14"/>
      <c r="C208" s="14"/>
      <c r="D208" s="14"/>
      <c r="E208" s="14"/>
      <c r="F208" s="15"/>
      <c r="G208" s="15"/>
      <c r="H208" s="14" t="s">
        <v>71</v>
      </c>
      <c r="I208" s="16"/>
      <c r="J208" s="17"/>
      <c r="K208" s="14"/>
      <c r="L208" s="14"/>
      <c r="M208" s="14"/>
      <c r="N208" s="14"/>
      <c r="O208" s="15"/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1" t="s">
        <v>69</v>
      </c>
      <c r="V208" s="21" t="s">
        <v>69</v>
      </c>
      <c r="W208" s="21" t="s">
        <v>69</v>
      </c>
      <c r="X208" s="21" t="s">
        <v>69</v>
      </c>
      <c r="Y208" s="21" t="s">
        <v>69</v>
      </c>
      <c r="AL208">
        <f>COUNTIF(P208:T208,"&gt;0")</f>
      </c>
      <c r="AS208">
        <f>COUNTIF(P208,"&gt;0")</f>
      </c>
      <c r="AT208">
        <f>COUNTIF(Q208,"&gt;0")</f>
      </c>
      <c r="AU208">
        <f>COUNTIF(R208,"&gt;0")</f>
      </c>
      <c r="AV208">
        <f>COUNTIF(S208,"&gt;0")</f>
      </c>
      <c r="AW208">
        <f>COUNTIF(T208,"&gt;0")</f>
      </c>
      <c r="AX208" t="s">
        <v>294</v>
      </c>
      <c r="AY208" t="s">
        <v>327</v>
      </c>
    </row>
    <row r="209" ht="28" customHeight="1" spans="1:51" x14ac:dyDescent="0.25">
      <c r="A209" s="14"/>
      <c r="B209" s="14"/>
      <c r="C209" s="14"/>
      <c r="D209" s="14"/>
      <c r="E209" s="14"/>
      <c r="F209" s="15" t="s">
        <v>328</v>
      </c>
      <c r="G209" s="15" t="s">
        <v>329</v>
      </c>
      <c r="H209" s="14" t="s">
        <v>66</v>
      </c>
      <c r="I209" s="16">
        <v>3</v>
      </c>
      <c r="J209" s="17">
        <v>3</v>
      </c>
      <c r="K209" s="14" t="s">
        <v>157</v>
      </c>
      <c r="L209" s="14" t="s">
        <v>68</v>
      </c>
      <c r="M209" s="14"/>
      <c r="N209" s="14"/>
      <c r="O209" s="15"/>
      <c r="P209" s="19">
        <v>0</v>
      </c>
      <c r="Q209" s="19">
        <v>0</v>
      </c>
      <c r="R209" s="19">
        <v>0</v>
      </c>
      <c r="S209" s="19">
        <v>0</v>
      </c>
      <c r="T209" s="19">
        <v>0</v>
      </c>
      <c r="U209" s="14" t="s">
        <v>69</v>
      </c>
      <c r="V209" s="14" t="s">
        <v>69</v>
      </c>
      <c r="W209" s="14" t="s">
        <v>69</v>
      </c>
      <c r="X209" s="14" t="s">
        <v>69</v>
      </c>
      <c r="Y209" s="14" t="s">
        <v>69</v>
      </c>
      <c r="AM209">
        <f>COUNTIF(P209:T209,"&gt;0")</f>
      </c>
      <c r="AN209">
        <f>COUNTIF(P209,"&gt;0")</f>
      </c>
      <c r="AO209">
        <f>COUNTIF(Q209,"&gt;0")</f>
      </c>
      <c r="AP209">
        <f>COUNTIF(R209,"&gt;0")</f>
      </c>
      <c r="AQ209">
        <f>COUNTIF(S209,"&gt;0")</f>
      </c>
      <c r="AR209">
        <f>COUNTIF(T209,"&gt;0")</f>
      </c>
      <c r="AX209" t="s">
        <v>294</v>
      </c>
      <c r="AY209" t="s">
        <v>330</v>
      </c>
    </row>
    <row r="210" ht="18" customHeight="1" spans="1:51" x14ac:dyDescent="0.25">
      <c r="A210" s="14"/>
      <c r="B210" s="14"/>
      <c r="C210" s="14"/>
      <c r="D210" s="14"/>
      <c r="E210" s="14"/>
      <c r="F210" s="15"/>
      <c r="G210" s="15"/>
      <c r="H210" s="14" t="s">
        <v>71</v>
      </c>
      <c r="I210" s="16"/>
      <c r="J210" s="17"/>
      <c r="K210" s="14"/>
      <c r="L210" s="14"/>
      <c r="M210" s="14"/>
      <c r="N210" s="14"/>
      <c r="O210" s="15"/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1" t="s">
        <v>69</v>
      </c>
      <c r="V210" s="21" t="s">
        <v>69</v>
      </c>
      <c r="W210" s="21" t="s">
        <v>69</v>
      </c>
      <c r="X210" s="21" t="s">
        <v>69</v>
      </c>
      <c r="Y210" s="21" t="s">
        <v>69</v>
      </c>
      <c r="AL210">
        <f>COUNTIF(P210:T210,"&gt;0")</f>
      </c>
      <c r="AS210">
        <f>COUNTIF(P210,"&gt;0")</f>
      </c>
      <c r="AT210">
        <f>COUNTIF(Q210,"&gt;0")</f>
      </c>
      <c r="AU210">
        <f>COUNTIF(R210,"&gt;0")</f>
      </c>
      <c r="AV210">
        <f>COUNTIF(S210,"&gt;0")</f>
      </c>
      <c r="AW210">
        <f>COUNTIF(T210,"&gt;0")</f>
      </c>
      <c r="AX210" t="s">
        <v>294</v>
      </c>
      <c r="AY210" t="s">
        <v>330</v>
      </c>
    </row>
    <row r="211" ht="28" customHeight="1" spans="1:51" x14ac:dyDescent="0.25">
      <c r="A211" s="14"/>
      <c r="B211" s="14"/>
      <c r="C211" s="14"/>
      <c r="D211" s="14"/>
      <c r="E211" s="14"/>
      <c r="F211" s="15" t="s">
        <v>100</v>
      </c>
      <c r="G211" s="15" t="s">
        <v>251</v>
      </c>
      <c r="H211" s="14" t="s">
        <v>66</v>
      </c>
      <c r="I211" s="16">
        <v>3</v>
      </c>
      <c r="J211" s="17">
        <v>3</v>
      </c>
      <c r="K211" s="14" t="s">
        <v>157</v>
      </c>
      <c r="L211" s="14" t="s">
        <v>68</v>
      </c>
      <c r="M211" s="14"/>
      <c r="N211" s="14"/>
      <c r="O211" s="15"/>
      <c r="P211" s="19">
        <v>0</v>
      </c>
      <c r="Q211" s="19">
        <v>0</v>
      </c>
      <c r="R211" s="19">
        <v>0</v>
      </c>
      <c r="S211" s="19">
        <v>0</v>
      </c>
      <c r="T211" s="19">
        <v>0</v>
      </c>
      <c r="U211" s="14" t="s">
        <v>69</v>
      </c>
      <c r="V211" s="14" t="s">
        <v>69</v>
      </c>
      <c r="W211" s="14" t="s">
        <v>69</v>
      </c>
      <c r="X211" s="14" t="s">
        <v>69</v>
      </c>
      <c r="Y211" s="14" t="s">
        <v>69</v>
      </c>
      <c r="AM211">
        <f>COUNTIF(P211:T211,"&gt;0")</f>
      </c>
      <c r="AN211">
        <f>COUNTIF(P211,"&gt;0")</f>
      </c>
      <c r="AO211">
        <f>COUNTIF(Q211,"&gt;0")</f>
      </c>
      <c r="AP211">
        <f>COUNTIF(R211,"&gt;0")</f>
      </c>
      <c r="AQ211">
        <f>COUNTIF(S211,"&gt;0")</f>
      </c>
      <c r="AR211">
        <f>COUNTIF(T211,"&gt;0")</f>
      </c>
      <c r="AX211" t="s">
        <v>294</v>
      </c>
      <c r="AY211" t="s">
        <v>331</v>
      </c>
    </row>
    <row r="212" ht="18" customHeight="1" spans="1:51" x14ac:dyDescent="0.25">
      <c r="A212" s="14"/>
      <c r="B212" s="14"/>
      <c r="C212" s="14"/>
      <c r="D212" s="14"/>
      <c r="E212" s="14"/>
      <c r="F212" s="15"/>
      <c r="G212" s="15"/>
      <c r="H212" s="14" t="s">
        <v>71</v>
      </c>
      <c r="I212" s="16"/>
      <c r="J212" s="17"/>
      <c r="K212" s="14"/>
      <c r="L212" s="14"/>
      <c r="M212" s="14"/>
      <c r="N212" s="14"/>
      <c r="O212" s="15"/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1" t="s">
        <v>69</v>
      </c>
      <c r="V212" s="21" t="s">
        <v>69</v>
      </c>
      <c r="W212" s="21" t="s">
        <v>69</v>
      </c>
      <c r="X212" s="21" t="s">
        <v>69</v>
      </c>
      <c r="Y212" s="21" t="s">
        <v>69</v>
      </c>
      <c r="AL212">
        <f>COUNTIF(P212:T212,"&gt;0")</f>
      </c>
      <c r="AS212">
        <f>COUNTIF(P212,"&gt;0")</f>
      </c>
      <c r="AT212">
        <f>COUNTIF(Q212,"&gt;0")</f>
      </c>
      <c r="AU212">
        <f>COUNTIF(R212,"&gt;0")</f>
      </c>
      <c r="AV212">
        <f>COUNTIF(S212,"&gt;0")</f>
      </c>
      <c r="AW212">
        <f>COUNTIF(T212,"&gt;0")</f>
      </c>
      <c r="AX212" t="s">
        <v>294</v>
      </c>
      <c r="AY212" t="s">
        <v>331</v>
      </c>
    </row>
    <row r="213" ht="28" customHeight="1" spans="1:51" x14ac:dyDescent="0.25">
      <c r="A213" s="14"/>
      <c r="B213" s="14" t="s">
        <v>332</v>
      </c>
      <c r="C213" s="14" t="s">
        <v>174</v>
      </c>
      <c r="D213" s="14" t="s">
        <v>333</v>
      </c>
      <c r="E213" s="14" t="s">
        <v>118</v>
      </c>
      <c r="F213" s="15" t="s">
        <v>176</v>
      </c>
      <c r="G213" s="15" t="s">
        <v>177</v>
      </c>
      <c r="H213" s="14" t="s">
        <v>66</v>
      </c>
      <c r="I213" s="16">
        <v>2</v>
      </c>
      <c r="J213" s="17">
        <v>1</v>
      </c>
      <c r="K213" s="14" t="s">
        <v>67</v>
      </c>
      <c r="L213" s="14" t="s">
        <v>68</v>
      </c>
      <c r="M213" s="14"/>
      <c r="N213" s="14"/>
      <c r="O213" s="15"/>
      <c r="P213" s="19">
        <v>0</v>
      </c>
      <c r="Q213" s="19">
        <v>0</v>
      </c>
      <c r="R213" s="19">
        <v>0</v>
      </c>
      <c r="S213" s="19">
        <v>0</v>
      </c>
      <c r="T213" s="18">
        <v>2</v>
      </c>
      <c r="U213" s="14" t="s">
        <v>69</v>
      </c>
      <c r="V213" s="14" t="s">
        <v>69</v>
      </c>
      <c r="W213" s="14" t="s">
        <v>69</v>
      </c>
      <c r="X213" s="14" t="s">
        <v>69</v>
      </c>
      <c r="Y213" s="14" t="s">
        <v>69</v>
      </c>
      <c r="AM213">
        <f>COUNTIF(P213:T213,"&gt;0")</f>
      </c>
      <c r="AN213">
        <f>COUNTIF(P213,"&gt;0")</f>
      </c>
      <c r="AO213">
        <f>COUNTIF(Q213,"&gt;0")</f>
      </c>
      <c r="AP213">
        <f>COUNTIF(R213,"&gt;0")</f>
      </c>
      <c r="AQ213">
        <f>COUNTIF(S213,"&gt;0")</f>
      </c>
      <c r="AR213">
        <f>COUNTIF(T213,"&gt;0")</f>
      </c>
      <c r="AX213" t="s">
        <v>332</v>
      </c>
      <c r="AY213" t="s">
        <v>334</v>
      </c>
    </row>
    <row r="214" ht="18" customHeight="1" spans="1:51" x14ac:dyDescent="0.25">
      <c r="A214" s="14"/>
      <c r="B214" s="14"/>
      <c r="C214" s="14"/>
      <c r="D214" s="14"/>
      <c r="E214" s="14"/>
      <c r="F214" s="15"/>
      <c r="G214" s="15"/>
      <c r="H214" s="14" t="s">
        <v>71</v>
      </c>
      <c r="I214" s="16"/>
      <c r="J214" s="17"/>
      <c r="K214" s="14"/>
      <c r="L214" s="14"/>
      <c r="M214" s="14"/>
      <c r="N214" s="14"/>
      <c r="O214" s="15"/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1" t="s">
        <v>69</v>
      </c>
      <c r="V214" s="21" t="s">
        <v>69</v>
      </c>
      <c r="W214" s="21" t="s">
        <v>69</v>
      </c>
      <c r="X214" s="21" t="s">
        <v>69</v>
      </c>
      <c r="Y214" s="21" t="s">
        <v>69</v>
      </c>
      <c r="AL214">
        <f>COUNTIF(P214:T214,"&gt;0")</f>
      </c>
      <c r="AS214">
        <f>COUNTIF(P214,"&gt;0")</f>
      </c>
      <c r="AT214">
        <f>COUNTIF(Q214,"&gt;0")</f>
      </c>
      <c r="AU214">
        <f>COUNTIF(R214,"&gt;0")</f>
      </c>
      <c r="AV214">
        <f>COUNTIF(S214,"&gt;0")</f>
      </c>
      <c r="AW214">
        <f>COUNTIF(T214,"&gt;0")</f>
      </c>
      <c r="AX214" t="s">
        <v>332</v>
      </c>
      <c r="AY214" t="s">
        <v>334</v>
      </c>
    </row>
    <row r="215" ht="28" customHeight="1" spans="1:51" x14ac:dyDescent="0.25">
      <c r="A215" s="14"/>
      <c r="B215" s="14"/>
      <c r="C215" s="14"/>
      <c r="D215" s="14"/>
      <c r="E215" s="14"/>
      <c r="F215" s="15" t="s">
        <v>179</v>
      </c>
      <c r="G215" s="15" t="s">
        <v>180</v>
      </c>
      <c r="H215" s="14" t="s">
        <v>66</v>
      </c>
      <c r="I215" s="16">
        <v>2</v>
      </c>
      <c r="J215" s="17">
        <v>1</v>
      </c>
      <c r="K215" s="14" t="s">
        <v>67</v>
      </c>
      <c r="L215" s="14" t="s">
        <v>68</v>
      </c>
      <c r="M215" s="14"/>
      <c r="N215" s="14"/>
      <c r="O215" s="15"/>
      <c r="P215" s="18">
        <v>2</v>
      </c>
      <c r="Q215" s="19">
        <v>0</v>
      </c>
      <c r="R215" s="19">
        <v>0</v>
      </c>
      <c r="S215" s="19">
        <v>0</v>
      </c>
      <c r="T215" s="19">
        <v>0</v>
      </c>
      <c r="U215" s="14" t="s">
        <v>69</v>
      </c>
      <c r="V215" s="14" t="s">
        <v>69</v>
      </c>
      <c r="W215" s="14" t="s">
        <v>69</v>
      </c>
      <c r="X215" s="14" t="s">
        <v>69</v>
      </c>
      <c r="Y215" s="14" t="s">
        <v>69</v>
      </c>
      <c r="AM215">
        <f>COUNTIF(P215:T215,"&gt;0")</f>
      </c>
      <c r="AN215">
        <f>COUNTIF(P215,"&gt;0")</f>
      </c>
      <c r="AO215">
        <f>COUNTIF(Q215,"&gt;0")</f>
      </c>
      <c r="AP215">
        <f>COUNTIF(R215,"&gt;0")</f>
      </c>
      <c r="AQ215">
        <f>COUNTIF(S215,"&gt;0")</f>
      </c>
      <c r="AR215">
        <f>COUNTIF(T215,"&gt;0")</f>
      </c>
      <c r="AX215" t="s">
        <v>332</v>
      </c>
      <c r="AY215" t="s">
        <v>335</v>
      </c>
    </row>
    <row r="216" ht="18" customHeight="1" spans="1:51" x14ac:dyDescent="0.25">
      <c r="A216" s="14"/>
      <c r="B216" s="14"/>
      <c r="C216" s="14"/>
      <c r="D216" s="14"/>
      <c r="E216" s="14"/>
      <c r="F216" s="15"/>
      <c r="G216" s="15"/>
      <c r="H216" s="14" t="s">
        <v>71</v>
      </c>
      <c r="I216" s="16"/>
      <c r="J216" s="17"/>
      <c r="K216" s="14"/>
      <c r="L216" s="14"/>
      <c r="M216" s="14"/>
      <c r="N216" s="14"/>
      <c r="O216" s="15"/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1" t="s">
        <v>69</v>
      </c>
      <c r="V216" s="21" t="s">
        <v>69</v>
      </c>
      <c r="W216" s="21" t="s">
        <v>69</v>
      </c>
      <c r="X216" s="21" t="s">
        <v>69</v>
      </c>
      <c r="Y216" s="21" t="s">
        <v>69</v>
      </c>
      <c r="AL216">
        <f>COUNTIF(P216:T216,"&gt;0")</f>
      </c>
      <c r="AS216">
        <f>COUNTIF(P216,"&gt;0")</f>
      </c>
      <c r="AT216">
        <f>COUNTIF(Q216,"&gt;0")</f>
      </c>
      <c r="AU216">
        <f>COUNTIF(R216,"&gt;0")</f>
      </c>
      <c r="AV216">
        <f>COUNTIF(S216,"&gt;0")</f>
      </c>
      <c r="AW216">
        <f>COUNTIF(T216,"&gt;0")</f>
      </c>
      <c r="AX216" t="s">
        <v>332</v>
      </c>
      <c r="AY216" t="s">
        <v>335</v>
      </c>
    </row>
    <row r="217" ht="28" customHeight="1" spans="1:51" x14ac:dyDescent="0.25">
      <c r="A217" s="14"/>
      <c r="B217" s="14"/>
      <c r="C217" s="14"/>
      <c r="D217" s="14"/>
      <c r="E217" s="14"/>
      <c r="F217" s="15" t="s">
        <v>182</v>
      </c>
      <c r="G217" s="15" t="s">
        <v>183</v>
      </c>
      <c r="H217" s="14" t="s">
        <v>66</v>
      </c>
      <c r="I217" s="16">
        <v>2</v>
      </c>
      <c r="J217" s="17">
        <v>1</v>
      </c>
      <c r="K217" s="14" t="s">
        <v>67</v>
      </c>
      <c r="L217" s="14" t="s">
        <v>68</v>
      </c>
      <c r="M217" s="14"/>
      <c r="N217" s="14"/>
      <c r="O217" s="15"/>
      <c r="P217" s="19">
        <v>0</v>
      </c>
      <c r="Q217" s="18">
        <v>2</v>
      </c>
      <c r="R217" s="19">
        <v>0</v>
      </c>
      <c r="S217" s="19">
        <v>0</v>
      </c>
      <c r="T217" s="19">
        <v>0</v>
      </c>
      <c r="U217" s="14" t="s">
        <v>69</v>
      </c>
      <c r="V217" s="14" t="s">
        <v>69</v>
      </c>
      <c r="W217" s="14" t="s">
        <v>69</v>
      </c>
      <c r="X217" s="14" t="s">
        <v>69</v>
      </c>
      <c r="Y217" s="14" t="s">
        <v>69</v>
      </c>
      <c r="AM217">
        <f>COUNTIF(P217:T217,"&gt;0")</f>
      </c>
      <c r="AN217">
        <f>COUNTIF(P217,"&gt;0")</f>
      </c>
      <c r="AO217">
        <f>COUNTIF(Q217,"&gt;0")</f>
      </c>
      <c r="AP217">
        <f>COUNTIF(R217,"&gt;0")</f>
      </c>
      <c r="AQ217">
        <f>COUNTIF(S217,"&gt;0")</f>
      </c>
      <c r="AR217">
        <f>COUNTIF(T217,"&gt;0")</f>
      </c>
      <c r="AX217" t="s">
        <v>332</v>
      </c>
      <c r="AY217" t="s">
        <v>336</v>
      </c>
    </row>
    <row r="218" ht="18" customHeight="1" spans="1:51" x14ac:dyDescent="0.25">
      <c r="A218" s="14"/>
      <c r="B218" s="14"/>
      <c r="C218" s="14"/>
      <c r="D218" s="14"/>
      <c r="E218" s="14"/>
      <c r="F218" s="15"/>
      <c r="G218" s="15"/>
      <c r="H218" s="14" t="s">
        <v>71</v>
      </c>
      <c r="I218" s="16"/>
      <c r="J218" s="17"/>
      <c r="K218" s="14"/>
      <c r="L218" s="14"/>
      <c r="M218" s="14"/>
      <c r="N218" s="14"/>
      <c r="O218" s="15"/>
      <c r="P218" s="20">
        <v>0</v>
      </c>
      <c r="Q218" s="20">
        <v>0</v>
      </c>
      <c r="R218" s="20">
        <v>0</v>
      </c>
      <c r="S218" s="20">
        <v>0</v>
      </c>
      <c r="T218" s="20">
        <v>0</v>
      </c>
      <c r="U218" s="21" t="s">
        <v>69</v>
      </c>
      <c r="V218" s="21" t="s">
        <v>69</v>
      </c>
      <c r="W218" s="21" t="s">
        <v>69</v>
      </c>
      <c r="X218" s="21" t="s">
        <v>69</v>
      </c>
      <c r="Y218" s="21" t="s">
        <v>69</v>
      </c>
      <c r="AL218">
        <f>COUNTIF(P218:T218,"&gt;0")</f>
      </c>
      <c r="AS218">
        <f>COUNTIF(P218,"&gt;0")</f>
      </c>
      <c r="AT218">
        <f>COUNTIF(Q218,"&gt;0")</f>
      </c>
      <c r="AU218">
        <f>COUNTIF(R218,"&gt;0")</f>
      </c>
      <c r="AV218">
        <f>COUNTIF(S218,"&gt;0")</f>
      </c>
      <c r="AW218">
        <f>COUNTIF(T218,"&gt;0")</f>
      </c>
      <c r="AX218" t="s">
        <v>332</v>
      </c>
      <c r="AY218" t="s">
        <v>336</v>
      </c>
    </row>
    <row r="219" ht="28" customHeight="1" spans="1:51" x14ac:dyDescent="0.25">
      <c r="A219" s="14"/>
      <c r="B219" s="14"/>
      <c r="C219" s="14"/>
      <c r="D219" s="14"/>
      <c r="E219" s="14"/>
      <c r="F219" s="15" t="s">
        <v>185</v>
      </c>
      <c r="G219" s="15" t="s">
        <v>186</v>
      </c>
      <c r="H219" s="14" t="s">
        <v>66</v>
      </c>
      <c r="I219" s="16">
        <v>2</v>
      </c>
      <c r="J219" s="17">
        <v>1</v>
      </c>
      <c r="K219" s="14" t="s">
        <v>67</v>
      </c>
      <c r="L219" s="14" t="s">
        <v>68</v>
      </c>
      <c r="M219" s="14"/>
      <c r="N219" s="14"/>
      <c r="O219" s="15"/>
      <c r="P219" s="19">
        <v>0</v>
      </c>
      <c r="Q219" s="19">
        <v>0</v>
      </c>
      <c r="R219" s="18">
        <v>2</v>
      </c>
      <c r="S219" s="19">
        <v>0</v>
      </c>
      <c r="T219" s="19">
        <v>0</v>
      </c>
      <c r="U219" s="14" t="s">
        <v>69</v>
      </c>
      <c r="V219" s="14" t="s">
        <v>69</v>
      </c>
      <c r="W219" s="14" t="s">
        <v>69</v>
      </c>
      <c r="X219" s="14" t="s">
        <v>69</v>
      </c>
      <c r="Y219" s="14" t="s">
        <v>69</v>
      </c>
      <c r="AM219">
        <f>COUNTIF(P219:T219,"&gt;0")</f>
      </c>
      <c r="AN219">
        <f>COUNTIF(P219,"&gt;0")</f>
      </c>
      <c r="AO219">
        <f>COUNTIF(Q219,"&gt;0")</f>
      </c>
      <c r="AP219">
        <f>COUNTIF(R219,"&gt;0")</f>
      </c>
      <c r="AQ219">
        <f>COUNTIF(S219,"&gt;0")</f>
      </c>
      <c r="AR219">
        <f>COUNTIF(T219,"&gt;0")</f>
      </c>
      <c r="AX219" t="s">
        <v>332</v>
      </c>
      <c r="AY219" t="s">
        <v>337</v>
      </c>
    </row>
    <row r="220" ht="18" customHeight="1" spans="1:51" x14ac:dyDescent="0.25">
      <c r="A220" s="14"/>
      <c r="B220" s="14"/>
      <c r="C220" s="14"/>
      <c r="D220" s="14"/>
      <c r="E220" s="14"/>
      <c r="F220" s="15"/>
      <c r="G220" s="15"/>
      <c r="H220" s="14" t="s">
        <v>71</v>
      </c>
      <c r="I220" s="16"/>
      <c r="J220" s="17"/>
      <c r="K220" s="14"/>
      <c r="L220" s="14"/>
      <c r="M220" s="14"/>
      <c r="N220" s="14"/>
      <c r="O220" s="15"/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1" t="s">
        <v>69</v>
      </c>
      <c r="V220" s="21" t="s">
        <v>69</v>
      </c>
      <c r="W220" s="21" t="s">
        <v>69</v>
      </c>
      <c r="X220" s="21" t="s">
        <v>69</v>
      </c>
      <c r="Y220" s="21" t="s">
        <v>69</v>
      </c>
      <c r="AL220">
        <f>COUNTIF(P220:T220,"&gt;0")</f>
      </c>
      <c r="AS220">
        <f>COUNTIF(P220,"&gt;0")</f>
      </c>
      <c r="AT220">
        <f>COUNTIF(Q220,"&gt;0")</f>
      </c>
      <c r="AU220">
        <f>COUNTIF(R220,"&gt;0")</f>
      </c>
      <c r="AV220">
        <f>COUNTIF(S220,"&gt;0")</f>
      </c>
      <c r="AW220">
        <f>COUNTIF(T220,"&gt;0")</f>
      </c>
      <c r="AX220" t="s">
        <v>332</v>
      </c>
      <c r="AY220" t="s">
        <v>337</v>
      </c>
    </row>
    <row r="221" ht="28" customHeight="1" spans="1:51" x14ac:dyDescent="0.25">
      <c r="A221" s="14"/>
      <c r="B221" s="14"/>
      <c r="C221" s="14"/>
      <c r="D221" s="14"/>
      <c r="E221" s="14"/>
      <c r="F221" s="15" t="s">
        <v>188</v>
      </c>
      <c r="G221" s="15" t="s">
        <v>189</v>
      </c>
      <c r="H221" s="14" t="s">
        <v>66</v>
      </c>
      <c r="I221" s="16">
        <v>2</v>
      </c>
      <c r="J221" s="17">
        <v>1</v>
      </c>
      <c r="K221" s="14" t="s">
        <v>67</v>
      </c>
      <c r="L221" s="14" t="s">
        <v>68</v>
      </c>
      <c r="M221" s="14"/>
      <c r="N221" s="14"/>
      <c r="O221" s="15"/>
      <c r="P221" s="19">
        <v>0</v>
      </c>
      <c r="Q221" s="19">
        <v>0</v>
      </c>
      <c r="R221" s="19">
        <v>0</v>
      </c>
      <c r="S221" s="18">
        <v>2</v>
      </c>
      <c r="T221" s="19">
        <v>0</v>
      </c>
      <c r="U221" s="14" t="s">
        <v>69</v>
      </c>
      <c r="V221" s="14" t="s">
        <v>69</v>
      </c>
      <c r="W221" s="14" t="s">
        <v>69</v>
      </c>
      <c r="X221" s="14" t="s">
        <v>69</v>
      </c>
      <c r="Y221" s="14" t="s">
        <v>69</v>
      </c>
      <c r="AM221">
        <f>COUNTIF(P221:T221,"&gt;0")</f>
      </c>
      <c r="AN221">
        <f>COUNTIF(P221,"&gt;0")</f>
      </c>
      <c r="AO221">
        <f>COUNTIF(Q221,"&gt;0")</f>
      </c>
      <c r="AP221">
        <f>COUNTIF(R221,"&gt;0")</f>
      </c>
      <c r="AQ221">
        <f>COUNTIF(S221,"&gt;0")</f>
      </c>
      <c r="AR221">
        <f>COUNTIF(T221,"&gt;0")</f>
      </c>
      <c r="AX221" t="s">
        <v>332</v>
      </c>
      <c r="AY221" t="s">
        <v>338</v>
      </c>
    </row>
    <row r="222" ht="18" customHeight="1" spans="1:51" x14ac:dyDescent="0.25">
      <c r="A222" s="14"/>
      <c r="B222" s="14"/>
      <c r="C222" s="14"/>
      <c r="D222" s="14"/>
      <c r="E222" s="14"/>
      <c r="F222" s="15"/>
      <c r="G222" s="15"/>
      <c r="H222" s="14" t="s">
        <v>71</v>
      </c>
      <c r="I222" s="16"/>
      <c r="J222" s="17"/>
      <c r="K222" s="14"/>
      <c r="L222" s="14"/>
      <c r="M222" s="14"/>
      <c r="N222" s="14"/>
      <c r="O222" s="15"/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1" t="s">
        <v>69</v>
      </c>
      <c r="V222" s="21" t="s">
        <v>69</v>
      </c>
      <c r="W222" s="21" t="s">
        <v>69</v>
      </c>
      <c r="X222" s="21" t="s">
        <v>69</v>
      </c>
      <c r="Y222" s="21" t="s">
        <v>69</v>
      </c>
      <c r="AL222">
        <f>COUNTIF(P222:T222,"&gt;0")</f>
      </c>
      <c r="AS222">
        <f>COUNTIF(P222,"&gt;0")</f>
      </c>
      <c r="AT222">
        <f>COUNTIF(Q222,"&gt;0")</f>
      </c>
      <c r="AU222">
        <f>COUNTIF(R222,"&gt;0")</f>
      </c>
      <c r="AV222">
        <f>COUNTIF(S222,"&gt;0")</f>
      </c>
      <c r="AW222">
        <f>COUNTIF(T222,"&gt;0")</f>
      </c>
      <c r="AX222" t="s">
        <v>332</v>
      </c>
      <c r="AY222" t="s">
        <v>338</v>
      </c>
    </row>
    <row r="223" ht="28" customHeight="1" spans="1:51" x14ac:dyDescent="0.25">
      <c r="A223" s="14"/>
      <c r="B223" s="14"/>
      <c r="C223" s="14"/>
      <c r="D223" s="14"/>
      <c r="E223" s="14"/>
      <c r="F223" s="15" t="s">
        <v>188</v>
      </c>
      <c r="G223" s="15" t="s">
        <v>191</v>
      </c>
      <c r="H223" s="14" t="s">
        <v>66</v>
      </c>
      <c r="I223" s="16">
        <v>2</v>
      </c>
      <c r="J223" s="17">
        <v>1</v>
      </c>
      <c r="K223" s="14" t="s">
        <v>67</v>
      </c>
      <c r="L223" s="14" t="s">
        <v>68</v>
      </c>
      <c r="M223" s="14"/>
      <c r="N223" s="14"/>
      <c r="O223" s="15"/>
      <c r="P223" s="19">
        <v>0</v>
      </c>
      <c r="Q223" s="19">
        <v>0</v>
      </c>
      <c r="R223" s="19">
        <v>0</v>
      </c>
      <c r="S223" s="19">
        <v>0</v>
      </c>
      <c r="T223" s="18">
        <v>2</v>
      </c>
      <c r="U223" s="14" t="s">
        <v>69</v>
      </c>
      <c r="V223" s="14" t="s">
        <v>69</v>
      </c>
      <c r="W223" s="14" t="s">
        <v>69</v>
      </c>
      <c r="X223" s="14" t="s">
        <v>69</v>
      </c>
      <c r="Y223" s="14" t="s">
        <v>69</v>
      </c>
      <c r="AM223">
        <f>COUNTIF(P223:T223,"&gt;0")</f>
      </c>
      <c r="AN223">
        <f>COUNTIF(P223,"&gt;0")</f>
      </c>
      <c r="AO223">
        <f>COUNTIF(Q223,"&gt;0")</f>
      </c>
      <c r="AP223">
        <f>COUNTIF(R223,"&gt;0")</f>
      </c>
      <c r="AQ223">
        <f>COUNTIF(S223,"&gt;0")</f>
      </c>
      <c r="AR223">
        <f>COUNTIF(T223,"&gt;0")</f>
      </c>
      <c r="AX223" t="s">
        <v>332</v>
      </c>
      <c r="AY223" t="s">
        <v>339</v>
      </c>
    </row>
    <row r="224" ht="18" customHeight="1" spans="1:51" x14ac:dyDescent="0.25">
      <c r="A224" s="14"/>
      <c r="B224" s="14"/>
      <c r="C224" s="14"/>
      <c r="D224" s="14"/>
      <c r="E224" s="14"/>
      <c r="F224" s="15"/>
      <c r="G224" s="15"/>
      <c r="H224" s="14" t="s">
        <v>71</v>
      </c>
      <c r="I224" s="16"/>
      <c r="J224" s="17"/>
      <c r="K224" s="14"/>
      <c r="L224" s="14"/>
      <c r="M224" s="14"/>
      <c r="N224" s="14"/>
      <c r="O224" s="15"/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1" t="s">
        <v>69</v>
      </c>
      <c r="V224" s="21" t="s">
        <v>69</v>
      </c>
      <c r="W224" s="21" t="s">
        <v>69</v>
      </c>
      <c r="X224" s="21" t="s">
        <v>69</v>
      </c>
      <c r="Y224" s="21" t="s">
        <v>69</v>
      </c>
      <c r="AL224">
        <f>COUNTIF(P224:T224,"&gt;0")</f>
      </c>
      <c r="AS224">
        <f>COUNTIF(P224,"&gt;0")</f>
      </c>
      <c r="AT224">
        <f>COUNTIF(Q224,"&gt;0")</f>
      </c>
      <c r="AU224">
        <f>COUNTIF(R224,"&gt;0")</f>
      </c>
      <c r="AV224">
        <f>COUNTIF(S224,"&gt;0")</f>
      </c>
      <c r="AW224">
        <f>COUNTIF(T224,"&gt;0")</f>
      </c>
      <c r="AX224" t="s">
        <v>332</v>
      </c>
      <c r="AY224" t="s">
        <v>339</v>
      </c>
    </row>
    <row r="225" ht="28" customHeight="1" spans="1:51" x14ac:dyDescent="0.25">
      <c r="A225" s="14"/>
      <c r="B225" s="14"/>
      <c r="C225" s="14"/>
      <c r="D225" s="14"/>
      <c r="E225" s="14"/>
      <c r="F225" s="15" t="s">
        <v>123</v>
      </c>
      <c r="G225" s="15" t="s">
        <v>193</v>
      </c>
      <c r="H225" s="14" t="s">
        <v>66</v>
      </c>
      <c r="I225" s="16">
        <v>2</v>
      </c>
      <c r="J225" s="17">
        <v>1</v>
      </c>
      <c r="K225" s="14" t="s">
        <v>67</v>
      </c>
      <c r="L225" s="14" t="s">
        <v>68</v>
      </c>
      <c r="M225" s="14"/>
      <c r="N225" s="14"/>
      <c r="O225" s="15"/>
      <c r="P225" s="18">
        <v>2</v>
      </c>
      <c r="Q225" s="19">
        <v>0</v>
      </c>
      <c r="R225" s="19">
        <v>0</v>
      </c>
      <c r="S225" s="19">
        <v>0</v>
      </c>
      <c r="T225" s="19">
        <v>0</v>
      </c>
      <c r="U225" s="14" t="s">
        <v>69</v>
      </c>
      <c r="V225" s="14" t="s">
        <v>69</v>
      </c>
      <c r="W225" s="14" t="s">
        <v>69</v>
      </c>
      <c r="X225" s="14" t="s">
        <v>69</v>
      </c>
      <c r="Y225" s="14" t="s">
        <v>69</v>
      </c>
      <c r="AM225">
        <f>COUNTIF(P225:T225,"&gt;0")</f>
      </c>
      <c r="AN225">
        <f>COUNTIF(P225,"&gt;0")</f>
      </c>
      <c r="AO225">
        <f>COUNTIF(Q225,"&gt;0")</f>
      </c>
      <c r="AP225">
        <f>COUNTIF(R225,"&gt;0")</f>
      </c>
      <c r="AQ225">
        <f>COUNTIF(S225,"&gt;0")</f>
      </c>
      <c r="AR225">
        <f>COUNTIF(T225,"&gt;0")</f>
      </c>
      <c r="AX225" t="s">
        <v>332</v>
      </c>
      <c r="AY225" t="s">
        <v>340</v>
      </c>
    </row>
    <row r="226" ht="18" customHeight="1" spans="1:51" x14ac:dyDescent="0.25">
      <c r="A226" s="14"/>
      <c r="B226" s="14"/>
      <c r="C226" s="14"/>
      <c r="D226" s="14"/>
      <c r="E226" s="14"/>
      <c r="F226" s="15"/>
      <c r="G226" s="15"/>
      <c r="H226" s="14" t="s">
        <v>71</v>
      </c>
      <c r="I226" s="16"/>
      <c r="J226" s="17"/>
      <c r="K226" s="14"/>
      <c r="L226" s="14"/>
      <c r="M226" s="14"/>
      <c r="N226" s="14"/>
      <c r="O226" s="15"/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1" t="s">
        <v>69</v>
      </c>
      <c r="V226" s="21" t="s">
        <v>69</v>
      </c>
      <c r="W226" s="21" t="s">
        <v>69</v>
      </c>
      <c r="X226" s="21" t="s">
        <v>69</v>
      </c>
      <c r="Y226" s="21" t="s">
        <v>69</v>
      </c>
      <c r="AL226">
        <f>COUNTIF(P226:T226,"&gt;0")</f>
      </c>
      <c r="AS226">
        <f>COUNTIF(P226,"&gt;0")</f>
      </c>
      <c r="AT226">
        <f>COUNTIF(Q226,"&gt;0")</f>
      </c>
      <c r="AU226">
        <f>COUNTIF(R226,"&gt;0")</f>
      </c>
      <c r="AV226">
        <f>COUNTIF(S226,"&gt;0")</f>
      </c>
      <c r="AW226">
        <f>COUNTIF(T226,"&gt;0")</f>
      </c>
      <c r="AX226" t="s">
        <v>332</v>
      </c>
      <c r="AY226" t="s">
        <v>340</v>
      </c>
    </row>
    <row r="227" ht="28" customHeight="1" spans="1:51" x14ac:dyDescent="0.25">
      <c r="A227" s="14"/>
      <c r="B227" s="14"/>
      <c r="C227" s="14"/>
      <c r="D227" s="14"/>
      <c r="E227" s="14"/>
      <c r="F227" s="15" t="s">
        <v>195</v>
      </c>
      <c r="G227" s="15" t="s">
        <v>196</v>
      </c>
      <c r="H227" s="14" t="s">
        <v>66</v>
      </c>
      <c r="I227" s="16">
        <v>2</v>
      </c>
      <c r="J227" s="17">
        <v>1</v>
      </c>
      <c r="K227" s="14" t="s">
        <v>67</v>
      </c>
      <c r="L227" s="14" t="s">
        <v>68</v>
      </c>
      <c r="M227" s="14"/>
      <c r="N227" s="14"/>
      <c r="O227" s="15"/>
      <c r="P227" s="19">
        <v>0</v>
      </c>
      <c r="Q227" s="18">
        <v>2</v>
      </c>
      <c r="R227" s="19">
        <v>0</v>
      </c>
      <c r="S227" s="19">
        <v>0</v>
      </c>
      <c r="T227" s="19">
        <v>0</v>
      </c>
      <c r="U227" s="14" t="s">
        <v>69</v>
      </c>
      <c r="V227" s="14" t="s">
        <v>69</v>
      </c>
      <c r="W227" s="14" t="s">
        <v>69</v>
      </c>
      <c r="X227" s="14" t="s">
        <v>69</v>
      </c>
      <c r="Y227" s="14" t="s">
        <v>69</v>
      </c>
      <c r="AM227">
        <f>COUNTIF(P227:T227,"&gt;0")</f>
      </c>
      <c r="AN227">
        <f>COUNTIF(P227,"&gt;0")</f>
      </c>
      <c r="AO227">
        <f>COUNTIF(Q227,"&gt;0")</f>
      </c>
      <c r="AP227">
        <f>COUNTIF(R227,"&gt;0")</f>
      </c>
      <c r="AQ227">
        <f>COUNTIF(S227,"&gt;0")</f>
      </c>
      <c r="AR227">
        <f>COUNTIF(T227,"&gt;0")</f>
      </c>
      <c r="AX227" t="s">
        <v>332</v>
      </c>
      <c r="AY227" t="s">
        <v>341</v>
      </c>
    </row>
    <row r="228" ht="18" customHeight="1" spans="1:51" x14ac:dyDescent="0.25">
      <c r="A228" s="14"/>
      <c r="B228" s="14"/>
      <c r="C228" s="14"/>
      <c r="D228" s="14"/>
      <c r="E228" s="14"/>
      <c r="F228" s="15"/>
      <c r="G228" s="15"/>
      <c r="H228" s="14" t="s">
        <v>71</v>
      </c>
      <c r="I228" s="16"/>
      <c r="J228" s="17"/>
      <c r="K228" s="14"/>
      <c r="L228" s="14"/>
      <c r="M228" s="14"/>
      <c r="N228" s="14"/>
      <c r="O228" s="15"/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1" t="s">
        <v>69</v>
      </c>
      <c r="V228" s="21" t="s">
        <v>69</v>
      </c>
      <c r="W228" s="21" t="s">
        <v>69</v>
      </c>
      <c r="X228" s="21" t="s">
        <v>69</v>
      </c>
      <c r="Y228" s="21" t="s">
        <v>69</v>
      </c>
      <c r="AL228">
        <f>COUNTIF(P228:T228,"&gt;0")</f>
      </c>
      <c r="AS228">
        <f>COUNTIF(P228,"&gt;0")</f>
      </c>
      <c r="AT228">
        <f>COUNTIF(Q228,"&gt;0")</f>
      </c>
      <c r="AU228">
        <f>COUNTIF(R228,"&gt;0")</f>
      </c>
      <c r="AV228">
        <f>COUNTIF(S228,"&gt;0")</f>
      </c>
      <c r="AW228">
        <f>COUNTIF(T228,"&gt;0")</f>
      </c>
      <c r="AX228" t="s">
        <v>332</v>
      </c>
      <c r="AY228" t="s">
        <v>341</v>
      </c>
    </row>
    <row r="229" ht="28" customHeight="1" spans="1:51" x14ac:dyDescent="0.25">
      <c r="A229" s="14"/>
      <c r="B229" s="14"/>
      <c r="C229" s="14"/>
      <c r="D229" s="14"/>
      <c r="E229" s="14"/>
      <c r="F229" s="15" t="s">
        <v>342</v>
      </c>
      <c r="G229" s="15" t="s">
        <v>343</v>
      </c>
      <c r="H229" s="14" t="s">
        <v>66</v>
      </c>
      <c r="I229" s="16">
        <v>2</v>
      </c>
      <c r="J229" s="17">
        <v>1</v>
      </c>
      <c r="K229" s="14" t="s">
        <v>67</v>
      </c>
      <c r="L229" s="14" t="s">
        <v>68</v>
      </c>
      <c r="M229" s="14"/>
      <c r="N229" s="14"/>
      <c r="O229" s="15"/>
      <c r="P229" s="19">
        <v>0</v>
      </c>
      <c r="Q229" s="19">
        <v>0</v>
      </c>
      <c r="R229" s="18">
        <v>2</v>
      </c>
      <c r="S229" s="19">
        <v>0</v>
      </c>
      <c r="T229" s="19">
        <v>0</v>
      </c>
      <c r="U229" s="14" t="s">
        <v>69</v>
      </c>
      <c r="V229" s="14" t="s">
        <v>69</v>
      </c>
      <c r="W229" s="14" t="s">
        <v>69</v>
      </c>
      <c r="X229" s="14" t="s">
        <v>69</v>
      </c>
      <c r="Y229" s="14" t="s">
        <v>69</v>
      </c>
      <c r="AM229">
        <f>COUNTIF(P229:T229,"&gt;0")</f>
      </c>
      <c r="AN229">
        <f>COUNTIF(P229,"&gt;0")</f>
      </c>
      <c r="AO229">
        <f>COUNTIF(Q229,"&gt;0")</f>
      </c>
      <c r="AP229">
        <f>COUNTIF(R229,"&gt;0")</f>
      </c>
      <c r="AQ229">
        <f>COUNTIF(S229,"&gt;0")</f>
      </c>
      <c r="AR229">
        <f>COUNTIF(T229,"&gt;0")</f>
      </c>
      <c r="AX229" t="s">
        <v>332</v>
      </c>
      <c r="AY229" t="s">
        <v>344</v>
      </c>
    </row>
    <row r="230" ht="18" customHeight="1" spans="1:51" x14ac:dyDescent="0.25">
      <c r="A230" s="14"/>
      <c r="B230" s="14"/>
      <c r="C230" s="14"/>
      <c r="D230" s="14"/>
      <c r="E230" s="14"/>
      <c r="F230" s="15"/>
      <c r="G230" s="15"/>
      <c r="H230" s="14" t="s">
        <v>71</v>
      </c>
      <c r="I230" s="16"/>
      <c r="J230" s="17"/>
      <c r="K230" s="14"/>
      <c r="L230" s="14"/>
      <c r="M230" s="14"/>
      <c r="N230" s="14"/>
      <c r="O230" s="15"/>
      <c r="P230" s="20">
        <v>0</v>
      </c>
      <c r="Q230" s="20">
        <v>0</v>
      </c>
      <c r="R230" s="20">
        <v>0</v>
      </c>
      <c r="S230" s="20">
        <v>0</v>
      </c>
      <c r="T230" s="20">
        <v>0</v>
      </c>
      <c r="U230" s="21" t="s">
        <v>69</v>
      </c>
      <c r="V230" s="21" t="s">
        <v>69</v>
      </c>
      <c r="W230" s="21" t="s">
        <v>69</v>
      </c>
      <c r="X230" s="21" t="s">
        <v>69</v>
      </c>
      <c r="Y230" s="21" t="s">
        <v>69</v>
      </c>
      <c r="AL230">
        <f>COUNTIF(P230:T230,"&gt;0")</f>
      </c>
      <c r="AS230">
        <f>COUNTIF(P230,"&gt;0")</f>
      </c>
      <c r="AT230">
        <f>COUNTIF(Q230,"&gt;0")</f>
      </c>
      <c r="AU230">
        <f>COUNTIF(R230,"&gt;0")</f>
      </c>
      <c r="AV230">
        <f>COUNTIF(S230,"&gt;0")</f>
      </c>
      <c r="AW230">
        <f>COUNTIF(T230,"&gt;0")</f>
      </c>
      <c r="AX230" t="s">
        <v>332</v>
      </c>
      <c r="AY230" t="s">
        <v>344</v>
      </c>
    </row>
    <row r="231" ht="28" customHeight="1" spans="1:51" x14ac:dyDescent="0.25">
      <c r="A231" s="14"/>
      <c r="B231" s="14"/>
      <c r="C231" s="14"/>
      <c r="D231" s="14"/>
      <c r="E231" s="14"/>
      <c r="F231" s="15" t="s">
        <v>201</v>
      </c>
      <c r="G231" s="15" t="s">
        <v>202</v>
      </c>
      <c r="H231" s="14" t="s">
        <v>66</v>
      </c>
      <c r="I231" s="16">
        <v>2</v>
      </c>
      <c r="J231" s="17">
        <v>1</v>
      </c>
      <c r="K231" s="14" t="s">
        <v>67</v>
      </c>
      <c r="L231" s="14" t="s">
        <v>68</v>
      </c>
      <c r="M231" s="14"/>
      <c r="N231" s="14"/>
      <c r="O231" s="15"/>
      <c r="P231" s="19">
        <v>0</v>
      </c>
      <c r="Q231" s="19">
        <v>0</v>
      </c>
      <c r="R231" s="19">
        <v>0</v>
      </c>
      <c r="S231" s="18">
        <v>2</v>
      </c>
      <c r="T231" s="19">
        <v>0</v>
      </c>
      <c r="U231" s="14" t="s">
        <v>69</v>
      </c>
      <c r="V231" s="14" t="s">
        <v>69</v>
      </c>
      <c r="W231" s="14" t="s">
        <v>69</v>
      </c>
      <c r="X231" s="14" t="s">
        <v>69</v>
      </c>
      <c r="Y231" s="14" t="s">
        <v>69</v>
      </c>
      <c r="AM231">
        <f>COUNTIF(P231:T231,"&gt;0")</f>
      </c>
      <c r="AN231">
        <f>COUNTIF(P231,"&gt;0")</f>
      </c>
      <c r="AO231">
        <f>COUNTIF(Q231,"&gt;0")</f>
      </c>
      <c r="AP231">
        <f>COUNTIF(R231,"&gt;0")</f>
      </c>
      <c r="AQ231">
        <f>COUNTIF(S231,"&gt;0")</f>
      </c>
      <c r="AR231">
        <f>COUNTIF(T231,"&gt;0")</f>
      </c>
      <c r="AX231" t="s">
        <v>332</v>
      </c>
      <c r="AY231" t="s">
        <v>345</v>
      </c>
    </row>
    <row r="232" ht="18" customHeight="1" spans="1:51" x14ac:dyDescent="0.25">
      <c r="A232" s="14"/>
      <c r="B232" s="14"/>
      <c r="C232" s="14"/>
      <c r="D232" s="14"/>
      <c r="E232" s="14"/>
      <c r="F232" s="15"/>
      <c r="G232" s="15"/>
      <c r="H232" s="14" t="s">
        <v>71</v>
      </c>
      <c r="I232" s="16"/>
      <c r="J232" s="17"/>
      <c r="K232" s="14"/>
      <c r="L232" s="14"/>
      <c r="M232" s="14"/>
      <c r="N232" s="14"/>
      <c r="O232" s="15"/>
      <c r="P232" s="20">
        <v>0</v>
      </c>
      <c r="Q232" s="20">
        <v>0</v>
      </c>
      <c r="R232" s="20">
        <v>0</v>
      </c>
      <c r="S232" s="20">
        <v>0</v>
      </c>
      <c r="T232" s="20">
        <v>0</v>
      </c>
      <c r="U232" s="21" t="s">
        <v>69</v>
      </c>
      <c r="V232" s="21" t="s">
        <v>69</v>
      </c>
      <c r="W232" s="21" t="s">
        <v>69</v>
      </c>
      <c r="X232" s="21" t="s">
        <v>69</v>
      </c>
      <c r="Y232" s="21" t="s">
        <v>69</v>
      </c>
      <c r="AL232">
        <f>COUNTIF(P232:T232,"&gt;0")</f>
      </c>
      <c r="AS232">
        <f>COUNTIF(P232,"&gt;0")</f>
      </c>
      <c r="AT232">
        <f>COUNTIF(Q232,"&gt;0")</f>
      </c>
      <c r="AU232">
        <f>COUNTIF(R232,"&gt;0")</f>
      </c>
      <c r="AV232">
        <f>COUNTIF(S232,"&gt;0")</f>
      </c>
      <c r="AW232">
        <f>COUNTIF(T232,"&gt;0")</f>
      </c>
      <c r="AX232" t="s">
        <v>332</v>
      </c>
      <c r="AY232" t="s">
        <v>345</v>
      </c>
    </row>
    <row r="233" ht="28" customHeight="1" spans="1:51" x14ac:dyDescent="0.25">
      <c r="A233" s="14"/>
      <c r="B233" s="14" t="s">
        <v>346</v>
      </c>
      <c r="C233" s="14" t="s">
        <v>347</v>
      </c>
      <c r="D233" s="14" t="s">
        <v>348</v>
      </c>
      <c r="E233" s="14" t="s">
        <v>118</v>
      </c>
      <c r="F233" s="15" t="s">
        <v>176</v>
      </c>
      <c r="G233" s="15" t="s">
        <v>177</v>
      </c>
      <c r="H233" s="14" t="s">
        <v>66</v>
      </c>
      <c r="I233" s="16">
        <v>2</v>
      </c>
      <c r="J233" s="17">
        <v>1</v>
      </c>
      <c r="K233" s="14" t="s">
        <v>67</v>
      </c>
      <c r="L233" s="14" t="s">
        <v>68</v>
      </c>
      <c r="M233" s="14"/>
      <c r="N233" s="14"/>
      <c r="O233" s="15"/>
      <c r="P233" s="19">
        <v>0</v>
      </c>
      <c r="Q233" s="19">
        <v>0</v>
      </c>
      <c r="R233" s="19">
        <v>0</v>
      </c>
      <c r="S233" s="19">
        <v>0</v>
      </c>
      <c r="T233" s="18">
        <v>2</v>
      </c>
      <c r="U233" s="14" t="s">
        <v>69</v>
      </c>
      <c r="V233" s="14" t="s">
        <v>69</v>
      </c>
      <c r="W233" s="14" t="s">
        <v>69</v>
      </c>
      <c r="X233" s="14" t="s">
        <v>69</v>
      </c>
      <c r="Y233" s="14" t="s">
        <v>69</v>
      </c>
      <c r="AM233">
        <f>COUNTIF(P233:T233,"&gt;0")</f>
      </c>
      <c r="AN233">
        <f>COUNTIF(P233,"&gt;0")</f>
      </c>
      <c r="AO233">
        <f>COUNTIF(Q233,"&gt;0")</f>
      </c>
      <c r="AP233">
        <f>COUNTIF(R233,"&gt;0")</f>
      </c>
      <c r="AQ233">
        <f>COUNTIF(S233,"&gt;0")</f>
      </c>
      <c r="AR233">
        <f>COUNTIF(T233,"&gt;0")</f>
      </c>
      <c r="AX233" t="s">
        <v>346</v>
      </c>
      <c r="AY233" t="s">
        <v>349</v>
      </c>
    </row>
    <row r="234" ht="18" customHeight="1" spans="1:51" x14ac:dyDescent="0.25">
      <c r="A234" s="14"/>
      <c r="B234" s="14"/>
      <c r="C234" s="14"/>
      <c r="D234" s="14"/>
      <c r="E234" s="14"/>
      <c r="F234" s="15"/>
      <c r="G234" s="15"/>
      <c r="H234" s="14" t="s">
        <v>71</v>
      </c>
      <c r="I234" s="16"/>
      <c r="J234" s="17"/>
      <c r="K234" s="14"/>
      <c r="L234" s="14"/>
      <c r="M234" s="14"/>
      <c r="N234" s="14"/>
      <c r="O234" s="15"/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1" t="s">
        <v>69</v>
      </c>
      <c r="V234" s="21" t="s">
        <v>69</v>
      </c>
      <c r="W234" s="21" t="s">
        <v>69</v>
      </c>
      <c r="X234" s="21" t="s">
        <v>69</v>
      </c>
      <c r="Y234" s="21" t="s">
        <v>69</v>
      </c>
      <c r="AL234">
        <f>COUNTIF(P234:T234,"&gt;0")</f>
      </c>
      <c r="AS234">
        <f>COUNTIF(P234,"&gt;0")</f>
      </c>
      <c r="AT234">
        <f>COUNTIF(Q234,"&gt;0")</f>
      </c>
      <c r="AU234">
        <f>COUNTIF(R234,"&gt;0")</f>
      </c>
      <c r="AV234">
        <f>COUNTIF(S234,"&gt;0")</f>
      </c>
      <c r="AW234">
        <f>COUNTIF(T234,"&gt;0")</f>
      </c>
      <c r="AX234" t="s">
        <v>346</v>
      </c>
      <c r="AY234" t="s">
        <v>349</v>
      </c>
    </row>
    <row r="235" ht="28" customHeight="1" spans="1:51" x14ac:dyDescent="0.25">
      <c r="A235" s="14"/>
      <c r="B235" s="14"/>
      <c r="C235" s="14"/>
      <c r="D235" s="14"/>
      <c r="E235" s="14"/>
      <c r="F235" s="15" t="s">
        <v>179</v>
      </c>
      <c r="G235" s="15" t="s">
        <v>180</v>
      </c>
      <c r="H235" s="14" t="s">
        <v>66</v>
      </c>
      <c r="I235" s="16">
        <v>2</v>
      </c>
      <c r="J235" s="17">
        <v>1</v>
      </c>
      <c r="K235" s="14" t="s">
        <v>67</v>
      </c>
      <c r="L235" s="14" t="s">
        <v>68</v>
      </c>
      <c r="M235" s="14"/>
      <c r="N235" s="14"/>
      <c r="O235" s="15"/>
      <c r="P235" s="18">
        <v>2</v>
      </c>
      <c r="Q235" s="19">
        <v>0</v>
      </c>
      <c r="R235" s="19">
        <v>0</v>
      </c>
      <c r="S235" s="19">
        <v>0</v>
      </c>
      <c r="T235" s="19">
        <v>0</v>
      </c>
      <c r="U235" s="14" t="s">
        <v>69</v>
      </c>
      <c r="V235" s="14" t="s">
        <v>69</v>
      </c>
      <c r="W235" s="14" t="s">
        <v>69</v>
      </c>
      <c r="X235" s="14" t="s">
        <v>69</v>
      </c>
      <c r="Y235" s="14" t="s">
        <v>69</v>
      </c>
      <c r="AM235">
        <f>COUNTIF(P235:T235,"&gt;0")</f>
      </c>
      <c r="AN235">
        <f>COUNTIF(P235,"&gt;0")</f>
      </c>
      <c r="AO235">
        <f>COUNTIF(Q235,"&gt;0")</f>
      </c>
      <c r="AP235">
        <f>COUNTIF(R235,"&gt;0")</f>
      </c>
      <c r="AQ235">
        <f>COUNTIF(S235,"&gt;0")</f>
      </c>
      <c r="AR235">
        <f>COUNTIF(T235,"&gt;0")</f>
      </c>
      <c r="AX235" t="s">
        <v>346</v>
      </c>
      <c r="AY235" t="s">
        <v>350</v>
      </c>
    </row>
    <row r="236" ht="18" customHeight="1" spans="1:51" x14ac:dyDescent="0.25">
      <c r="A236" s="14"/>
      <c r="B236" s="14"/>
      <c r="C236" s="14"/>
      <c r="D236" s="14"/>
      <c r="E236" s="14"/>
      <c r="F236" s="15"/>
      <c r="G236" s="15"/>
      <c r="H236" s="14" t="s">
        <v>71</v>
      </c>
      <c r="I236" s="16"/>
      <c r="J236" s="17"/>
      <c r="K236" s="14"/>
      <c r="L236" s="14"/>
      <c r="M236" s="14"/>
      <c r="N236" s="14"/>
      <c r="O236" s="15"/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1" t="s">
        <v>69</v>
      </c>
      <c r="V236" s="21" t="s">
        <v>69</v>
      </c>
      <c r="W236" s="21" t="s">
        <v>69</v>
      </c>
      <c r="X236" s="21" t="s">
        <v>69</v>
      </c>
      <c r="Y236" s="21" t="s">
        <v>69</v>
      </c>
      <c r="AL236">
        <f>COUNTIF(P236:T236,"&gt;0")</f>
      </c>
      <c r="AS236">
        <f>COUNTIF(P236,"&gt;0")</f>
      </c>
      <c r="AT236">
        <f>COUNTIF(Q236,"&gt;0")</f>
      </c>
      <c r="AU236">
        <f>COUNTIF(R236,"&gt;0")</f>
      </c>
      <c r="AV236">
        <f>COUNTIF(S236,"&gt;0")</f>
      </c>
      <c r="AW236">
        <f>COUNTIF(T236,"&gt;0")</f>
      </c>
      <c r="AX236" t="s">
        <v>346</v>
      </c>
      <c r="AY236" t="s">
        <v>350</v>
      </c>
    </row>
    <row r="237" ht="28" customHeight="1" spans="1:51" x14ac:dyDescent="0.25">
      <c r="A237" s="14"/>
      <c r="B237" s="14"/>
      <c r="C237" s="14"/>
      <c r="D237" s="14"/>
      <c r="E237" s="14"/>
      <c r="F237" s="15" t="s">
        <v>182</v>
      </c>
      <c r="G237" s="15" t="s">
        <v>183</v>
      </c>
      <c r="H237" s="14" t="s">
        <v>66</v>
      </c>
      <c r="I237" s="16">
        <v>2</v>
      </c>
      <c r="J237" s="17">
        <v>1</v>
      </c>
      <c r="K237" s="14" t="s">
        <v>67</v>
      </c>
      <c r="L237" s="14" t="s">
        <v>68</v>
      </c>
      <c r="M237" s="14"/>
      <c r="N237" s="14"/>
      <c r="O237" s="15"/>
      <c r="P237" s="19">
        <v>0</v>
      </c>
      <c r="Q237" s="18">
        <v>2</v>
      </c>
      <c r="R237" s="19">
        <v>0</v>
      </c>
      <c r="S237" s="19">
        <v>0</v>
      </c>
      <c r="T237" s="19">
        <v>0</v>
      </c>
      <c r="U237" s="14" t="s">
        <v>69</v>
      </c>
      <c r="V237" s="14" t="s">
        <v>69</v>
      </c>
      <c r="W237" s="14" t="s">
        <v>69</v>
      </c>
      <c r="X237" s="14" t="s">
        <v>69</v>
      </c>
      <c r="Y237" s="14" t="s">
        <v>69</v>
      </c>
      <c r="AM237">
        <f>COUNTIF(P237:T237,"&gt;0")</f>
      </c>
      <c r="AN237">
        <f>COUNTIF(P237,"&gt;0")</f>
      </c>
      <c r="AO237">
        <f>COUNTIF(Q237,"&gt;0")</f>
      </c>
      <c r="AP237">
        <f>COUNTIF(R237,"&gt;0")</f>
      </c>
      <c r="AQ237">
        <f>COUNTIF(S237,"&gt;0")</f>
      </c>
      <c r="AR237">
        <f>COUNTIF(T237,"&gt;0")</f>
      </c>
      <c r="AX237" t="s">
        <v>346</v>
      </c>
      <c r="AY237" t="s">
        <v>351</v>
      </c>
    </row>
    <row r="238" ht="18" customHeight="1" spans="1:51" x14ac:dyDescent="0.25">
      <c r="A238" s="14"/>
      <c r="B238" s="14"/>
      <c r="C238" s="14"/>
      <c r="D238" s="14"/>
      <c r="E238" s="14"/>
      <c r="F238" s="15"/>
      <c r="G238" s="15"/>
      <c r="H238" s="14" t="s">
        <v>71</v>
      </c>
      <c r="I238" s="16"/>
      <c r="J238" s="17"/>
      <c r="K238" s="14"/>
      <c r="L238" s="14"/>
      <c r="M238" s="14"/>
      <c r="N238" s="14"/>
      <c r="O238" s="15"/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1" t="s">
        <v>69</v>
      </c>
      <c r="V238" s="21" t="s">
        <v>69</v>
      </c>
      <c r="W238" s="21" t="s">
        <v>69</v>
      </c>
      <c r="X238" s="21" t="s">
        <v>69</v>
      </c>
      <c r="Y238" s="21" t="s">
        <v>69</v>
      </c>
      <c r="AL238">
        <f>COUNTIF(P238:T238,"&gt;0")</f>
      </c>
      <c r="AS238">
        <f>COUNTIF(P238,"&gt;0")</f>
      </c>
      <c r="AT238">
        <f>COUNTIF(Q238,"&gt;0")</f>
      </c>
      <c r="AU238">
        <f>COUNTIF(R238,"&gt;0")</f>
      </c>
      <c r="AV238">
        <f>COUNTIF(S238,"&gt;0")</f>
      </c>
      <c r="AW238">
        <f>COUNTIF(T238,"&gt;0")</f>
      </c>
      <c r="AX238" t="s">
        <v>346</v>
      </c>
      <c r="AY238" t="s">
        <v>351</v>
      </c>
    </row>
    <row r="239" ht="28" customHeight="1" spans="1:51" x14ac:dyDescent="0.25">
      <c r="A239" s="14"/>
      <c r="B239" s="14"/>
      <c r="C239" s="14"/>
      <c r="D239" s="14"/>
      <c r="E239" s="14"/>
      <c r="F239" s="15" t="s">
        <v>185</v>
      </c>
      <c r="G239" s="15" t="s">
        <v>186</v>
      </c>
      <c r="H239" s="14" t="s">
        <v>66</v>
      </c>
      <c r="I239" s="16">
        <v>2</v>
      </c>
      <c r="J239" s="17">
        <v>1</v>
      </c>
      <c r="K239" s="14" t="s">
        <v>67</v>
      </c>
      <c r="L239" s="14" t="s">
        <v>68</v>
      </c>
      <c r="M239" s="14"/>
      <c r="N239" s="14"/>
      <c r="O239" s="15"/>
      <c r="P239" s="19">
        <v>0</v>
      </c>
      <c r="Q239" s="19">
        <v>0</v>
      </c>
      <c r="R239" s="18">
        <v>2</v>
      </c>
      <c r="S239" s="19">
        <v>0</v>
      </c>
      <c r="T239" s="19">
        <v>0</v>
      </c>
      <c r="U239" s="14" t="s">
        <v>69</v>
      </c>
      <c r="V239" s="14" t="s">
        <v>69</v>
      </c>
      <c r="W239" s="14" t="s">
        <v>69</v>
      </c>
      <c r="X239" s="14" t="s">
        <v>69</v>
      </c>
      <c r="Y239" s="14" t="s">
        <v>69</v>
      </c>
      <c r="AM239">
        <f>COUNTIF(P239:T239,"&gt;0")</f>
      </c>
      <c r="AN239">
        <f>COUNTIF(P239,"&gt;0")</f>
      </c>
      <c r="AO239">
        <f>COUNTIF(Q239,"&gt;0")</f>
      </c>
      <c r="AP239">
        <f>COUNTIF(R239,"&gt;0")</f>
      </c>
      <c r="AQ239">
        <f>COUNTIF(S239,"&gt;0")</f>
      </c>
      <c r="AR239">
        <f>COUNTIF(T239,"&gt;0")</f>
      </c>
      <c r="AX239" t="s">
        <v>346</v>
      </c>
      <c r="AY239" t="s">
        <v>352</v>
      </c>
    </row>
    <row r="240" ht="18" customHeight="1" spans="1:51" x14ac:dyDescent="0.25">
      <c r="A240" s="14"/>
      <c r="B240" s="14"/>
      <c r="C240" s="14"/>
      <c r="D240" s="14"/>
      <c r="E240" s="14"/>
      <c r="F240" s="15"/>
      <c r="G240" s="15"/>
      <c r="H240" s="14" t="s">
        <v>71</v>
      </c>
      <c r="I240" s="16"/>
      <c r="J240" s="17"/>
      <c r="K240" s="14"/>
      <c r="L240" s="14"/>
      <c r="M240" s="14"/>
      <c r="N240" s="14"/>
      <c r="O240" s="15"/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1" t="s">
        <v>69</v>
      </c>
      <c r="V240" s="21" t="s">
        <v>69</v>
      </c>
      <c r="W240" s="21" t="s">
        <v>69</v>
      </c>
      <c r="X240" s="21" t="s">
        <v>69</v>
      </c>
      <c r="Y240" s="21" t="s">
        <v>69</v>
      </c>
      <c r="AL240">
        <f>COUNTIF(P240:T240,"&gt;0")</f>
      </c>
      <c r="AS240">
        <f>COUNTIF(P240,"&gt;0")</f>
      </c>
      <c r="AT240">
        <f>COUNTIF(Q240,"&gt;0")</f>
      </c>
      <c r="AU240">
        <f>COUNTIF(R240,"&gt;0")</f>
      </c>
      <c r="AV240">
        <f>COUNTIF(S240,"&gt;0")</f>
      </c>
      <c r="AW240">
        <f>COUNTIF(T240,"&gt;0")</f>
      </c>
      <c r="AX240" t="s">
        <v>346</v>
      </c>
      <c r="AY240" t="s">
        <v>352</v>
      </c>
    </row>
    <row r="241" ht="28" customHeight="1" spans="1:51" x14ac:dyDescent="0.25">
      <c r="A241" s="14"/>
      <c r="B241" s="14"/>
      <c r="C241" s="14"/>
      <c r="D241" s="14"/>
      <c r="E241" s="14"/>
      <c r="F241" s="15" t="s">
        <v>188</v>
      </c>
      <c r="G241" s="15" t="s">
        <v>189</v>
      </c>
      <c r="H241" s="14" t="s">
        <v>66</v>
      </c>
      <c r="I241" s="16">
        <v>2</v>
      </c>
      <c r="J241" s="17">
        <v>1</v>
      </c>
      <c r="K241" s="14" t="s">
        <v>67</v>
      </c>
      <c r="L241" s="14" t="s">
        <v>68</v>
      </c>
      <c r="M241" s="14"/>
      <c r="N241" s="14"/>
      <c r="O241" s="15"/>
      <c r="P241" s="19">
        <v>0</v>
      </c>
      <c r="Q241" s="19">
        <v>0</v>
      </c>
      <c r="R241" s="19">
        <v>0</v>
      </c>
      <c r="S241" s="18">
        <v>2</v>
      </c>
      <c r="T241" s="19">
        <v>0</v>
      </c>
      <c r="U241" s="14" t="s">
        <v>69</v>
      </c>
      <c r="V241" s="14" t="s">
        <v>69</v>
      </c>
      <c r="W241" s="14" t="s">
        <v>69</v>
      </c>
      <c r="X241" s="14" t="s">
        <v>69</v>
      </c>
      <c r="Y241" s="14" t="s">
        <v>69</v>
      </c>
      <c r="AM241">
        <f>COUNTIF(P241:T241,"&gt;0")</f>
      </c>
      <c r="AN241">
        <f>COUNTIF(P241,"&gt;0")</f>
      </c>
      <c r="AO241">
        <f>COUNTIF(Q241,"&gt;0")</f>
      </c>
      <c r="AP241">
        <f>COUNTIF(R241,"&gt;0")</f>
      </c>
      <c r="AQ241">
        <f>COUNTIF(S241,"&gt;0")</f>
      </c>
      <c r="AR241">
        <f>COUNTIF(T241,"&gt;0")</f>
      </c>
      <c r="AX241" t="s">
        <v>346</v>
      </c>
      <c r="AY241" t="s">
        <v>353</v>
      </c>
    </row>
    <row r="242" ht="18" customHeight="1" spans="1:51" x14ac:dyDescent="0.25">
      <c r="A242" s="14"/>
      <c r="B242" s="14"/>
      <c r="C242" s="14"/>
      <c r="D242" s="14"/>
      <c r="E242" s="14"/>
      <c r="F242" s="15"/>
      <c r="G242" s="15"/>
      <c r="H242" s="14" t="s">
        <v>71</v>
      </c>
      <c r="I242" s="16"/>
      <c r="J242" s="17"/>
      <c r="K242" s="14"/>
      <c r="L242" s="14"/>
      <c r="M242" s="14"/>
      <c r="N242" s="14"/>
      <c r="O242" s="15"/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1" t="s">
        <v>69</v>
      </c>
      <c r="V242" s="21" t="s">
        <v>69</v>
      </c>
      <c r="W242" s="21" t="s">
        <v>69</v>
      </c>
      <c r="X242" s="21" t="s">
        <v>69</v>
      </c>
      <c r="Y242" s="21" t="s">
        <v>69</v>
      </c>
      <c r="AL242">
        <f>COUNTIF(P242:T242,"&gt;0")</f>
      </c>
      <c r="AS242">
        <f>COUNTIF(P242,"&gt;0")</f>
      </c>
      <c r="AT242">
        <f>COUNTIF(Q242,"&gt;0")</f>
      </c>
      <c r="AU242">
        <f>COUNTIF(R242,"&gt;0")</f>
      </c>
      <c r="AV242">
        <f>COUNTIF(S242,"&gt;0")</f>
      </c>
      <c r="AW242">
        <f>COUNTIF(T242,"&gt;0")</f>
      </c>
      <c r="AX242" t="s">
        <v>346</v>
      </c>
      <c r="AY242" t="s">
        <v>353</v>
      </c>
    </row>
    <row r="243" ht="28" customHeight="1" spans="1:51" x14ac:dyDescent="0.25">
      <c r="A243" s="14"/>
      <c r="B243" s="14"/>
      <c r="C243" s="14"/>
      <c r="D243" s="14"/>
      <c r="E243" s="14"/>
      <c r="F243" s="15" t="s">
        <v>188</v>
      </c>
      <c r="G243" s="15" t="s">
        <v>191</v>
      </c>
      <c r="H243" s="14" t="s">
        <v>66</v>
      </c>
      <c r="I243" s="16">
        <v>2</v>
      </c>
      <c r="J243" s="17">
        <v>1</v>
      </c>
      <c r="K243" s="14" t="s">
        <v>67</v>
      </c>
      <c r="L243" s="14" t="s">
        <v>68</v>
      </c>
      <c r="M243" s="14"/>
      <c r="N243" s="14"/>
      <c r="O243" s="15"/>
      <c r="P243" s="19">
        <v>0</v>
      </c>
      <c r="Q243" s="19">
        <v>0</v>
      </c>
      <c r="R243" s="19">
        <v>0</v>
      </c>
      <c r="S243" s="19">
        <v>0</v>
      </c>
      <c r="T243" s="18">
        <v>2</v>
      </c>
      <c r="U243" s="14" t="s">
        <v>69</v>
      </c>
      <c r="V243" s="14" t="s">
        <v>69</v>
      </c>
      <c r="W243" s="14" t="s">
        <v>69</v>
      </c>
      <c r="X243" s="14" t="s">
        <v>69</v>
      </c>
      <c r="Y243" s="14" t="s">
        <v>69</v>
      </c>
      <c r="AM243">
        <f>COUNTIF(P243:T243,"&gt;0")</f>
      </c>
      <c r="AN243">
        <f>COUNTIF(P243,"&gt;0")</f>
      </c>
      <c r="AO243">
        <f>COUNTIF(Q243,"&gt;0")</f>
      </c>
      <c r="AP243">
        <f>COUNTIF(R243,"&gt;0")</f>
      </c>
      <c r="AQ243">
        <f>COUNTIF(S243,"&gt;0")</f>
      </c>
      <c r="AR243">
        <f>COUNTIF(T243,"&gt;0")</f>
      </c>
      <c r="AX243" t="s">
        <v>346</v>
      </c>
      <c r="AY243" t="s">
        <v>354</v>
      </c>
    </row>
    <row r="244" ht="18" customHeight="1" spans="1:51" x14ac:dyDescent="0.25">
      <c r="A244" s="14"/>
      <c r="B244" s="14"/>
      <c r="C244" s="14"/>
      <c r="D244" s="14"/>
      <c r="E244" s="14"/>
      <c r="F244" s="15"/>
      <c r="G244" s="15"/>
      <c r="H244" s="14" t="s">
        <v>71</v>
      </c>
      <c r="I244" s="16"/>
      <c r="J244" s="17"/>
      <c r="K244" s="14"/>
      <c r="L244" s="14"/>
      <c r="M244" s="14"/>
      <c r="N244" s="14"/>
      <c r="O244" s="15"/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1" t="s">
        <v>69</v>
      </c>
      <c r="V244" s="21" t="s">
        <v>69</v>
      </c>
      <c r="W244" s="21" t="s">
        <v>69</v>
      </c>
      <c r="X244" s="21" t="s">
        <v>69</v>
      </c>
      <c r="Y244" s="21" t="s">
        <v>69</v>
      </c>
      <c r="AL244">
        <f>COUNTIF(P244:T244,"&gt;0")</f>
      </c>
      <c r="AS244">
        <f>COUNTIF(P244,"&gt;0")</f>
      </c>
      <c r="AT244">
        <f>COUNTIF(Q244,"&gt;0")</f>
      </c>
      <c r="AU244">
        <f>COUNTIF(R244,"&gt;0")</f>
      </c>
      <c r="AV244">
        <f>COUNTIF(S244,"&gt;0")</f>
      </c>
      <c r="AW244">
        <f>COUNTIF(T244,"&gt;0")</f>
      </c>
      <c r="AX244" t="s">
        <v>346</v>
      </c>
      <c r="AY244" t="s">
        <v>354</v>
      </c>
    </row>
    <row r="245" ht="28" customHeight="1" spans="1:51" x14ac:dyDescent="0.25">
      <c r="A245" s="14"/>
      <c r="B245" s="14"/>
      <c r="C245" s="14"/>
      <c r="D245" s="14"/>
      <c r="E245" s="14"/>
      <c r="F245" s="15" t="s">
        <v>123</v>
      </c>
      <c r="G245" s="15" t="s">
        <v>193</v>
      </c>
      <c r="H245" s="14" t="s">
        <v>66</v>
      </c>
      <c r="I245" s="16">
        <v>2</v>
      </c>
      <c r="J245" s="17">
        <v>1</v>
      </c>
      <c r="K245" s="14" t="s">
        <v>67</v>
      </c>
      <c r="L245" s="14" t="s">
        <v>68</v>
      </c>
      <c r="M245" s="14"/>
      <c r="N245" s="14"/>
      <c r="O245" s="15"/>
      <c r="P245" s="18">
        <v>2</v>
      </c>
      <c r="Q245" s="19">
        <v>0</v>
      </c>
      <c r="R245" s="19">
        <v>0</v>
      </c>
      <c r="S245" s="19">
        <v>0</v>
      </c>
      <c r="T245" s="19">
        <v>0</v>
      </c>
      <c r="U245" s="14" t="s">
        <v>69</v>
      </c>
      <c r="V245" s="14" t="s">
        <v>69</v>
      </c>
      <c r="W245" s="14" t="s">
        <v>69</v>
      </c>
      <c r="X245" s="14" t="s">
        <v>69</v>
      </c>
      <c r="Y245" s="14" t="s">
        <v>69</v>
      </c>
      <c r="AM245">
        <f>COUNTIF(P245:T245,"&gt;0")</f>
      </c>
      <c r="AN245">
        <f>COUNTIF(P245,"&gt;0")</f>
      </c>
      <c r="AO245">
        <f>COUNTIF(Q245,"&gt;0")</f>
      </c>
      <c r="AP245">
        <f>COUNTIF(R245,"&gt;0")</f>
      </c>
      <c r="AQ245">
        <f>COUNTIF(S245,"&gt;0")</f>
      </c>
      <c r="AR245">
        <f>COUNTIF(T245,"&gt;0")</f>
      </c>
      <c r="AX245" t="s">
        <v>346</v>
      </c>
      <c r="AY245" t="s">
        <v>355</v>
      </c>
    </row>
    <row r="246" ht="18" customHeight="1" spans="1:51" x14ac:dyDescent="0.25">
      <c r="A246" s="14"/>
      <c r="B246" s="14"/>
      <c r="C246" s="14"/>
      <c r="D246" s="14"/>
      <c r="E246" s="14"/>
      <c r="F246" s="15"/>
      <c r="G246" s="15"/>
      <c r="H246" s="14" t="s">
        <v>71</v>
      </c>
      <c r="I246" s="16"/>
      <c r="J246" s="17"/>
      <c r="K246" s="14"/>
      <c r="L246" s="14"/>
      <c r="M246" s="14"/>
      <c r="N246" s="14"/>
      <c r="O246" s="15"/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1" t="s">
        <v>69</v>
      </c>
      <c r="V246" s="21" t="s">
        <v>69</v>
      </c>
      <c r="W246" s="21" t="s">
        <v>69</v>
      </c>
      <c r="X246" s="21" t="s">
        <v>69</v>
      </c>
      <c r="Y246" s="21" t="s">
        <v>69</v>
      </c>
      <c r="AL246">
        <f>COUNTIF(P246:T246,"&gt;0")</f>
      </c>
      <c r="AS246">
        <f>COUNTIF(P246,"&gt;0")</f>
      </c>
      <c r="AT246">
        <f>COUNTIF(Q246,"&gt;0")</f>
      </c>
      <c r="AU246">
        <f>COUNTIF(R246,"&gt;0")</f>
      </c>
      <c r="AV246">
        <f>COUNTIF(S246,"&gt;0")</f>
      </c>
      <c r="AW246">
        <f>COUNTIF(T246,"&gt;0")</f>
      </c>
      <c r="AX246" t="s">
        <v>346</v>
      </c>
      <c r="AY246" t="s">
        <v>355</v>
      </c>
    </row>
    <row r="247" ht="28" customHeight="1" spans="1:51" x14ac:dyDescent="0.25">
      <c r="A247" s="14"/>
      <c r="B247" s="14"/>
      <c r="C247" s="14"/>
      <c r="D247" s="14"/>
      <c r="E247" s="14"/>
      <c r="F247" s="15" t="s">
        <v>195</v>
      </c>
      <c r="G247" s="15" t="s">
        <v>196</v>
      </c>
      <c r="H247" s="14" t="s">
        <v>66</v>
      </c>
      <c r="I247" s="16">
        <v>2</v>
      </c>
      <c r="J247" s="17">
        <v>1</v>
      </c>
      <c r="K247" s="14" t="s">
        <v>67</v>
      </c>
      <c r="L247" s="14" t="s">
        <v>68</v>
      </c>
      <c r="M247" s="14"/>
      <c r="N247" s="14"/>
      <c r="O247" s="15"/>
      <c r="P247" s="19">
        <v>0</v>
      </c>
      <c r="Q247" s="18">
        <v>2</v>
      </c>
      <c r="R247" s="19">
        <v>0</v>
      </c>
      <c r="S247" s="19">
        <v>0</v>
      </c>
      <c r="T247" s="19">
        <v>0</v>
      </c>
      <c r="U247" s="14" t="s">
        <v>69</v>
      </c>
      <c r="V247" s="14" t="s">
        <v>69</v>
      </c>
      <c r="W247" s="14" t="s">
        <v>69</v>
      </c>
      <c r="X247" s="14" t="s">
        <v>69</v>
      </c>
      <c r="Y247" s="14" t="s">
        <v>69</v>
      </c>
      <c r="AM247">
        <f>COUNTIF(P247:T247,"&gt;0")</f>
      </c>
      <c r="AN247">
        <f>COUNTIF(P247,"&gt;0")</f>
      </c>
      <c r="AO247">
        <f>COUNTIF(Q247,"&gt;0")</f>
      </c>
      <c r="AP247">
        <f>COUNTIF(R247,"&gt;0")</f>
      </c>
      <c r="AQ247">
        <f>COUNTIF(S247,"&gt;0")</f>
      </c>
      <c r="AR247">
        <f>COUNTIF(T247,"&gt;0")</f>
      </c>
      <c r="AX247" t="s">
        <v>346</v>
      </c>
      <c r="AY247" t="s">
        <v>356</v>
      </c>
    </row>
    <row r="248" ht="18" customHeight="1" spans="1:51" x14ac:dyDescent="0.25">
      <c r="A248" s="14"/>
      <c r="B248" s="14"/>
      <c r="C248" s="14"/>
      <c r="D248" s="14"/>
      <c r="E248" s="14"/>
      <c r="F248" s="15"/>
      <c r="G248" s="15"/>
      <c r="H248" s="14" t="s">
        <v>71</v>
      </c>
      <c r="I248" s="16"/>
      <c r="J248" s="17"/>
      <c r="K248" s="14"/>
      <c r="L248" s="14"/>
      <c r="M248" s="14"/>
      <c r="N248" s="14"/>
      <c r="O248" s="15"/>
      <c r="P248" s="20">
        <v>0</v>
      </c>
      <c r="Q248" s="20">
        <v>0</v>
      </c>
      <c r="R248" s="20">
        <v>0</v>
      </c>
      <c r="S248" s="20">
        <v>0</v>
      </c>
      <c r="T248" s="20">
        <v>0</v>
      </c>
      <c r="U248" s="21" t="s">
        <v>69</v>
      </c>
      <c r="V248" s="21" t="s">
        <v>69</v>
      </c>
      <c r="W248" s="21" t="s">
        <v>69</v>
      </c>
      <c r="X248" s="21" t="s">
        <v>69</v>
      </c>
      <c r="Y248" s="21" t="s">
        <v>69</v>
      </c>
      <c r="AL248">
        <f>COUNTIF(P248:T248,"&gt;0")</f>
      </c>
      <c r="AS248">
        <f>COUNTIF(P248,"&gt;0")</f>
      </c>
      <c r="AT248">
        <f>COUNTIF(Q248,"&gt;0")</f>
      </c>
      <c r="AU248">
        <f>COUNTIF(R248,"&gt;0")</f>
      </c>
      <c r="AV248">
        <f>COUNTIF(S248,"&gt;0")</f>
      </c>
      <c r="AW248">
        <f>COUNTIF(T248,"&gt;0")</f>
      </c>
      <c r="AX248" t="s">
        <v>346</v>
      </c>
      <c r="AY248" t="s">
        <v>356</v>
      </c>
    </row>
    <row r="249" ht="28" customHeight="1" spans="1:51" x14ac:dyDescent="0.25">
      <c r="A249" s="14"/>
      <c r="B249" s="14"/>
      <c r="C249" s="14"/>
      <c r="D249" s="14"/>
      <c r="E249" s="14"/>
      <c r="F249" s="15" t="s">
        <v>342</v>
      </c>
      <c r="G249" s="15" t="s">
        <v>343</v>
      </c>
      <c r="H249" s="14" t="s">
        <v>66</v>
      </c>
      <c r="I249" s="16">
        <v>2</v>
      </c>
      <c r="J249" s="17">
        <v>1</v>
      </c>
      <c r="K249" s="14" t="s">
        <v>67</v>
      </c>
      <c r="L249" s="14" t="s">
        <v>68</v>
      </c>
      <c r="M249" s="14"/>
      <c r="N249" s="14"/>
      <c r="O249" s="15"/>
      <c r="P249" s="19">
        <v>0</v>
      </c>
      <c r="Q249" s="19">
        <v>0</v>
      </c>
      <c r="R249" s="18">
        <v>2</v>
      </c>
      <c r="S249" s="19">
        <v>0</v>
      </c>
      <c r="T249" s="19">
        <v>0</v>
      </c>
      <c r="U249" s="14" t="s">
        <v>69</v>
      </c>
      <c r="V249" s="14" t="s">
        <v>69</v>
      </c>
      <c r="W249" s="14" t="s">
        <v>69</v>
      </c>
      <c r="X249" s="14" t="s">
        <v>69</v>
      </c>
      <c r="Y249" s="14" t="s">
        <v>69</v>
      </c>
      <c r="AM249">
        <f>COUNTIF(P249:T249,"&gt;0")</f>
      </c>
      <c r="AN249">
        <f>COUNTIF(P249,"&gt;0")</f>
      </c>
      <c r="AO249">
        <f>COUNTIF(Q249,"&gt;0")</f>
      </c>
      <c r="AP249">
        <f>COUNTIF(R249,"&gt;0")</f>
      </c>
      <c r="AQ249">
        <f>COUNTIF(S249,"&gt;0")</f>
      </c>
      <c r="AR249">
        <f>COUNTIF(T249,"&gt;0")</f>
      </c>
      <c r="AX249" t="s">
        <v>346</v>
      </c>
      <c r="AY249" t="s">
        <v>357</v>
      </c>
    </row>
    <row r="250" ht="18" customHeight="1" spans="1:51" x14ac:dyDescent="0.25">
      <c r="A250" s="14"/>
      <c r="B250" s="14"/>
      <c r="C250" s="14"/>
      <c r="D250" s="14"/>
      <c r="E250" s="14"/>
      <c r="F250" s="15"/>
      <c r="G250" s="15"/>
      <c r="H250" s="14" t="s">
        <v>71</v>
      </c>
      <c r="I250" s="16"/>
      <c r="J250" s="17"/>
      <c r="K250" s="14"/>
      <c r="L250" s="14"/>
      <c r="M250" s="14"/>
      <c r="N250" s="14"/>
      <c r="O250" s="15"/>
      <c r="P250" s="20">
        <v>0</v>
      </c>
      <c r="Q250" s="20">
        <v>0</v>
      </c>
      <c r="R250" s="20">
        <v>0</v>
      </c>
      <c r="S250" s="20">
        <v>0</v>
      </c>
      <c r="T250" s="20">
        <v>0</v>
      </c>
      <c r="U250" s="21" t="s">
        <v>69</v>
      </c>
      <c r="V250" s="21" t="s">
        <v>69</v>
      </c>
      <c r="W250" s="21" t="s">
        <v>69</v>
      </c>
      <c r="X250" s="21" t="s">
        <v>69</v>
      </c>
      <c r="Y250" s="21" t="s">
        <v>69</v>
      </c>
      <c r="AL250">
        <f>COUNTIF(P250:T250,"&gt;0")</f>
      </c>
      <c r="AS250">
        <f>COUNTIF(P250,"&gt;0")</f>
      </c>
      <c r="AT250">
        <f>COUNTIF(Q250,"&gt;0")</f>
      </c>
      <c r="AU250">
        <f>COUNTIF(R250,"&gt;0")</f>
      </c>
      <c r="AV250">
        <f>COUNTIF(S250,"&gt;0")</f>
      </c>
      <c r="AW250">
        <f>COUNTIF(T250,"&gt;0")</f>
      </c>
      <c r="AX250" t="s">
        <v>346</v>
      </c>
      <c r="AY250" t="s">
        <v>357</v>
      </c>
    </row>
    <row r="251" ht="28" customHeight="1" spans="1:51" x14ac:dyDescent="0.25">
      <c r="A251" s="14"/>
      <c r="B251" s="14"/>
      <c r="C251" s="14"/>
      <c r="D251" s="14"/>
      <c r="E251" s="14"/>
      <c r="F251" s="15" t="s">
        <v>201</v>
      </c>
      <c r="G251" s="15" t="s">
        <v>202</v>
      </c>
      <c r="H251" s="14" t="s">
        <v>66</v>
      </c>
      <c r="I251" s="16">
        <v>2</v>
      </c>
      <c r="J251" s="17">
        <v>1</v>
      </c>
      <c r="K251" s="14" t="s">
        <v>67</v>
      </c>
      <c r="L251" s="14" t="s">
        <v>68</v>
      </c>
      <c r="M251" s="14"/>
      <c r="N251" s="14"/>
      <c r="O251" s="15"/>
      <c r="P251" s="19">
        <v>0</v>
      </c>
      <c r="Q251" s="19">
        <v>0</v>
      </c>
      <c r="R251" s="19">
        <v>0</v>
      </c>
      <c r="S251" s="18">
        <v>2</v>
      </c>
      <c r="T251" s="19">
        <v>0</v>
      </c>
      <c r="U251" s="14" t="s">
        <v>69</v>
      </c>
      <c r="V251" s="14" t="s">
        <v>69</v>
      </c>
      <c r="W251" s="14" t="s">
        <v>69</v>
      </c>
      <c r="X251" s="14" t="s">
        <v>69</v>
      </c>
      <c r="Y251" s="14" t="s">
        <v>69</v>
      </c>
      <c r="AM251">
        <f>COUNTIF(P251:T251,"&gt;0")</f>
      </c>
      <c r="AN251">
        <f>COUNTIF(P251,"&gt;0")</f>
      </c>
      <c r="AO251">
        <f>COUNTIF(Q251,"&gt;0")</f>
      </c>
      <c r="AP251">
        <f>COUNTIF(R251,"&gt;0")</f>
      </c>
      <c r="AQ251">
        <f>COUNTIF(S251,"&gt;0")</f>
      </c>
      <c r="AR251">
        <f>COUNTIF(T251,"&gt;0")</f>
      </c>
      <c r="AX251" t="s">
        <v>346</v>
      </c>
      <c r="AY251" t="s">
        <v>358</v>
      </c>
    </row>
    <row r="252" ht="18" customHeight="1" spans="1:51" x14ac:dyDescent="0.25">
      <c r="A252" s="14"/>
      <c r="B252" s="14"/>
      <c r="C252" s="14"/>
      <c r="D252" s="14"/>
      <c r="E252" s="14"/>
      <c r="F252" s="15"/>
      <c r="G252" s="15"/>
      <c r="H252" s="14" t="s">
        <v>71</v>
      </c>
      <c r="I252" s="16"/>
      <c r="J252" s="17"/>
      <c r="K252" s="14"/>
      <c r="L252" s="14"/>
      <c r="M252" s="14"/>
      <c r="N252" s="14"/>
      <c r="O252" s="15"/>
      <c r="P252" s="20">
        <v>0</v>
      </c>
      <c r="Q252" s="20">
        <v>0</v>
      </c>
      <c r="R252" s="20">
        <v>0</v>
      </c>
      <c r="S252" s="20">
        <v>0</v>
      </c>
      <c r="T252" s="20">
        <v>0</v>
      </c>
      <c r="U252" s="21" t="s">
        <v>69</v>
      </c>
      <c r="V252" s="21" t="s">
        <v>69</v>
      </c>
      <c r="W252" s="21" t="s">
        <v>69</v>
      </c>
      <c r="X252" s="21" t="s">
        <v>69</v>
      </c>
      <c r="Y252" s="21" t="s">
        <v>69</v>
      </c>
      <c r="AL252">
        <f>COUNTIF(P252:T252,"&gt;0")</f>
      </c>
      <c r="AS252">
        <f>COUNTIF(P252,"&gt;0")</f>
      </c>
      <c r="AT252">
        <f>COUNTIF(Q252,"&gt;0")</f>
      </c>
      <c r="AU252">
        <f>COUNTIF(R252,"&gt;0")</f>
      </c>
      <c r="AV252">
        <f>COUNTIF(S252,"&gt;0")</f>
      </c>
      <c r="AW252">
        <f>COUNTIF(T252,"&gt;0")</f>
      </c>
      <c r="AX252" t="s">
        <v>346</v>
      </c>
      <c r="AY252" t="s">
        <v>358</v>
      </c>
    </row>
    <row r="253" ht="28" customHeight="1" spans="1:51" x14ac:dyDescent="0.25">
      <c r="A253" s="14"/>
      <c r="B253" s="14" t="s">
        <v>359</v>
      </c>
      <c r="C253" s="14" t="s">
        <v>360</v>
      </c>
      <c r="D253" s="14" t="s">
        <v>361</v>
      </c>
      <c r="E253" s="14" t="s">
        <v>118</v>
      </c>
      <c r="F253" s="15" t="s">
        <v>362</v>
      </c>
      <c r="G253" s="15" t="s">
        <v>363</v>
      </c>
      <c r="H253" s="14" t="s">
        <v>66</v>
      </c>
      <c r="I253" s="16">
        <v>2</v>
      </c>
      <c r="J253" s="17">
        <v>1</v>
      </c>
      <c r="K253" s="14" t="s">
        <v>67</v>
      </c>
      <c r="L253" s="14" t="s">
        <v>68</v>
      </c>
      <c r="M253" s="14"/>
      <c r="N253" s="14"/>
      <c r="O253" s="15"/>
      <c r="P253" s="19">
        <v>0</v>
      </c>
      <c r="Q253" s="19">
        <v>0</v>
      </c>
      <c r="R253" s="19">
        <v>0</v>
      </c>
      <c r="S253" s="19">
        <v>0</v>
      </c>
      <c r="T253" s="18">
        <v>2</v>
      </c>
      <c r="U253" s="14" t="s">
        <v>69</v>
      </c>
      <c r="V253" s="14" t="s">
        <v>69</v>
      </c>
      <c r="W253" s="14" t="s">
        <v>69</v>
      </c>
      <c r="X253" s="14" t="s">
        <v>69</v>
      </c>
      <c r="Y253" s="14" t="s">
        <v>69</v>
      </c>
      <c r="AM253">
        <f>COUNTIF(P253:T253,"&gt;0")</f>
      </c>
      <c r="AN253">
        <f>COUNTIF(P253,"&gt;0")</f>
      </c>
      <c r="AO253">
        <f>COUNTIF(Q253,"&gt;0")</f>
      </c>
      <c r="AP253">
        <f>COUNTIF(R253,"&gt;0")</f>
      </c>
      <c r="AQ253">
        <f>COUNTIF(S253,"&gt;0")</f>
      </c>
      <c r="AR253">
        <f>COUNTIF(T253,"&gt;0")</f>
      </c>
      <c r="AX253" t="s">
        <v>359</v>
      </c>
      <c r="AY253" t="s">
        <v>364</v>
      </c>
    </row>
    <row r="254" ht="18" customHeight="1" spans="1:51" x14ac:dyDescent="0.25">
      <c r="A254" s="14"/>
      <c r="B254" s="14"/>
      <c r="C254" s="14"/>
      <c r="D254" s="14"/>
      <c r="E254" s="14"/>
      <c r="F254" s="15"/>
      <c r="G254" s="15"/>
      <c r="H254" s="14" t="s">
        <v>71</v>
      </c>
      <c r="I254" s="16"/>
      <c r="J254" s="17"/>
      <c r="K254" s="14"/>
      <c r="L254" s="14"/>
      <c r="M254" s="14"/>
      <c r="N254" s="14"/>
      <c r="O254" s="15"/>
      <c r="P254" s="20">
        <v>0</v>
      </c>
      <c r="Q254" s="20">
        <v>0</v>
      </c>
      <c r="R254" s="20">
        <v>0</v>
      </c>
      <c r="S254" s="20">
        <v>0</v>
      </c>
      <c r="T254" s="20">
        <v>0</v>
      </c>
      <c r="U254" s="21" t="s">
        <v>69</v>
      </c>
      <c r="V254" s="21" t="s">
        <v>69</v>
      </c>
      <c r="W254" s="21" t="s">
        <v>69</v>
      </c>
      <c r="X254" s="21" t="s">
        <v>69</v>
      </c>
      <c r="Y254" s="21" t="s">
        <v>69</v>
      </c>
      <c r="AL254">
        <f>COUNTIF(P254:T254,"&gt;0")</f>
      </c>
      <c r="AS254">
        <f>COUNTIF(P254,"&gt;0")</f>
      </c>
      <c r="AT254">
        <f>COUNTIF(Q254,"&gt;0")</f>
      </c>
      <c r="AU254">
        <f>COUNTIF(R254,"&gt;0")</f>
      </c>
      <c r="AV254">
        <f>COUNTIF(S254,"&gt;0")</f>
      </c>
      <c r="AW254">
        <f>COUNTIF(T254,"&gt;0")</f>
      </c>
      <c r="AX254" t="s">
        <v>359</v>
      </c>
      <c r="AY254" t="s">
        <v>364</v>
      </c>
    </row>
    <row r="255" ht="28" customHeight="1" spans="1:51" x14ac:dyDescent="0.25">
      <c r="A255" s="14"/>
      <c r="B255" s="14"/>
      <c r="C255" s="14"/>
      <c r="D255" s="14"/>
      <c r="E255" s="14"/>
      <c r="F255" s="15" t="s">
        <v>365</v>
      </c>
      <c r="G255" s="15" t="s">
        <v>366</v>
      </c>
      <c r="H255" s="14" t="s">
        <v>66</v>
      </c>
      <c r="I255" s="16">
        <v>2</v>
      </c>
      <c r="J255" s="17">
        <v>1</v>
      </c>
      <c r="K255" s="14" t="s">
        <v>67</v>
      </c>
      <c r="L255" s="14" t="s">
        <v>68</v>
      </c>
      <c r="M255" s="14"/>
      <c r="N255" s="14"/>
      <c r="O255" s="15"/>
      <c r="P255" s="18">
        <v>2</v>
      </c>
      <c r="Q255" s="19">
        <v>0</v>
      </c>
      <c r="R255" s="19">
        <v>0</v>
      </c>
      <c r="S255" s="19">
        <v>0</v>
      </c>
      <c r="T255" s="19">
        <v>0</v>
      </c>
      <c r="U255" s="14" t="s">
        <v>69</v>
      </c>
      <c r="V255" s="14" t="s">
        <v>69</v>
      </c>
      <c r="W255" s="14" t="s">
        <v>69</v>
      </c>
      <c r="X255" s="14" t="s">
        <v>69</v>
      </c>
      <c r="Y255" s="14" t="s">
        <v>69</v>
      </c>
      <c r="AM255">
        <f>COUNTIF(P255:T255,"&gt;0")</f>
      </c>
      <c r="AN255">
        <f>COUNTIF(P255,"&gt;0")</f>
      </c>
      <c r="AO255">
        <f>COUNTIF(Q255,"&gt;0")</f>
      </c>
      <c r="AP255">
        <f>COUNTIF(R255,"&gt;0")</f>
      </c>
      <c r="AQ255">
        <f>COUNTIF(S255,"&gt;0")</f>
      </c>
      <c r="AR255">
        <f>COUNTIF(T255,"&gt;0")</f>
      </c>
      <c r="AX255" t="s">
        <v>359</v>
      </c>
      <c r="AY255" t="s">
        <v>367</v>
      </c>
    </row>
    <row r="256" ht="18" customHeight="1" spans="1:51" x14ac:dyDescent="0.25">
      <c r="A256" s="14"/>
      <c r="B256" s="14"/>
      <c r="C256" s="14"/>
      <c r="D256" s="14"/>
      <c r="E256" s="14"/>
      <c r="F256" s="15"/>
      <c r="G256" s="15"/>
      <c r="H256" s="14" t="s">
        <v>71</v>
      </c>
      <c r="I256" s="16"/>
      <c r="J256" s="17"/>
      <c r="K256" s="14"/>
      <c r="L256" s="14"/>
      <c r="M256" s="14"/>
      <c r="N256" s="14"/>
      <c r="O256" s="15"/>
      <c r="P256" s="20">
        <v>0</v>
      </c>
      <c r="Q256" s="20">
        <v>0</v>
      </c>
      <c r="R256" s="20">
        <v>0</v>
      </c>
      <c r="S256" s="20">
        <v>0</v>
      </c>
      <c r="T256" s="20">
        <v>0</v>
      </c>
      <c r="U256" s="21" t="s">
        <v>69</v>
      </c>
      <c r="V256" s="21" t="s">
        <v>69</v>
      </c>
      <c r="W256" s="21" t="s">
        <v>69</v>
      </c>
      <c r="X256" s="21" t="s">
        <v>69</v>
      </c>
      <c r="Y256" s="21" t="s">
        <v>69</v>
      </c>
      <c r="AL256">
        <f>COUNTIF(P256:T256,"&gt;0")</f>
      </c>
      <c r="AS256">
        <f>COUNTIF(P256,"&gt;0")</f>
      </c>
      <c r="AT256">
        <f>COUNTIF(Q256,"&gt;0")</f>
      </c>
      <c r="AU256">
        <f>COUNTIF(R256,"&gt;0")</f>
      </c>
      <c r="AV256">
        <f>COUNTIF(S256,"&gt;0")</f>
      </c>
      <c r="AW256">
        <f>COUNTIF(T256,"&gt;0")</f>
      </c>
      <c r="AX256" t="s">
        <v>359</v>
      </c>
      <c r="AY256" t="s">
        <v>367</v>
      </c>
    </row>
    <row r="257" ht="28" customHeight="1" spans="1:51" x14ac:dyDescent="0.25">
      <c r="A257" s="14"/>
      <c r="B257" s="14"/>
      <c r="C257" s="14"/>
      <c r="D257" s="14"/>
      <c r="E257" s="14"/>
      <c r="F257" s="15" t="s">
        <v>365</v>
      </c>
      <c r="G257" s="15" t="s">
        <v>368</v>
      </c>
      <c r="H257" s="14" t="s">
        <v>66</v>
      </c>
      <c r="I257" s="16">
        <v>2</v>
      </c>
      <c r="J257" s="17">
        <v>1</v>
      </c>
      <c r="K257" s="14" t="s">
        <v>67</v>
      </c>
      <c r="L257" s="14" t="s">
        <v>68</v>
      </c>
      <c r="M257" s="14"/>
      <c r="N257" s="14"/>
      <c r="O257" s="15"/>
      <c r="P257" s="19">
        <v>0</v>
      </c>
      <c r="Q257" s="18">
        <v>2</v>
      </c>
      <c r="R257" s="19">
        <v>0</v>
      </c>
      <c r="S257" s="19">
        <v>0</v>
      </c>
      <c r="T257" s="19">
        <v>0</v>
      </c>
      <c r="U257" s="14" t="s">
        <v>69</v>
      </c>
      <c r="V257" s="14" t="s">
        <v>69</v>
      </c>
      <c r="W257" s="14" t="s">
        <v>69</v>
      </c>
      <c r="X257" s="14" t="s">
        <v>69</v>
      </c>
      <c r="Y257" s="14" t="s">
        <v>69</v>
      </c>
      <c r="AM257">
        <f>COUNTIF(P257:T257,"&gt;0")</f>
      </c>
      <c r="AN257">
        <f>COUNTIF(P257,"&gt;0")</f>
      </c>
      <c r="AO257">
        <f>COUNTIF(Q257,"&gt;0")</f>
      </c>
      <c r="AP257">
        <f>COUNTIF(R257,"&gt;0")</f>
      </c>
      <c r="AQ257">
        <f>COUNTIF(S257,"&gt;0")</f>
      </c>
      <c r="AR257">
        <f>COUNTIF(T257,"&gt;0")</f>
      </c>
      <c r="AX257" t="s">
        <v>359</v>
      </c>
      <c r="AY257" t="s">
        <v>369</v>
      </c>
    </row>
    <row r="258" ht="18" customHeight="1" spans="1:51" x14ac:dyDescent="0.25">
      <c r="A258" s="14"/>
      <c r="B258" s="14"/>
      <c r="C258" s="14"/>
      <c r="D258" s="14"/>
      <c r="E258" s="14"/>
      <c r="F258" s="15"/>
      <c r="G258" s="15"/>
      <c r="H258" s="14" t="s">
        <v>71</v>
      </c>
      <c r="I258" s="16"/>
      <c r="J258" s="17"/>
      <c r="K258" s="14"/>
      <c r="L258" s="14"/>
      <c r="M258" s="14"/>
      <c r="N258" s="14"/>
      <c r="O258" s="15"/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1" t="s">
        <v>69</v>
      </c>
      <c r="V258" s="21" t="s">
        <v>69</v>
      </c>
      <c r="W258" s="21" t="s">
        <v>69</v>
      </c>
      <c r="X258" s="21" t="s">
        <v>69</v>
      </c>
      <c r="Y258" s="21" t="s">
        <v>69</v>
      </c>
      <c r="AL258">
        <f>COUNTIF(P258:T258,"&gt;0")</f>
      </c>
      <c r="AS258">
        <f>COUNTIF(P258,"&gt;0")</f>
      </c>
      <c r="AT258">
        <f>COUNTIF(Q258,"&gt;0")</f>
      </c>
      <c r="AU258">
        <f>COUNTIF(R258,"&gt;0")</f>
      </c>
      <c r="AV258">
        <f>COUNTIF(S258,"&gt;0")</f>
      </c>
      <c r="AW258">
        <f>COUNTIF(T258,"&gt;0")</f>
      </c>
      <c r="AX258" t="s">
        <v>359</v>
      </c>
      <c r="AY258" t="s">
        <v>369</v>
      </c>
    </row>
    <row r="259" ht="28" customHeight="1" spans="1:51" x14ac:dyDescent="0.25">
      <c r="A259" s="14"/>
      <c r="B259" s="14"/>
      <c r="C259" s="14"/>
      <c r="D259" s="14"/>
      <c r="E259" s="14"/>
      <c r="F259" s="15" t="s">
        <v>370</v>
      </c>
      <c r="G259" s="15" t="s">
        <v>371</v>
      </c>
      <c r="H259" s="14" t="s">
        <v>66</v>
      </c>
      <c r="I259" s="16">
        <v>2</v>
      </c>
      <c r="J259" s="17">
        <v>1</v>
      </c>
      <c r="K259" s="14" t="s">
        <v>67</v>
      </c>
      <c r="L259" s="14" t="s">
        <v>68</v>
      </c>
      <c r="M259" s="14"/>
      <c r="N259" s="14"/>
      <c r="O259" s="15"/>
      <c r="P259" s="19">
        <v>0</v>
      </c>
      <c r="Q259" s="19">
        <v>0</v>
      </c>
      <c r="R259" s="18">
        <v>2</v>
      </c>
      <c r="S259" s="19">
        <v>0</v>
      </c>
      <c r="T259" s="19">
        <v>0</v>
      </c>
      <c r="U259" s="14" t="s">
        <v>69</v>
      </c>
      <c r="V259" s="14" t="s">
        <v>69</v>
      </c>
      <c r="W259" s="14" t="s">
        <v>69</v>
      </c>
      <c r="X259" s="14" t="s">
        <v>69</v>
      </c>
      <c r="Y259" s="14" t="s">
        <v>69</v>
      </c>
      <c r="AM259">
        <f>COUNTIF(P259:T259,"&gt;0")</f>
      </c>
      <c r="AN259">
        <f>COUNTIF(P259,"&gt;0")</f>
      </c>
      <c r="AO259">
        <f>COUNTIF(Q259,"&gt;0")</f>
      </c>
      <c r="AP259">
        <f>COUNTIF(R259,"&gt;0")</f>
      </c>
      <c r="AQ259">
        <f>COUNTIF(S259,"&gt;0")</f>
      </c>
      <c r="AR259">
        <f>COUNTIF(T259,"&gt;0")</f>
      </c>
      <c r="AX259" t="s">
        <v>359</v>
      </c>
      <c r="AY259" t="s">
        <v>372</v>
      </c>
    </row>
    <row r="260" ht="18" customHeight="1" spans="1:51" x14ac:dyDescent="0.25">
      <c r="A260" s="14"/>
      <c r="B260" s="14"/>
      <c r="C260" s="14"/>
      <c r="D260" s="14"/>
      <c r="E260" s="14"/>
      <c r="F260" s="15"/>
      <c r="G260" s="15"/>
      <c r="H260" s="14" t="s">
        <v>71</v>
      </c>
      <c r="I260" s="16"/>
      <c r="J260" s="17"/>
      <c r="K260" s="14"/>
      <c r="L260" s="14"/>
      <c r="M260" s="14"/>
      <c r="N260" s="14"/>
      <c r="O260" s="15"/>
      <c r="P260" s="20">
        <v>0</v>
      </c>
      <c r="Q260" s="20">
        <v>0</v>
      </c>
      <c r="R260" s="20">
        <v>0</v>
      </c>
      <c r="S260" s="20">
        <v>0</v>
      </c>
      <c r="T260" s="20">
        <v>0</v>
      </c>
      <c r="U260" s="21" t="s">
        <v>69</v>
      </c>
      <c r="V260" s="21" t="s">
        <v>69</v>
      </c>
      <c r="W260" s="21" t="s">
        <v>69</v>
      </c>
      <c r="X260" s="21" t="s">
        <v>69</v>
      </c>
      <c r="Y260" s="21" t="s">
        <v>69</v>
      </c>
      <c r="AL260">
        <f>COUNTIF(P260:T260,"&gt;0")</f>
      </c>
      <c r="AS260">
        <f>COUNTIF(P260,"&gt;0")</f>
      </c>
      <c r="AT260">
        <f>COUNTIF(Q260,"&gt;0")</f>
      </c>
      <c r="AU260">
        <f>COUNTIF(R260,"&gt;0")</f>
      </c>
      <c r="AV260">
        <f>COUNTIF(S260,"&gt;0")</f>
      </c>
      <c r="AW260">
        <f>COUNTIF(T260,"&gt;0")</f>
      </c>
      <c r="AX260" t="s">
        <v>359</v>
      </c>
      <c r="AY260" t="s">
        <v>372</v>
      </c>
    </row>
    <row r="261" ht="28" customHeight="1" spans="1:51" x14ac:dyDescent="0.25">
      <c r="A261" s="14"/>
      <c r="B261" s="14"/>
      <c r="C261" s="14"/>
      <c r="D261" s="14"/>
      <c r="E261" s="14"/>
      <c r="F261" s="15" t="s">
        <v>373</v>
      </c>
      <c r="G261" s="15" t="s">
        <v>374</v>
      </c>
      <c r="H261" s="14" t="s">
        <v>66</v>
      </c>
      <c r="I261" s="16">
        <v>2</v>
      </c>
      <c r="J261" s="17">
        <v>1</v>
      </c>
      <c r="K261" s="14" t="s">
        <v>67</v>
      </c>
      <c r="L261" s="14" t="s">
        <v>68</v>
      </c>
      <c r="M261" s="14"/>
      <c r="N261" s="14"/>
      <c r="O261" s="15"/>
      <c r="P261" s="19">
        <v>0</v>
      </c>
      <c r="Q261" s="19">
        <v>0</v>
      </c>
      <c r="R261" s="19">
        <v>0</v>
      </c>
      <c r="S261" s="18">
        <v>2</v>
      </c>
      <c r="T261" s="19">
        <v>0</v>
      </c>
      <c r="U261" s="14" t="s">
        <v>69</v>
      </c>
      <c r="V261" s="14" t="s">
        <v>69</v>
      </c>
      <c r="W261" s="14" t="s">
        <v>69</v>
      </c>
      <c r="X261" s="14" t="s">
        <v>69</v>
      </c>
      <c r="Y261" s="14" t="s">
        <v>69</v>
      </c>
      <c r="AM261">
        <f>COUNTIF(P261:T261,"&gt;0")</f>
      </c>
      <c r="AN261">
        <f>COUNTIF(P261,"&gt;0")</f>
      </c>
      <c r="AO261">
        <f>COUNTIF(Q261,"&gt;0")</f>
      </c>
      <c r="AP261">
        <f>COUNTIF(R261,"&gt;0")</f>
      </c>
      <c r="AQ261">
        <f>COUNTIF(S261,"&gt;0")</f>
      </c>
      <c r="AR261">
        <f>COUNTIF(T261,"&gt;0")</f>
      </c>
      <c r="AX261" t="s">
        <v>359</v>
      </c>
      <c r="AY261" t="s">
        <v>375</v>
      </c>
    </row>
    <row r="262" ht="18" customHeight="1" spans="1:51" x14ac:dyDescent="0.25">
      <c r="A262" s="14"/>
      <c r="B262" s="14"/>
      <c r="C262" s="14"/>
      <c r="D262" s="14"/>
      <c r="E262" s="14"/>
      <c r="F262" s="15"/>
      <c r="G262" s="15"/>
      <c r="H262" s="14" t="s">
        <v>71</v>
      </c>
      <c r="I262" s="16"/>
      <c r="J262" s="17"/>
      <c r="K262" s="14"/>
      <c r="L262" s="14"/>
      <c r="M262" s="14"/>
      <c r="N262" s="14"/>
      <c r="O262" s="15"/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1" t="s">
        <v>69</v>
      </c>
      <c r="V262" s="21" t="s">
        <v>69</v>
      </c>
      <c r="W262" s="21" t="s">
        <v>69</v>
      </c>
      <c r="X262" s="21" t="s">
        <v>69</v>
      </c>
      <c r="Y262" s="21" t="s">
        <v>69</v>
      </c>
      <c r="AL262">
        <f>COUNTIF(P262:T262,"&gt;0")</f>
      </c>
      <c r="AS262">
        <f>COUNTIF(P262,"&gt;0")</f>
      </c>
      <c r="AT262">
        <f>COUNTIF(Q262,"&gt;0")</f>
      </c>
      <c r="AU262">
        <f>COUNTIF(R262,"&gt;0")</f>
      </c>
      <c r="AV262">
        <f>COUNTIF(S262,"&gt;0")</f>
      </c>
      <c r="AW262">
        <f>COUNTIF(T262,"&gt;0")</f>
      </c>
      <c r="AX262" t="s">
        <v>359</v>
      </c>
      <c r="AY262" t="s">
        <v>375</v>
      </c>
    </row>
    <row r="263" ht="28" customHeight="1" spans="1:51" x14ac:dyDescent="0.25">
      <c r="A263" s="14"/>
      <c r="B263" s="14"/>
      <c r="C263" s="14"/>
      <c r="D263" s="14"/>
      <c r="E263" s="14"/>
      <c r="F263" s="15" t="s">
        <v>376</v>
      </c>
      <c r="G263" s="15" t="s">
        <v>377</v>
      </c>
      <c r="H263" s="14" t="s">
        <v>66</v>
      </c>
      <c r="I263" s="16">
        <v>2</v>
      </c>
      <c r="J263" s="17">
        <v>1</v>
      </c>
      <c r="K263" s="14" t="s">
        <v>67</v>
      </c>
      <c r="L263" s="14" t="s">
        <v>68</v>
      </c>
      <c r="M263" s="14"/>
      <c r="N263" s="14"/>
      <c r="O263" s="15"/>
      <c r="P263" s="19">
        <v>0</v>
      </c>
      <c r="Q263" s="19">
        <v>0</v>
      </c>
      <c r="R263" s="19">
        <v>0</v>
      </c>
      <c r="S263" s="19">
        <v>0</v>
      </c>
      <c r="T263" s="18">
        <v>2</v>
      </c>
      <c r="U263" s="14" t="s">
        <v>69</v>
      </c>
      <c r="V263" s="14" t="s">
        <v>69</v>
      </c>
      <c r="W263" s="14" t="s">
        <v>69</v>
      </c>
      <c r="X263" s="14" t="s">
        <v>69</v>
      </c>
      <c r="Y263" s="14" t="s">
        <v>69</v>
      </c>
      <c r="AM263">
        <f>COUNTIF(P263:T263,"&gt;0")</f>
      </c>
      <c r="AN263">
        <f>COUNTIF(P263,"&gt;0")</f>
      </c>
      <c r="AO263">
        <f>COUNTIF(Q263,"&gt;0")</f>
      </c>
      <c r="AP263">
        <f>COUNTIF(R263,"&gt;0")</f>
      </c>
      <c r="AQ263">
        <f>COUNTIF(S263,"&gt;0")</f>
      </c>
      <c r="AR263">
        <f>COUNTIF(T263,"&gt;0")</f>
      </c>
      <c r="AX263" t="s">
        <v>359</v>
      </c>
      <c r="AY263" t="s">
        <v>378</v>
      </c>
    </row>
    <row r="264" ht="18" customHeight="1" spans="1:51" x14ac:dyDescent="0.25">
      <c r="A264" s="14"/>
      <c r="B264" s="14"/>
      <c r="C264" s="14"/>
      <c r="D264" s="14"/>
      <c r="E264" s="14"/>
      <c r="F264" s="15"/>
      <c r="G264" s="15"/>
      <c r="H264" s="14" t="s">
        <v>71</v>
      </c>
      <c r="I264" s="16"/>
      <c r="J264" s="17"/>
      <c r="K264" s="14"/>
      <c r="L264" s="14"/>
      <c r="M264" s="14"/>
      <c r="N264" s="14"/>
      <c r="O264" s="15"/>
      <c r="P264" s="20">
        <v>0</v>
      </c>
      <c r="Q264" s="20">
        <v>0</v>
      </c>
      <c r="R264" s="20">
        <v>0</v>
      </c>
      <c r="S264" s="20">
        <v>0</v>
      </c>
      <c r="T264" s="20">
        <v>0</v>
      </c>
      <c r="U264" s="21" t="s">
        <v>69</v>
      </c>
      <c r="V264" s="21" t="s">
        <v>69</v>
      </c>
      <c r="W264" s="21" t="s">
        <v>69</v>
      </c>
      <c r="X264" s="21" t="s">
        <v>69</v>
      </c>
      <c r="Y264" s="21" t="s">
        <v>69</v>
      </c>
      <c r="AL264">
        <f>COUNTIF(P264:T264,"&gt;0")</f>
      </c>
      <c r="AS264">
        <f>COUNTIF(P264,"&gt;0")</f>
      </c>
      <c r="AT264">
        <f>COUNTIF(Q264,"&gt;0")</f>
      </c>
      <c r="AU264">
        <f>COUNTIF(R264,"&gt;0")</f>
      </c>
      <c r="AV264">
        <f>COUNTIF(S264,"&gt;0")</f>
      </c>
      <c r="AW264">
        <f>COUNTIF(T264,"&gt;0")</f>
      </c>
      <c r="AX264" t="s">
        <v>359</v>
      </c>
      <c r="AY264" t="s">
        <v>378</v>
      </c>
    </row>
    <row r="265" ht="28" customHeight="1" spans="1:51" x14ac:dyDescent="0.25">
      <c r="A265" s="14"/>
      <c r="B265" s="14"/>
      <c r="C265" s="14"/>
      <c r="D265" s="14"/>
      <c r="E265" s="14"/>
      <c r="F265" s="15" t="s">
        <v>379</v>
      </c>
      <c r="G265" s="15" t="s">
        <v>380</v>
      </c>
      <c r="H265" s="14" t="s">
        <v>66</v>
      </c>
      <c r="I265" s="16">
        <v>2</v>
      </c>
      <c r="J265" s="17">
        <v>1</v>
      </c>
      <c r="K265" s="14" t="s">
        <v>67</v>
      </c>
      <c r="L265" s="14" t="s">
        <v>68</v>
      </c>
      <c r="M265" s="14"/>
      <c r="N265" s="14"/>
      <c r="O265" s="15"/>
      <c r="P265" s="18">
        <v>2</v>
      </c>
      <c r="Q265" s="19">
        <v>0</v>
      </c>
      <c r="R265" s="19">
        <v>0</v>
      </c>
      <c r="S265" s="19">
        <v>0</v>
      </c>
      <c r="T265" s="19">
        <v>0</v>
      </c>
      <c r="U265" s="14" t="s">
        <v>69</v>
      </c>
      <c r="V265" s="14" t="s">
        <v>69</v>
      </c>
      <c r="W265" s="14" t="s">
        <v>69</v>
      </c>
      <c r="X265" s="14" t="s">
        <v>69</v>
      </c>
      <c r="Y265" s="14" t="s">
        <v>69</v>
      </c>
      <c r="AM265">
        <f>COUNTIF(P265:T265,"&gt;0")</f>
      </c>
      <c r="AN265">
        <f>COUNTIF(P265,"&gt;0")</f>
      </c>
      <c r="AO265">
        <f>COUNTIF(Q265,"&gt;0")</f>
      </c>
      <c r="AP265">
        <f>COUNTIF(R265,"&gt;0")</f>
      </c>
      <c r="AQ265">
        <f>COUNTIF(S265,"&gt;0")</f>
      </c>
      <c r="AR265">
        <f>COUNTIF(T265,"&gt;0")</f>
      </c>
      <c r="AX265" t="s">
        <v>359</v>
      </c>
      <c r="AY265" t="s">
        <v>381</v>
      </c>
    </row>
    <row r="266" ht="18" customHeight="1" spans="1:51" x14ac:dyDescent="0.25">
      <c r="A266" s="14"/>
      <c r="B266" s="14"/>
      <c r="C266" s="14"/>
      <c r="D266" s="14"/>
      <c r="E266" s="14"/>
      <c r="F266" s="15"/>
      <c r="G266" s="15"/>
      <c r="H266" s="14" t="s">
        <v>71</v>
      </c>
      <c r="I266" s="16"/>
      <c r="J266" s="17"/>
      <c r="K266" s="14"/>
      <c r="L266" s="14"/>
      <c r="M266" s="14"/>
      <c r="N266" s="14"/>
      <c r="O266" s="15"/>
      <c r="P266" s="20">
        <v>0</v>
      </c>
      <c r="Q266" s="20">
        <v>0</v>
      </c>
      <c r="R266" s="20">
        <v>0</v>
      </c>
      <c r="S266" s="20">
        <v>0</v>
      </c>
      <c r="T266" s="20">
        <v>0</v>
      </c>
      <c r="U266" s="21" t="s">
        <v>69</v>
      </c>
      <c r="V266" s="21" t="s">
        <v>69</v>
      </c>
      <c r="W266" s="21" t="s">
        <v>69</v>
      </c>
      <c r="X266" s="21" t="s">
        <v>69</v>
      </c>
      <c r="Y266" s="21" t="s">
        <v>69</v>
      </c>
      <c r="AL266">
        <f>COUNTIF(P266:T266,"&gt;0")</f>
      </c>
      <c r="AS266">
        <f>COUNTIF(P266,"&gt;0")</f>
      </c>
      <c r="AT266">
        <f>COUNTIF(Q266,"&gt;0")</f>
      </c>
      <c r="AU266">
        <f>COUNTIF(R266,"&gt;0")</f>
      </c>
      <c r="AV266">
        <f>COUNTIF(S266,"&gt;0")</f>
      </c>
      <c r="AW266">
        <f>COUNTIF(T266,"&gt;0")</f>
      </c>
      <c r="AX266" t="s">
        <v>359</v>
      </c>
      <c r="AY266" t="s">
        <v>381</v>
      </c>
    </row>
    <row r="267" ht="28" customHeight="1" spans="1:51" x14ac:dyDescent="0.25">
      <c r="A267" s="14"/>
      <c r="B267" s="14"/>
      <c r="C267" s="14"/>
      <c r="D267" s="14"/>
      <c r="E267" s="14"/>
      <c r="F267" s="15" t="s">
        <v>382</v>
      </c>
      <c r="G267" s="15" t="s">
        <v>383</v>
      </c>
      <c r="H267" s="14" t="s">
        <v>66</v>
      </c>
      <c r="I267" s="16">
        <v>3</v>
      </c>
      <c r="J267" s="17">
        <v>3</v>
      </c>
      <c r="K267" s="14" t="s">
        <v>157</v>
      </c>
      <c r="L267" s="14" t="s">
        <v>68</v>
      </c>
      <c r="M267" s="14"/>
      <c r="N267" s="14"/>
      <c r="O267" s="15"/>
      <c r="P267" s="19">
        <v>0</v>
      </c>
      <c r="Q267" s="19">
        <v>0</v>
      </c>
      <c r="R267" s="19">
        <v>0</v>
      </c>
      <c r="S267" s="19">
        <v>0</v>
      </c>
      <c r="T267" s="24">
        <v>3</v>
      </c>
      <c r="U267" s="14" t="s">
        <v>69</v>
      </c>
      <c r="V267" s="14" t="s">
        <v>69</v>
      </c>
      <c r="W267" s="14" t="s">
        <v>69</v>
      </c>
      <c r="X267" s="14" t="s">
        <v>69</v>
      </c>
      <c r="Y267" s="14" t="s">
        <v>69</v>
      </c>
      <c r="AM267">
        <f>COUNTIF(P267:T267,"&gt;0")</f>
      </c>
      <c r="AN267">
        <f>COUNTIF(P267,"&gt;0")</f>
      </c>
      <c r="AO267">
        <f>COUNTIF(Q267,"&gt;0")</f>
      </c>
      <c r="AP267">
        <f>COUNTIF(R267,"&gt;0")</f>
      </c>
      <c r="AQ267">
        <f>COUNTIF(S267,"&gt;0")</f>
      </c>
      <c r="AR267">
        <f>COUNTIF(T267,"&gt;0")</f>
      </c>
      <c r="AX267" t="s">
        <v>359</v>
      </c>
      <c r="AY267" t="s">
        <v>384</v>
      </c>
    </row>
    <row r="268" ht="18" customHeight="1" spans="1:51" x14ac:dyDescent="0.25">
      <c r="A268" s="14"/>
      <c r="B268" s="14"/>
      <c r="C268" s="14"/>
      <c r="D268" s="14"/>
      <c r="E268" s="14"/>
      <c r="F268" s="15"/>
      <c r="G268" s="15"/>
      <c r="H268" s="14" t="s">
        <v>71</v>
      </c>
      <c r="I268" s="16"/>
      <c r="J268" s="17"/>
      <c r="K268" s="14"/>
      <c r="L268" s="14"/>
      <c r="M268" s="14"/>
      <c r="N268" s="14"/>
      <c r="O268" s="15"/>
      <c r="P268" s="20">
        <v>0</v>
      </c>
      <c r="Q268" s="20">
        <v>0</v>
      </c>
      <c r="R268" s="20">
        <v>0</v>
      </c>
      <c r="S268" s="20">
        <v>0</v>
      </c>
      <c r="T268" s="20">
        <v>0</v>
      </c>
      <c r="U268" s="21" t="s">
        <v>69</v>
      </c>
      <c r="V268" s="21" t="s">
        <v>69</v>
      </c>
      <c r="W268" s="21" t="s">
        <v>69</v>
      </c>
      <c r="X268" s="21" t="s">
        <v>69</v>
      </c>
      <c r="Y268" s="21" t="s">
        <v>69</v>
      </c>
      <c r="AL268">
        <f>COUNTIF(P268:T268,"&gt;0")</f>
      </c>
      <c r="AS268">
        <f>COUNTIF(P268,"&gt;0")</f>
      </c>
      <c r="AT268">
        <f>COUNTIF(Q268,"&gt;0")</f>
      </c>
      <c r="AU268">
        <f>COUNTIF(R268,"&gt;0")</f>
      </c>
      <c r="AV268">
        <f>COUNTIF(S268,"&gt;0")</f>
      </c>
      <c r="AW268">
        <f>COUNTIF(T268,"&gt;0")</f>
      </c>
      <c r="AX268" t="s">
        <v>359</v>
      </c>
      <c r="AY268" t="s">
        <v>384</v>
      </c>
    </row>
    <row r="269" ht="28" customHeight="1" spans="1:51" x14ac:dyDescent="0.25">
      <c r="A269" s="14"/>
      <c r="B269" s="14"/>
      <c r="C269" s="14"/>
      <c r="D269" s="14"/>
      <c r="E269" s="14"/>
      <c r="F269" s="15" t="s">
        <v>385</v>
      </c>
      <c r="G269" s="15" t="s">
        <v>386</v>
      </c>
      <c r="H269" s="14" t="s">
        <v>66</v>
      </c>
      <c r="I269" s="16">
        <v>3</v>
      </c>
      <c r="J269" s="17">
        <v>3</v>
      </c>
      <c r="K269" s="14" t="s">
        <v>157</v>
      </c>
      <c r="L269" s="14" t="s">
        <v>68</v>
      </c>
      <c r="M269" s="14"/>
      <c r="N269" s="14"/>
      <c r="O269" s="15"/>
      <c r="P269" s="19">
        <v>0</v>
      </c>
      <c r="Q269" s="19">
        <v>0</v>
      </c>
      <c r="R269" s="19">
        <v>0</v>
      </c>
      <c r="S269" s="19">
        <v>0</v>
      </c>
      <c r="T269" s="19">
        <v>0</v>
      </c>
      <c r="U269" s="14" t="s">
        <v>69</v>
      </c>
      <c r="V269" s="14" t="s">
        <v>69</v>
      </c>
      <c r="W269" s="14" t="s">
        <v>69</v>
      </c>
      <c r="X269" s="14" t="s">
        <v>69</v>
      </c>
      <c r="Y269" s="14" t="s">
        <v>69</v>
      </c>
      <c r="AM269">
        <f>COUNTIF(P269:T269,"&gt;0")</f>
      </c>
      <c r="AN269">
        <f>COUNTIF(P269,"&gt;0")</f>
      </c>
      <c r="AO269">
        <f>COUNTIF(Q269,"&gt;0")</f>
      </c>
      <c r="AP269">
        <f>COUNTIF(R269,"&gt;0")</f>
      </c>
      <c r="AQ269">
        <f>COUNTIF(S269,"&gt;0")</f>
      </c>
      <c r="AR269">
        <f>COUNTIF(T269,"&gt;0")</f>
      </c>
      <c r="AX269" t="s">
        <v>359</v>
      </c>
      <c r="AY269" t="s">
        <v>387</v>
      </c>
    </row>
    <row r="270" ht="18" customHeight="1" spans="1:51" x14ac:dyDescent="0.25">
      <c r="A270" s="14"/>
      <c r="B270" s="14"/>
      <c r="C270" s="14"/>
      <c r="D270" s="14"/>
      <c r="E270" s="14"/>
      <c r="F270" s="15"/>
      <c r="G270" s="15"/>
      <c r="H270" s="14" t="s">
        <v>71</v>
      </c>
      <c r="I270" s="16"/>
      <c r="J270" s="17"/>
      <c r="K270" s="14"/>
      <c r="L270" s="14"/>
      <c r="M270" s="14"/>
      <c r="N270" s="14"/>
      <c r="O270" s="15"/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1" t="s">
        <v>69</v>
      </c>
      <c r="V270" s="21" t="s">
        <v>69</v>
      </c>
      <c r="W270" s="21" t="s">
        <v>69</v>
      </c>
      <c r="X270" s="21" t="s">
        <v>69</v>
      </c>
      <c r="Y270" s="21" t="s">
        <v>69</v>
      </c>
      <c r="AL270">
        <f>COUNTIF(P270:T270,"&gt;0")</f>
      </c>
      <c r="AS270">
        <f>COUNTIF(P270,"&gt;0")</f>
      </c>
      <c r="AT270">
        <f>COUNTIF(Q270,"&gt;0")</f>
      </c>
      <c r="AU270">
        <f>COUNTIF(R270,"&gt;0")</f>
      </c>
      <c r="AV270">
        <f>COUNTIF(S270,"&gt;0")</f>
      </c>
      <c r="AW270">
        <f>COUNTIF(T270,"&gt;0")</f>
      </c>
      <c r="AX270" t="s">
        <v>359</v>
      </c>
      <c r="AY270" t="s">
        <v>387</v>
      </c>
    </row>
    <row r="271" ht="28" customHeight="1" spans="1:51" x14ac:dyDescent="0.25">
      <c r="A271" s="14"/>
      <c r="B271" s="14"/>
      <c r="C271" s="14"/>
      <c r="D271" s="14"/>
      <c r="E271" s="14"/>
      <c r="F271" s="15" t="s">
        <v>385</v>
      </c>
      <c r="G271" s="15" t="s">
        <v>388</v>
      </c>
      <c r="H271" s="14" t="s">
        <v>66</v>
      </c>
      <c r="I271" s="16">
        <v>3</v>
      </c>
      <c r="J271" s="17">
        <v>3</v>
      </c>
      <c r="K271" s="14" t="s">
        <v>157</v>
      </c>
      <c r="L271" s="14" t="s">
        <v>68</v>
      </c>
      <c r="M271" s="14"/>
      <c r="N271" s="14"/>
      <c r="O271" s="15"/>
      <c r="P271" s="19">
        <v>0</v>
      </c>
      <c r="Q271" s="19">
        <v>0</v>
      </c>
      <c r="R271" s="19">
        <v>0</v>
      </c>
      <c r="S271" s="19">
        <v>0</v>
      </c>
      <c r="T271" s="19">
        <v>0</v>
      </c>
      <c r="U271" s="14" t="s">
        <v>69</v>
      </c>
      <c r="V271" s="14" t="s">
        <v>69</v>
      </c>
      <c r="W271" s="14" t="s">
        <v>69</v>
      </c>
      <c r="X271" s="14" t="s">
        <v>69</v>
      </c>
      <c r="Y271" s="14" t="s">
        <v>69</v>
      </c>
      <c r="AM271">
        <f>COUNTIF(P271:T271,"&gt;0")</f>
      </c>
      <c r="AN271">
        <f>COUNTIF(P271,"&gt;0")</f>
      </c>
      <c r="AO271">
        <f>COUNTIF(Q271,"&gt;0")</f>
      </c>
      <c r="AP271">
        <f>COUNTIF(R271,"&gt;0")</f>
      </c>
      <c r="AQ271">
        <f>COUNTIF(S271,"&gt;0")</f>
      </c>
      <c r="AR271">
        <f>COUNTIF(T271,"&gt;0")</f>
      </c>
      <c r="AX271" t="s">
        <v>359</v>
      </c>
      <c r="AY271" t="s">
        <v>389</v>
      </c>
    </row>
    <row r="272" ht="18" customHeight="1" spans="1:51" x14ac:dyDescent="0.25">
      <c r="A272" s="14"/>
      <c r="B272" s="14"/>
      <c r="C272" s="14"/>
      <c r="D272" s="14"/>
      <c r="E272" s="14"/>
      <c r="F272" s="15"/>
      <c r="G272" s="15"/>
      <c r="H272" s="14" t="s">
        <v>71</v>
      </c>
      <c r="I272" s="16"/>
      <c r="J272" s="17"/>
      <c r="K272" s="14"/>
      <c r="L272" s="14"/>
      <c r="M272" s="14"/>
      <c r="N272" s="14"/>
      <c r="O272" s="15"/>
      <c r="P272" s="20">
        <v>0</v>
      </c>
      <c r="Q272" s="20">
        <v>0</v>
      </c>
      <c r="R272" s="20">
        <v>0</v>
      </c>
      <c r="S272" s="20">
        <v>0</v>
      </c>
      <c r="T272" s="20">
        <v>0</v>
      </c>
      <c r="U272" s="21" t="s">
        <v>69</v>
      </c>
      <c r="V272" s="21" t="s">
        <v>69</v>
      </c>
      <c r="W272" s="21" t="s">
        <v>69</v>
      </c>
      <c r="X272" s="21" t="s">
        <v>69</v>
      </c>
      <c r="Y272" s="21" t="s">
        <v>69</v>
      </c>
      <c r="AL272">
        <f>COUNTIF(P272:T272,"&gt;0")</f>
      </c>
      <c r="AS272">
        <f>COUNTIF(P272,"&gt;0")</f>
      </c>
      <c r="AT272">
        <f>COUNTIF(Q272,"&gt;0")</f>
      </c>
      <c r="AU272">
        <f>COUNTIF(R272,"&gt;0")</f>
      </c>
      <c r="AV272">
        <f>COUNTIF(S272,"&gt;0")</f>
      </c>
      <c r="AW272">
        <f>COUNTIF(T272,"&gt;0")</f>
      </c>
      <c r="AX272" t="s">
        <v>359</v>
      </c>
      <c r="AY272" t="s">
        <v>389</v>
      </c>
    </row>
    <row r="273" ht="28" customHeight="1" spans="1:51" x14ac:dyDescent="0.25">
      <c r="A273" s="14"/>
      <c r="B273" s="14"/>
      <c r="C273" s="14"/>
      <c r="D273" s="14"/>
      <c r="E273" s="14"/>
      <c r="F273" s="15" t="s">
        <v>328</v>
      </c>
      <c r="G273" s="15" t="s">
        <v>390</v>
      </c>
      <c r="H273" s="14" t="s">
        <v>66</v>
      </c>
      <c r="I273" s="16">
        <v>3</v>
      </c>
      <c r="J273" s="17">
        <v>3</v>
      </c>
      <c r="K273" s="14" t="s">
        <v>157</v>
      </c>
      <c r="L273" s="14" t="s">
        <v>68</v>
      </c>
      <c r="M273" s="14"/>
      <c r="N273" s="14"/>
      <c r="O273" s="15"/>
      <c r="P273" s="24">
        <v>3</v>
      </c>
      <c r="Q273" s="19">
        <v>0</v>
      </c>
      <c r="R273" s="19">
        <v>0</v>
      </c>
      <c r="S273" s="19">
        <v>0</v>
      </c>
      <c r="T273" s="19">
        <v>0</v>
      </c>
      <c r="U273" s="14" t="s">
        <v>69</v>
      </c>
      <c r="V273" s="14" t="s">
        <v>69</v>
      </c>
      <c r="W273" s="14" t="s">
        <v>69</v>
      </c>
      <c r="X273" s="14" t="s">
        <v>69</v>
      </c>
      <c r="Y273" s="14" t="s">
        <v>69</v>
      </c>
      <c r="AM273">
        <f>COUNTIF(P273:T273,"&gt;0")</f>
      </c>
      <c r="AN273">
        <f>COUNTIF(P273,"&gt;0")</f>
      </c>
      <c r="AO273">
        <f>COUNTIF(Q273,"&gt;0")</f>
      </c>
      <c r="AP273">
        <f>COUNTIF(R273,"&gt;0")</f>
      </c>
      <c r="AQ273">
        <f>COUNTIF(S273,"&gt;0")</f>
      </c>
      <c r="AR273">
        <f>COUNTIF(T273,"&gt;0")</f>
      </c>
      <c r="AX273" t="s">
        <v>359</v>
      </c>
      <c r="AY273" t="s">
        <v>391</v>
      </c>
    </row>
    <row r="274" ht="18" customHeight="1" spans="1:51" x14ac:dyDescent="0.25">
      <c r="A274" s="14"/>
      <c r="B274" s="14"/>
      <c r="C274" s="14"/>
      <c r="D274" s="14"/>
      <c r="E274" s="14"/>
      <c r="F274" s="15"/>
      <c r="G274" s="15"/>
      <c r="H274" s="14" t="s">
        <v>71</v>
      </c>
      <c r="I274" s="16"/>
      <c r="J274" s="17"/>
      <c r="K274" s="14"/>
      <c r="L274" s="14"/>
      <c r="M274" s="14"/>
      <c r="N274" s="14"/>
      <c r="O274" s="15"/>
      <c r="P274" s="20">
        <v>0</v>
      </c>
      <c r="Q274" s="20">
        <v>0</v>
      </c>
      <c r="R274" s="20">
        <v>0</v>
      </c>
      <c r="S274" s="20">
        <v>0</v>
      </c>
      <c r="T274" s="20">
        <v>0</v>
      </c>
      <c r="U274" s="21" t="s">
        <v>69</v>
      </c>
      <c r="V274" s="21" t="s">
        <v>69</v>
      </c>
      <c r="W274" s="21" t="s">
        <v>69</v>
      </c>
      <c r="X274" s="21" t="s">
        <v>69</v>
      </c>
      <c r="Y274" s="21" t="s">
        <v>69</v>
      </c>
      <c r="AL274">
        <f>COUNTIF(P274:T274,"&gt;0")</f>
      </c>
      <c r="AS274">
        <f>COUNTIF(P274,"&gt;0")</f>
      </c>
      <c r="AT274">
        <f>COUNTIF(Q274,"&gt;0")</f>
      </c>
      <c r="AU274">
        <f>COUNTIF(R274,"&gt;0")</f>
      </c>
      <c r="AV274">
        <f>COUNTIF(S274,"&gt;0")</f>
      </c>
      <c r="AW274">
        <f>COUNTIF(T274,"&gt;0")</f>
      </c>
      <c r="AX274" t="s">
        <v>359</v>
      </c>
      <c r="AY274" t="s">
        <v>391</v>
      </c>
    </row>
    <row r="275" ht="28" customHeight="1" spans="1:51" x14ac:dyDescent="0.25">
      <c r="A275" s="14"/>
      <c r="B275" s="14"/>
      <c r="C275" s="14"/>
      <c r="D275" s="14"/>
      <c r="E275" s="14"/>
      <c r="F275" s="15" t="s">
        <v>392</v>
      </c>
      <c r="G275" s="15" t="s">
        <v>393</v>
      </c>
      <c r="H275" s="14" t="s">
        <v>66</v>
      </c>
      <c r="I275" s="16">
        <v>3</v>
      </c>
      <c r="J275" s="17">
        <v>3</v>
      </c>
      <c r="K275" s="14" t="s">
        <v>157</v>
      </c>
      <c r="L275" s="14" t="s">
        <v>68</v>
      </c>
      <c r="M275" s="14"/>
      <c r="N275" s="14"/>
      <c r="O275" s="15"/>
      <c r="P275" s="19">
        <v>0</v>
      </c>
      <c r="Q275" s="19">
        <v>0</v>
      </c>
      <c r="R275" s="19">
        <v>0</v>
      </c>
      <c r="S275" s="19">
        <v>0</v>
      </c>
      <c r="T275" s="19">
        <v>0</v>
      </c>
      <c r="U275" s="14" t="s">
        <v>69</v>
      </c>
      <c r="V275" s="14" t="s">
        <v>69</v>
      </c>
      <c r="W275" s="14" t="s">
        <v>69</v>
      </c>
      <c r="X275" s="14" t="s">
        <v>69</v>
      </c>
      <c r="Y275" s="14" t="s">
        <v>69</v>
      </c>
      <c r="AM275">
        <f>COUNTIF(P275:T275,"&gt;0")</f>
      </c>
      <c r="AN275">
        <f>COUNTIF(P275,"&gt;0")</f>
      </c>
      <c r="AO275">
        <f>COUNTIF(Q275,"&gt;0")</f>
      </c>
      <c r="AP275">
        <f>COUNTIF(R275,"&gt;0")</f>
      </c>
      <c r="AQ275">
        <f>COUNTIF(S275,"&gt;0")</f>
      </c>
      <c r="AR275">
        <f>COUNTIF(T275,"&gt;0")</f>
      </c>
      <c r="AX275" t="s">
        <v>359</v>
      </c>
      <c r="AY275" t="s">
        <v>394</v>
      </c>
    </row>
    <row r="276" ht="18" customHeight="1" spans="1:51" x14ac:dyDescent="0.25">
      <c r="A276" s="14"/>
      <c r="B276" s="14"/>
      <c r="C276" s="14"/>
      <c r="D276" s="14"/>
      <c r="E276" s="14"/>
      <c r="F276" s="15"/>
      <c r="G276" s="15"/>
      <c r="H276" s="14" t="s">
        <v>71</v>
      </c>
      <c r="I276" s="16"/>
      <c r="J276" s="17"/>
      <c r="K276" s="14"/>
      <c r="L276" s="14"/>
      <c r="M276" s="14"/>
      <c r="N276" s="14"/>
      <c r="O276" s="15"/>
      <c r="P276" s="20">
        <v>0</v>
      </c>
      <c r="Q276" s="20">
        <v>0</v>
      </c>
      <c r="R276" s="20">
        <v>0</v>
      </c>
      <c r="S276" s="20">
        <v>0</v>
      </c>
      <c r="T276" s="20">
        <v>0</v>
      </c>
      <c r="U276" s="21" t="s">
        <v>69</v>
      </c>
      <c r="V276" s="21" t="s">
        <v>69</v>
      </c>
      <c r="W276" s="21" t="s">
        <v>69</v>
      </c>
      <c r="X276" s="21" t="s">
        <v>69</v>
      </c>
      <c r="Y276" s="21" t="s">
        <v>69</v>
      </c>
      <c r="AL276">
        <f>COUNTIF(P276:T276,"&gt;0")</f>
      </c>
      <c r="AS276">
        <f>COUNTIF(P276,"&gt;0")</f>
      </c>
      <c r="AT276">
        <f>COUNTIF(Q276,"&gt;0")</f>
      </c>
      <c r="AU276">
        <f>COUNTIF(R276,"&gt;0")</f>
      </c>
      <c r="AV276">
        <f>COUNTIF(S276,"&gt;0")</f>
      </c>
      <c r="AW276">
        <f>COUNTIF(T276,"&gt;0")</f>
      </c>
      <c r="AX276" t="s">
        <v>359</v>
      </c>
      <c r="AY276" t="s">
        <v>394</v>
      </c>
    </row>
    <row r="277" ht="28" customHeight="1" spans="1:51" x14ac:dyDescent="0.25">
      <c r="A277" s="14"/>
      <c r="B277" s="14"/>
      <c r="C277" s="14"/>
      <c r="D277" s="14"/>
      <c r="E277" s="14"/>
      <c r="F277" s="15" t="s">
        <v>395</v>
      </c>
      <c r="G277" s="15" t="s">
        <v>396</v>
      </c>
      <c r="H277" s="14" t="s">
        <v>66</v>
      </c>
      <c r="I277" s="16">
        <v>5</v>
      </c>
      <c r="J277" s="17">
        <v>12</v>
      </c>
      <c r="K277" s="14" t="s">
        <v>141</v>
      </c>
      <c r="L277" s="14" t="s">
        <v>68</v>
      </c>
      <c r="M277" s="14"/>
      <c r="N277" s="14"/>
      <c r="O277" s="15"/>
      <c r="P277" s="19">
        <v>0</v>
      </c>
      <c r="Q277" s="19">
        <v>0</v>
      </c>
      <c r="R277" s="19">
        <v>0</v>
      </c>
      <c r="S277" s="19">
        <v>0</v>
      </c>
      <c r="T277" s="19">
        <v>0</v>
      </c>
      <c r="U277" s="14" t="s">
        <v>69</v>
      </c>
      <c r="V277" s="14" t="s">
        <v>69</v>
      </c>
      <c r="W277" s="14" t="s">
        <v>69</v>
      </c>
      <c r="X277" s="14" t="s">
        <v>69</v>
      </c>
      <c r="Y277" s="14" t="s">
        <v>69</v>
      </c>
      <c r="AM277">
        <f>COUNTIF(P277:T277,"&gt;0")</f>
      </c>
      <c r="AN277">
        <f>COUNTIF(P277,"&gt;0")</f>
      </c>
      <c r="AO277">
        <f>COUNTIF(Q277,"&gt;0")</f>
      </c>
      <c r="AP277">
        <f>COUNTIF(R277,"&gt;0")</f>
      </c>
      <c r="AQ277">
        <f>COUNTIF(S277,"&gt;0")</f>
      </c>
      <c r="AR277">
        <f>COUNTIF(T277,"&gt;0")</f>
      </c>
      <c r="AX277" t="s">
        <v>359</v>
      </c>
      <c r="AY277" t="s">
        <v>397</v>
      </c>
    </row>
    <row r="278" ht="18" customHeight="1" spans="1:51" x14ac:dyDescent="0.25">
      <c r="A278" s="14"/>
      <c r="B278" s="14"/>
      <c r="C278" s="14"/>
      <c r="D278" s="14"/>
      <c r="E278" s="14"/>
      <c r="F278" s="15"/>
      <c r="G278" s="15"/>
      <c r="H278" s="14" t="s">
        <v>71</v>
      </c>
      <c r="I278" s="16"/>
      <c r="J278" s="17"/>
      <c r="K278" s="14"/>
      <c r="L278" s="14"/>
      <c r="M278" s="14"/>
      <c r="N278" s="14"/>
      <c r="O278" s="15"/>
      <c r="P278" s="20">
        <v>0</v>
      </c>
      <c r="Q278" s="20">
        <v>0</v>
      </c>
      <c r="R278" s="20">
        <v>0</v>
      </c>
      <c r="S278" s="20">
        <v>0</v>
      </c>
      <c r="T278" s="20">
        <v>0</v>
      </c>
      <c r="U278" s="21" t="s">
        <v>69</v>
      </c>
      <c r="V278" s="21" t="s">
        <v>69</v>
      </c>
      <c r="W278" s="21" t="s">
        <v>69</v>
      </c>
      <c r="X278" s="21" t="s">
        <v>69</v>
      </c>
      <c r="Y278" s="21" t="s">
        <v>69</v>
      </c>
      <c r="AL278">
        <f>COUNTIF(P278:T278,"&gt;0")</f>
      </c>
      <c r="AS278">
        <f>COUNTIF(P278,"&gt;0")</f>
      </c>
      <c r="AT278">
        <f>COUNTIF(Q278,"&gt;0")</f>
      </c>
      <c r="AU278">
        <f>COUNTIF(R278,"&gt;0")</f>
      </c>
      <c r="AV278">
        <f>COUNTIF(S278,"&gt;0")</f>
      </c>
      <c r="AW278">
        <f>COUNTIF(T278,"&gt;0")</f>
      </c>
      <c r="AX278" t="s">
        <v>359</v>
      </c>
      <c r="AY278" t="s">
        <v>397</v>
      </c>
    </row>
    <row r="279" ht="28" customHeight="1" spans="1:51" x14ac:dyDescent="0.25">
      <c r="A279" s="14"/>
      <c r="B279" s="14"/>
      <c r="C279" s="14"/>
      <c r="D279" s="14"/>
      <c r="E279" s="14"/>
      <c r="F279" s="15" t="s">
        <v>398</v>
      </c>
      <c r="G279" s="15" t="s">
        <v>399</v>
      </c>
      <c r="H279" s="14" t="s">
        <v>66</v>
      </c>
      <c r="I279" s="16">
        <v>5</v>
      </c>
      <c r="J279" s="17">
        <v>12</v>
      </c>
      <c r="K279" s="14" t="s">
        <v>141</v>
      </c>
      <c r="L279" s="14" t="s">
        <v>68</v>
      </c>
      <c r="M279" s="14"/>
      <c r="N279" s="14"/>
      <c r="O279" s="15"/>
      <c r="P279" s="19">
        <v>0</v>
      </c>
      <c r="Q279" s="19">
        <v>0</v>
      </c>
      <c r="R279" s="19">
        <v>0</v>
      </c>
      <c r="S279" s="19">
        <v>0</v>
      </c>
      <c r="T279" s="19">
        <v>0</v>
      </c>
      <c r="U279" s="14" t="s">
        <v>69</v>
      </c>
      <c r="V279" s="14" t="s">
        <v>69</v>
      </c>
      <c r="W279" s="14" t="s">
        <v>69</v>
      </c>
      <c r="X279" s="14" t="s">
        <v>69</v>
      </c>
      <c r="Y279" s="14" t="s">
        <v>69</v>
      </c>
      <c r="AM279">
        <f>COUNTIF(P279:T279,"&gt;0")</f>
      </c>
      <c r="AN279">
        <f>COUNTIF(P279,"&gt;0")</f>
      </c>
      <c r="AO279">
        <f>COUNTIF(Q279,"&gt;0")</f>
      </c>
      <c r="AP279">
        <f>COUNTIF(R279,"&gt;0")</f>
      </c>
      <c r="AQ279">
        <f>COUNTIF(S279,"&gt;0")</f>
      </c>
      <c r="AR279">
        <f>COUNTIF(T279,"&gt;0")</f>
      </c>
      <c r="AX279" t="s">
        <v>359</v>
      </c>
      <c r="AY279" t="s">
        <v>400</v>
      </c>
    </row>
    <row r="280" ht="18" customHeight="1" spans="1:51" x14ac:dyDescent="0.25">
      <c r="A280" s="14"/>
      <c r="B280" s="14"/>
      <c r="C280" s="14"/>
      <c r="D280" s="14"/>
      <c r="E280" s="14"/>
      <c r="F280" s="15"/>
      <c r="G280" s="15"/>
      <c r="H280" s="14" t="s">
        <v>71</v>
      </c>
      <c r="I280" s="16"/>
      <c r="J280" s="17"/>
      <c r="K280" s="14"/>
      <c r="L280" s="14"/>
      <c r="M280" s="14"/>
      <c r="N280" s="14"/>
      <c r="O280" s="15"/>
      <c r="P280" s="20">
        <v>0</v>
      </c>
      <c r="Q280" s="20">
        <v>0</v>
      </c>
      <c r="R280" s="20">
        <v>0</v>
      </c>
      <c r="S280" s="20">
        <v>0</v>
      </c>
      <c r="T280" s="20">
        <v>0</v>
      </c>
      <c r="U280" s="21" t="s">
        <v>69</v>
      </c>
      <c r="V280" s="21" t="s">
        <v>69</v>
      </c>
      <c r="W280" s="21" t="s">
        <v>69</v>
      </c>
      <c r="X280" s="21" t="s">
        <v>69</v>
      </c>
      <c r="Y280" s="21" t="s">
        <v>69</v>
      </c>
      <c r="AL280">
        <f>COUNTIF(P280:T280,"&gt;0")</f>
      </c>
      <c r="AS280">
        <f>COUNTIF(P280,"&gt;0")</f>
      </c>
      <c r="AT280">
        <f>COUNTIF(Q280,"&gt;0")</f>
      </c>
      <c r="AU280">
        <f>COUNTIF(R280,"&gt;0")</f>
      </c>
      <c r="AV280">
        <f>COUNTIF(S280,"&gt;0")</f>
      </c>
      <c r="AW280">
        <f>COUNTIF(T280,"&gt;0")</f>
      </c>
      <c r="AX280" t="s">
        <v>359</v>
      </c>
      <c r="AY280" t="s">
        <v>400</v>
      </c>
    </row>
    <row r="281" ht="28" customHeight="1" spans="1:51" x14ac:dyDescent="0.25">
      <c r="A281" s="14"/>
      <c r="B281" s="14"/>
      <c r="C281" s="14"/>
      <c r="D281" s="14"/>
      <c r="E281" s="14"/>
      <c r="F281" s="15" t="s">
        <v>401</v>
      </c>
      <c r="G281" s="15" t="s">
        <v>402</v>
      </c>
      <c r="H281" s="14" t="s">
        <v>66</v>
      </c>
      <c r="I281" s="16">
        <v>5</v>
      </c>
      <c r="J281" s="17">
        <v>12</v>
      </c>
      <c r="K281" s="14" t="s">
        <v>141</v>
      </c>
      <c r="L281" s="14" t="s">
        <v>68</v>
      </c>
      <c r="M281" s="14"/>
      <c r="N281" s="14"/>
      <c r="O281" s="15"/>
      <c r="P281" s="19">
        <v>0</v>
      </c>
      <c r="Q281" s="19">
        <v>0</v>
      </c>
      <c r="R281" s="19">
        <v>0</v>
      </c>
      <c r="S281" s="19">
        <v>0</v>
      </c>
      <c r="T281" s="19">
        <v>0</v>
      </c>
      <c r="U281" s="14" t="s">
        <v>69</v>
      </c>
      <c r="V281" s="14" t="s">
        <v>69</v>
      </c>
      <c r="W281" s="14" t="s">
        <v>69</v>
      </c>
      <c r="X281" s="14" t="s">
        <v>69</v>
      </c>
      <c r="Y281" s="14" t="s">
        <v>69</v>
      </c>
      <c r="AM281">
        <f>COUNTIF(P281:T281,"&gt;0")</f>
      </c>
      <c r="AN281">
        <f>COUNTIF(P281,"&gt;0")</f>
      </c>
      <c r="AO281">
        <f>COUNTIF(Q281,"&gt;0")</f>
      </c>
      <c r="AP281">
        <f>COUNTIF(R281,"&gt;0")</f>
      </c>
      <c r="AQ281">
        <f>COUNTIF(S281,"&gt;0")</f>
      </c>
      <c r="AR281">
        <f>COUNTIF(T281,"&gt;0")</f>
      </c>
      <c r="AX281" t="s">
        <v>359</v>
      </c>
      <c r="AY281" t="s">
        <v>403</v>
      </c>
    </row>
    <row r="282" ht="18" customHeight="1" spans="1:51" x14ac:dyDescent="0.25">
      <c r="A282" s="14"/>
      <c r="B282" s="14"/>
      <c r="C282" s="14"/>
      <c r="D282" s="14"/>
      <c r="E282" s="14"/>
      <c r="F282" s="15"/>
      <c r="G282" s="15"/>
      <c r="H282" s="14" t="s">
        <v>71</v>
      </c>
      <c r="I282" s="16"/>
      <c r="J282" s="17"/>
      <c r="K282" s="14"/>
      <c r="L282" s="14"/>
      <c r="M282" s="14"/>
      <c r="N282" s="14"/>
      <c r="O282" s="15"/>
      <c r="P282" s="20">
        <v>0</v>
      </c>
      <c r="Q282" s="20">
        <v>0</v>
      </c>
      <c r="R282" s="20">
        <v>0</v>
      </c>
      <c r="S282" s="20">
        <v>0</v>
      </c>
      <c r="T282" s="20">
        <v>0</v>
      </c>
      <c r="U282" s="21" t="s">
        <v>69</v>
      </c>
      <c r="V282" s="21" t="s">
        <v>69</v>
      </c>
      <c r="W282" s="21" t="s">
        <v>69</v>
      </c>
      <c r="X282" s="21" t="s">
        <v>69</v>
      </c>
      <c r="Y282" s="21" t="s">
        <v>69</v>
      </c>
      <c r="AL282">
        <f>COUNTIF(P282:T282,"&gt;0")</f>
      </c>
      <c r="AS282">
        <f>COUNTIF(P282,"&gt;0")</f>
      </c>
      <c r="AT282">
        <f>COUNTIF(Q282,"&gt;0")</f>
      </c>
      <c r="AU282">
        <f>COUNTIF(R282,"&gt;0")</f>
      </c>
      <c r="AV282">
        <f>COUNTIF(S282,"&gt;0")</f>
      </c>
      <c r="AW282">
        <f>COUNTIF(T282,"&gt;0")</f>
      </c>
      <c r="AX282" t="s">
        <v>359</v>
      </c>
      <c r="AY282" t="s">
        <v>403</v>
      </c>
    </row>
    <row r="283" ht="28" customHeight="1" spans="1:51" x14ac:dyDescent="0.25">
      <c r="A283" s="14"/>
      <c r="B283" s="14" t="s">
        <v>404</v>
      </c>
      <c r="C283" s="14" t="s">
        <v>405</v>
      </c>
      <c r="D283" s="14" t="s">
        <v>406</v>
      </c>
      <c r="E283" s="14" t="s">
        <v>118</v>
      </c>
      <c r="F283" s="15" t="s">
        <v>362</v>
      </c>
      <c r="G283" s="15" t="s">
        <v>363</v>
      </c>
      <c r="H283" s="14" t="s">
        <v>66</v>
      </c>
      <c r="I283" s="16">
        <v>2</v>
      </c>
      <c r="J283" s="17">
        <v>1</v>
      </c>
      <c r="K283" s="14" t="s">
        <v>67</v>
      </c>
      <c r="L283" s="14" t="s">
        <v>68</v>
      </c>
      <c r="M283" s="14"/>
      <c r="N283" s="14"/>
      <c r="O283" s="15"/>
      <c r="P283" s="19">
        <v>0</v>
      </c>
      <c r="Q283" s="18">
        <v>2</v>
      </c>
      <c r="R283" s="19">
        <v>0</v>
      </c>
      <c r="S283" s="19">
        <v>0</v>
      </c>
      <c r="T283" s="19">
        <v>0</v>
      </c>
      <c r="U283" s="14" t="s">
        <v>69</v>
      </c>
      <c r="V283" s="14" t="s">
        <v>69</v>
      </c>
      <c r="W283" s="14" t="s">
        <v>69</v>
      </c>
      <c r="X283" s="14" t="s">
        <v>69</v>
      </c>
      <c r="Y283" s="14" t="s">
        <v>69</v>
      </c>
      <c r="AM283">
        <f>COUNTIF(P283:T283,"&gt;0")</f>
      </c>
      <c r="AN283">
        <f>COUNTIF(P283,"&gt;0")</f>
      </c>
      <c r="AO283">
        <f>COUNTIF(Q283,"&gt;0")</f>
      </c>
      <c r="AP283">
        <f>COUNTIF(R283,"&gt;0")</f>
      </c>
      <c r="AQ283">
        <f>COUNTIF(S283,"&gt;0")</f>
      </c>
      <c r="AR283">
        <f>COUNTIF(T283,"&gt;0")</f>
      </c>
      <c r="AX283" t="s">
        <v>404</v>
      </c>
      <c r="AY283" t="s">
        <v>407</v>
      </c>
    </row>
    <row r="284" ht="18" customHeight="1" spans="1:51" x14ac:dyDescent="0.25">
      <c r="A284" s="14"/>
      <c r="B284" s="14"/>
      <c r="C284" s="14"/>
      <c r="D284" s="14"/>
      <c r="E284" s="14"/>
      <c r="F284" s="15"/>
      <c r="G284" s="15"/>
      <c r="H284" s="14" t="s">
        <v>71</v>
      </c>
      <c r="I284" s="16"/>
      <c r="J284" s="17"/>
      <c r="K284" s="14"/>
      <c r="L284" s="14"/>
      <c r="M284" s="14"/>
      <c r="N284" s="14"/>
      <c r="O284" s="15"/>
      <c r="P284" s="20">
        <v>0</v>
      </c>
      <c r="Q284" s="20">
        <v>0</v>
      </c>
      <c r="R284" s="20">
        <v>0</v>
      </c>
      <c r="S284" s="20">
        <v>0</v>
      </c>
      <c r="T284" s="20">
        <v>0</v>
      </c>
      <c r="U284" s="21" t="s">
        <v>69</v>
      </c>
      <c r="V284" s="21" t="s">
        <v>69</v>
      </c>
      <c r="W284" s="21" t="s">
        <v>69</v>
      </c>
      <c r="X284" s="21" t="s">
        <v>69</v>
      </c>
      <c r="Y284" s="21" t="s">
        <v>69</v>
      </c>
      <c r="AL284">
        <f>COUNTIF(P284:T284,"&gt;0")</f>
      </c>
      <c r="AS284">
        <f>COUNTIF(P284,"&gt;0")</f>
      </c>
      <c r="AT284">
        <f>COUNTIF(Q284,"&gt;0")</f>
      </c>
      <c r="AU284">
        <f>COUNTIF(R284,"&gt;0")</f>
      </c>
      <c r="AV284">
        <f>COUNTIF(S284,"&gt;0")</f>
      </c>
      <c r="AW284">
        <f>COUNTIF(T284,"&gt;0")</f>
      </c>
      <c r="AX284" t="s">
        <v>404</v>
      </c>
      <c r="AY284" t="s">
        <v>407</v>
      </c>
    </row>
    <row r="285" ht="28" customHeight="1" spans="1:51" x14ac:dyDescent="0.25">
      <c r="A285" s="14"/>
      <c r="B285" s="14"/>
      <c r="C285" s="14"/>
      <c r="D285" s="14"/>
      <c r="E285" s="14"/>
      <c r="F285" s="15" t="s">
        <v>365</v>
      </c>
      <c r="G285" s="15" t="s">
        <v>366</v>
      </c>
      <c r="H285" s="14" t="s">
        <v>66</v>
      </c>
      <c r="I285" s="16">
        <v>2</v>
      </c>
      <c r="J285" s="17">
        <v>1</v>
      </c>
      <c r="K285" s="14" t="s">
        <v>67</v>
      </c>
      <c r="L285" s="14" t="s">
        <v>68</v>
      </c>
      <c r="M285" s="14"/>
      <c r="N285" s="14"/>
      <c r="O285" s="15"/>
      <c r="P285" s="19">
        <v>0</v>
      </c>
      <c r="Q285" s="19">
        <v>0</v>
      </c>
      <c r="R285" s="18">
        <v>2</v>
      </c>
      <c r="S285" s="19">
        <v>0</v>
      </c>
      <c r="T285" s="19">
        <v>0</v>
      </c>
      <c r="U285" s="14" t="s">
        <v>69</v>
      </c>
      <c r="V285" s="14" t="s">
        <v>69</v>
      </c>
      <c r="W285" s="14" t="s">
        <v>69</v>
      </c>
      <c r="X285" s="14" t="s">
        <v>69</v>
      </c>
      <c r="Y285" s="14" t="s">
        <v>69</v>
      </c>
      <c r="AM285">
        <f>COUNTIF(P285:T285,"&gt;0")</f>
      </c>
      <c r="AN285">
        <f>COUNTIF(P285,"&gt;0")</f>
      </c>
      <c r="AO285">
        <f>COUNTIF(Q285,"&gt;0")</f>
      </c>
      <c r="AP285">
        <f>COUNTIF(R285,"&gt;0")</f>
      </c>
      <c r="AQ285">
        <f>COUNTIF(S285,"&gt;0")</f>
      </c>
      <c r="AR285">
        <f>COUNTIF(T285,"&gt;0")</f>
      </c>
      <c r="AX285" t="s">
        <v>404</v>
      </c>
      <c r="AY285" t="s">
        <v>408</v>
      </c>
    </row>
    <row r="286" ht="18" customHeight="1" spans="1:51" x14ac:dyDescent="0.25">
      <c r="A286" s="14"/>
      <c r="B286" s="14"/>
      <c r="C286" s="14"/>
      <c r="D286" s="14"/>
      <c r="E286" s="14"/>
      <c r="F286" s="15"/>
      <c r="G286" s="15"/>
      <c r="H286" s="14" t="s">
        <v>71</v>
      </c>
      <c r="I286" s="16"/>
      <c r="J286" s="17"/>
      <c r="K286" s="14"/>
      <c r="L286" s="14"/>
      <c r="M286" s="14"/>
      <c r="N286" s="14"/>
      <c r="O286" s="15"/>
      <c r="P286" s="20">
        <v>0</v>
      </c>
      <c r="Q286" s="20">
        <v>0</v>
      </c>
      <c r="R286" s="20">
        <v>0</v>
      </c>
      <c r="S286" s="20">
        <v>0</v>
      </c>
      <c r="T286" s="20">
        <v>0</v>
      </c>
      <c r="U286" s="21" t="s">
        <v>69</v>
      </c>
      <c r="V286" s="21" t="s">
        <v>69</v>
      </c>
      <c r="W286" s="21" t="s">
        <v>69</v>
      </c>
      <c r="X286" s="21" t="s">
        <v>69</v>
      </c>
      <c r="Y286" s="21" t="s">
        <v>69</v>
      </c>
      <c r="AL286">
        <f>COUNTIF(P286:T286,"&gt;0")</f>
      </c>
      <c r="AS286">
        <f>COUNTIF(P286,"&gt;0")</f>
      </c>
      <c r="AT286">
        <f>COUNTIF(Q286,"&gt;0")</f>
      </c>
      <c r="AU286">
        <f>COUNTIF(R286,"&gt;0")</f>
      </c>
      <c r="AV286">
        <f>COUNTIF(S286,"&gt;0")</f>
      </c>
      <c r="AW286">
        <f>COUNTIF(T286,"&gt;0")</f>
      </c>
      <c r="AX286" t="s">
        <v>404</v>
      </c>
      <c r="AY286" t="s">
        <v>408</v>
      </c>
    </row>
    <row r="287" ht="28" customHeight="1" spans="1:51" x14ac:dyDescent="0.25">
      <c r="A287" s="14"/>
      <c r="B287" s="14"/>
      <c r="C287" s="14"/>
      <c r="D287" s="14"/>
      <c r="E287" s="14"/>
      <c r="F287" s="15" t="s">
        <v>365</v>
      </c>
      <c r="G287" s="15" t="s">
        <v>368</v>
      </c>
      <c r="H287" s="14" t="s">
        <v>66</v>
      </c>
      <c r="I287" s="16">
        <v>2</v>
      </c>
      <c r="J287" s="17">
        <v>1</v>
      </c>
      <c r="K287" s="14" t="s">
        <v>67</v>
      </c>
      <c r="L287" s="14" t="s">
        <v>68</v>
      </c>
      <c r="M287" s="14"/>
      <c r="N287" s="14"/>
      <c r="O287" s="15"/>
      <c r="P287" s="19">
        <v>0</v>
      </c>
      <c r="Q287" s="19">
        <v>0</v>
      </c>
      <c r="R287" s="19">
        <v>0</v>
      </c>
      <c r="S287" s="18">
        <v>2</v>
      </c>
      <c r="T287" s="19">
        <v>0</v>
      </c>
      <c r="U287" s="14" t="s">
        <v>69</v>
      </c>
      <c r="V287" s="14" t="s">
        <v>69</v>
      </c>
      <c r="W287" s="14" t="s">
        <v>69</v>
      </c>
      <c r="X287" s="14" t="s">
        <v>69</v>
      </c>
      <c r="Y287" s="14" t="s">
        <v>69</v>
      </c>
      <c r="AM287">
        <f>COUNTIF(P287:T287,"&gt;0")</f>
      </c>
      <c r="AN287">
        <f>COUNTIF(P287,"&gt;0")</f>
      </c>
      <c r="AO287">
        <f>COUNTIF(Q287,"&gt;0")</f>
      </c>
      <c r="AP287">
        <f>COUNTIF(R287,"&gt;0")</f>
      </c>
      <c r="AQ287">
        <f>COUNTIF(S287,"&gt;0")</f>
      </c>
      <c r="AR287">
        <f>COUNTIF(T287,"&gt;0")</f>
      </c>
      <c r="AX287" t="s">
        <v>404</v>
      </c>
      <c r="AY287" t="s">
        <v>409</v>
      </c>
    </row>
    <row r="288" ht="18" customHeight="1" spans="1:51" x14ac:dyDescent="0.25">
      <c r="A288" s="14"/>
      <c r="B288" s="14"/>
      <c r="C288" s="14"/>
      <c r="D288" s="14"/>
      <c r="E288" s="14"/>
      <c r="F288" s="15"/>
      <c r="G288" s="15"/>
      <c r="H288" s="14" t="s">
        <v>71</v>
      </c>
      <c r="I288" s="16"/>
      <c r="J288" s="17"/>
      <c r="K288" s="14"/>
      <c r="L288" s="14"/>
      <c r="M288" s="14"/>
      <c r="N288" s="14"/>
      <c r="O288" s="15"/>
      <c r="P288" s="20">
        <v>0</v>
      </c>
      <c r="Q288" s="20">
        <v>0</v>
      </c>
      <c r="R288" s="20">
        <v>0</v>
      </c>
      <c r="S288" s="20">
        <v>0</v>
      </c>
      <c r="T288" s="20">
        <v>0</v>
      </c>
      <c r="U288" s="21" t="s">
        <v>69</v>
      </c>
      <c r="V288" s="21" t="s">
        <v>69</v>
      </c>
      <c r="W288" s="21" t="s">
        <v>69</v>
      </c>
      <c r="X288" s="21" t="s">
        <v>69</v>
      </c>
      <c r="Y288" s="21" t="s">
        <v>69</v>
      </c>
      <c r="AL288">
        <f>COUNTIF(P288:T288,"&gt;0")</f>
      </c>
      <c r="AS288">
        <f>COUNTIF(P288,"&gt;0")</f>
      </c>
      <c r="AT288">
        <f>COUNTIF(Q288,"&gt;0")</f>
      </c>
      <c r="AU288">
        <f>COUNTIF(R288,"&gt;0")</f>
      </c>
      <c r="AV288">
        <f>COUNTIF(S288,"&gt;0")</f>
      </c>
      <c r="AW288">
        <f>COUNTIF(T288,"&gt;0")</f>
      </c>
      <c r="AX288" t="s">
        <v>404</v>
      </c>
      <c r="AY288" t="s">
        <v>409</v>
      </c>
    </row>
    <row r="289" ht="28" customHeight="1" spans="1:51" x14ac:dyDescent="0.25">
      <c r="A289" s="14"/>
      <c r="B289" s="14"/>
      <c r="C289" s="14"/>
      <c r="D289" s="14"/>
      <c r="E289" s="14"/>
      <c r="F289" s="15" t="s">
        <v>370</v>
      </c>
      <c r="G289" s="15" t="s">
        <v>371</v>
      </c>
      <c r="H289" s="14" t="s">
        <v>66</v>
      </c>
      <c r="I289" s="16">
        <v>2</v>
      </c>
      <c r="J289" s="17">
        <v>1</v>
      </c>
      <c r="K289" s="14" t="s">
        <v>67</v>
      </c>
      <c r="L289" s="14" t="s">
        <v>68</v>
      </c>
      <c r="M289" s="14"/>
      <c r="N289" s="14"/>
      <c r="O289" s="15"/>
      <c r="P289" s="19">
        <v>0</v>
      </c>
      <c r="Q289" s="19">
        <v>0</v>
      </c>
      <c r="R289" s="19">
        <v>0</v>
      </c>
      <c r="S289" s="19">
        <v>0</v>
      </c>
      <c r="T289" s="18">
        <v>2</v>
      </c>
      <c r="U289" s="14" t="s">
        <v>69</v>
      </c>
      <c r="V289" s="14" t="s">
        <v>69</v>
      </c>
      <c r="W289" s="14" t="s">
        <v>69</v>
      </c>
      <c r="X289" s="14" t="s">
        <v>69</v>
      </c>
      <c r="Y289" s="14" t="s">
        <v>69</v>
      </c>
      <c r="AM289">
        <f>COUNTIF(P289:T289,"&gt;0")</f>
      </c>
      <c r="AN289">
        <f>COUNTIF(P289,"&gt;0")</f>
      </c>
      <c r="AO289">
        <f>COUNTIF(Q289,"&gt;0")</f>
      </c>
      <c r="AP289">
        <f>COUNTIF(R289,"&gt;0")</f>
      </c>
      <c r="AQ289">
        <f>COUNTIF(S289,"&gt;0")</f>
      </c>
      <c r="AR289">
        <f>COUNTIF(T289,"&gt;0")</f>
      </c>
      <c r="AX289" t="s">
        <v>404</v>
      </c>
      <c r="AY289" t="s">
        <v>410</v>
      </c>
    </row>
    <row r="290" ht="18" customHeight="1" spans="1:51" x14ac:dyDescent="0.25">
      <c r="A290" s="14"/>
      <c r="B290" s="14"/>
      <c r="C290" s="14"/>
      <c r="D290" s="14"/>
      <c r="E290" s="14"/>
      <c r="F290" s="15"/>
      <c r="G290" s="15"/>
      <c r="H290" s="14" t="s">
        <v>71</v>
      </c>
      <c r="I290" s="16"/>
      <c r="J290" s="17"/>
      <c r="K290" s="14"/>
      <c r="L290" s="14"/>
      <c r="M290" s="14"/>
      <c r="N290" s="14"/>
      <c r="O290" s="15"/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1" t="s">
        <v>69</v>
      </c>
      <c r="V290" s="21" t="s">
        <v>69</v>
      </c>
      <c r="W290" s="21" t="s">
        <v>69</v>
      </c>
      <c r="X290" s="21" t="s">
        <v>69</v>
      </c>
      <c r="Y290" s="21" t="s">
        <v>69</v>
      </c>
      <c r="AL290">
        <f>COUNTIF(P290:T290,"&gt;0")</f>
      </c>
      <c r="AS290">
        <f>COUNTIF(P290,"&gt;0")</f>
      </c>
      <c r="AT290">
        <f>COUNTIF(Q290,"&gt;0")</f>
      </c>
      <c r="AU290">
        <f>COUNTIF(R290,"&gt;0")</f>
      </c>
      <c r="AV290">
        <f>COUNTIF(S290,"&gt;0")</f>
      </c>
      <c r="AW290">
        <f>COUNTIF(T290,"&gt;0")</f>
      </c>
      <c r="AX290" t="s">
        <v>404</v>
      </c>
      <c r="AY290" t="s">
        <v>410</v>
      </c>
    </row>
    <row r="291" ht="28" customHeight="1" spans="1:51" x14ac:dyDescent="0.25">
      <c r="A291" s="14"/>
      <c r="B291" s="14"/>
      <c r="C291" s="14"/>
      <c r="D291" s="14"/>
      <c r="E291" s="14"/>
      <c r="F291" s="15" t="s">
        <v>373</v>
      </c>
      <c r="G291" s="15" t="s">
        <v>374</v>
      </c>
      <c r="H291" s="14" t="s">
        <v>66</v>
      </c>
      <c r="I291" s="16">
        <v>2</v>
      </c>
      <c r="J291" s="17">
        <v>1</v>
      </c>
      <c r="K291" s="14" t="s">
        <v>67</v>
      </c>
      <c r="L291" s="14" t="s">
        <v>68</v>
      </c>
      <c r="M291" s="14"/>
      <c r="N291" s="14"/>
      <c r="O291" s="15"/>
      <c r="P291" s="18">
        <v>2</v>
      </c>
      <c r="Q291" s="19">
        <v>0</v>
      </c>
      <c r="R291" s="19">
        <v>0</v>
      </c>
      <c r="S291" s="19">
        <v>0</v>
      </c>
      <c r="T291" s="19">
        <v>0</v>
      </c>
      <c r="U291" s="14" t="s">
        <v>69</v>
      </c>
      <c r="V291" s="14" t="s">
        <v>69</v>
      </c>
      <c r="W291" s="14" t="s">
        <v>69</v>
      </c>
      <c r="X291" s="14" t="s">
        <v>69</v>
      </c>
      <c r="Y291" s="14" t="s">
        <v>69</v>
      </c>
      <c r="AM291">
        <f>COUNTIF(P291:T291,"&gt;0")</f>
      </c>
      <c r="AN291">
        <f>COUNTIF(P291,"&gt;0")</f>
      </c>
      <c r="AO291">
        <f>COUNTIF(Q291,"&gt;0")</f>
      </c>
      <c r="AP291">
        <f>COUNTIF(R291,"&gt;0")</f>
      </c>
      <c r="AQ291">
        <f>COUNTIF(S291,"&gt;0")</f>
      </c>
      <c r="AR291">
        <f>COUNTIF(T291,"&gt;0")</f>
      </c>
      <c r="AX291" t="s">
        <v>404</v>
      </c>
      <c r="AY291" t="s">
        <v>411</v>
      </c>
    </row>
    <row r="292" ht="18" customHeight="1" spans="1:51" x14ac:dyDescent="0.25">
      <c r="A292" s="14"/>
      <c r="B292" s="14"/>
      <c r="C292" s="14"/>
      <c r="D292" s="14"/>
      <c r="E292" s="14"/>
      <c r="F292" s="15"/>
      <c r="G292" s="15"/>
      <c r="H292" s="14" t="s">
        <v>71</v>
      </c>
      <c r="I292" s="16"/>
      <c r="J292" s="17"/>
      <c r="K292" s="14"/>
      <c r="L292" s="14"/>
      <c r="M292" s="14"/>
      <c r="N292" s="14"/>
      <c r="O292" s="15"/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1" t="s">
        <v>69</v>
      </c>
      <c r="V292" s="21" t="s">
        <v>69</v>
      </c>
      <c r="W292" s="21" t="s">
        <v>69</v>
      </c>
      <c r="X292" s="21" t="s">
        <v>69</v>
      </c>
      <c r="Y292" s="21" t="s">
        <v>69</v>
      </c>
      <c r="AL292">
        <f>COUNTIF(P292:T292,"&gt;0")</f>
      </c>
      <c r="AS292">
        <f>COUNTIF(P292,"&gt;0")</f>
      </c>
      <c r="AT292">
        <f>COUNTIF(Q292,"&gt;0")</f>
      </c>
      <c r="AU292">
        <f>COUNTIF(R292,"&gt;0")</f>
      </c>
      <c r="AV292">
        <f>COUNTIF(S292,"&gt;0")</f>
      </c>
      <c r="AW292">
        <f>COUNTIF(T292,"&gt;0")</f>
      </c>
      <c r="AX292" t="s">
        <v>404</v>
      </c>
      <c r="AY292" t="s">
        <v>411</v>
      </c>
    </row>
    <row r="293" ht="28" customHeight="1" spans="1:51" x14ac:dyDescent="0.25">
      <c r="A293" s="14"/>
      <c r="B293" s="14"/>
      <c r="C293" s="14"/>
      <c r="D293" s="14"/>
      <c r="E293" s="14"/>
      <c r="F293" s="15" t="s">
        <v>376</v>
      </c>
      <c r="G293" s="15" t="s">
        <v>377</v>
      </c>
      <c r="H293" s="14" t="s">
        <v>66</v>
      </c>
      <c r="I293" s="16">
        <v>2</v>
      </c>
      <c r="J293" s="17">
        <v>1</v>
      </c>
      <c r="K293" s="14" t="s">
        <v>67</v>
      </c>
      <c r="L293" s="14" t="s">
        <v>68</v>
      </c>
      <c r="M293" s="14"/>
      <c r="N293" s="14"/>
      <c r="O293" s="15"/>
      <c r="P293" s="19">
        <v>0</v>
      </c>
      <c r="Q293" s="18">
        <v>2</v>
      </c>
      <c r="R293" s="19">
        <v>0</v>
      </c>
      <c r="S293" s="19">
        <v>0</v>
      </c>
      <c r="T293" s="19">
        <v>0</v>
      </c>
      <c r="U293" s="14" t="s">
        <v>69</v>
      </c>
      <c r="V293" s="14" t="s">
        <v>69</v>
      </c>
      <c r="W293" s="14" t="s">
        <v>69</v>
      </c>
      <c r="X293" s="14" t="s">
        <v>69</v>
      </c>
      <c r="Y293" s="14" t="s">
        <v>69</v>
      </c>
      <c r="AM293">
        <f>COUNTIF(P293:T293,"&gt;0")</f>
      </c>
      <c r="AN293">
        <f>COUNTIF(P293,"&gt;0")</f>
      </c>
      <c r="AO293">
        <f>COUNTIF(Q293,"&gt;0")</f>
      </c>
      <c r="AP293">
        <f>COUNTIF(R293,"&gt;0")</f>
      </c>
      <c r="AQ293">
        <f>COUNTIF(S293,"&gt;0")</f>
      </c>
      <c r="AR293">
        <f>COUNTIF(T293,"&gt;0")</f>
      </c>
      <c r="AX293" t="s">
        <v>404</v>
      </c>
      <c r="AY293" t="s">
        <v>412</v>
      </c>
    </row>
    <row r="294" ht="18" customHeight="1" spans="1:51" x14ac:dyDescent="0.25">
      <c r="A294" s="14"/>
      <c r="B294" s="14"/>
      <c r="C294" s="14"/>
      <c r="D294" s="14"/>
      <c r="E294" s="14"/>
      <c r="F294" s="15"/>
      <c r="G294" s="15"/>
      <c r="H294" s="14" t="s">
        <v>71</v>
      </c>
      <c r="I294" s="16"/>
      <c r="J294" s="17"/>
      <c r="K294" s="14"/>
      <c r="L294" s="14"/>
      <c r="M294" s="14"/>
      <c r="N294" s="14"/>
      <c r="O294" s="15"/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1" t="s">
        <v>69</v>
      </c>
      <c r="V294" s="21" t="s">
        <v>69</v>
      </c>
      <c r="W294" s="21" t="s">
        <v>69</v>
      </c>
      <c r="X294" s="21" t="s">
        <v>69</v>
      </c>
      <c r="Y294" s="21" t="s">
        <v>69</v>
      </c>
      <c r="AL294">
        <f>COUNTIF(P294:T294,"&gt;0")</f>
      </c>
      <c r="AS294">
        <f>COUNTIF(P294,"&gt;0")</f>
      </c>
      <c r="AT294">
        <f>COUNTIF(Q294,"&gt;0")</f>
      </c>
      <c r="AU294">
        <f>COUNTIF(R294,"&gt;0")</f>
      </c>
      <c r="AV294">
        <f>COUNTIF(S294,"&gt;0")</f>
      </c>
      <c r="AW294">
        <f>COUNTIF(T294,"&gt;0")</f>
      </c>
      <c r="AX294" t="s">
        <v>404</v>
      </c>
      <c r="AY294" t="s">
        <v>412</v>
      </c>
    </row>
    <row r="295" ht="28" customHeight="1" spans="1:51" x14ac:dyDescent="0.25">
      <c r="A295" s="14"/>
      <c r="B295" s="14"/>
      <c r="C295" s="14"/>
      <c r="D295" s="14"/>
      <c r="E295" s="14"/>
      <c r="F295" s="15" t="s">
        <v>379</v>
      </c>
      <c r="G295" s="15" t="s">
        <v>380</v>
      </c>
      <c r="H295" s="14" t="s">
        <v>66</v>
      </c>
      <c r="I295" s="16">
        <v>2</v>
      </c>
      <c r="J295" s="17">
        <v>1</v>
      </c>
      <c r="K295" s="14" t="s">
        <v>67</v>
      </c>
      <c r="L295" s="14" t="s">
        <v>68</v>
      </c>
      <c r="M295" s="14"/>
      <c r="N295" s="14"/>
      <c r="O295" s="15"/>
      <c r="P295" s="19">
        <v>0</v>
      </c>
      <c r="Q295" s="19">
        <v>0</v>
      </c>
      <c r="R295" s="18">
        <v>2</v>
      </c>
      <c r="S295" s="19">
        <v>0</v>
      </c>
      <c r="T295" s="19">
        <v>0</v>
      </c>
      <c r="U295" s="14" t="s">
        <v>69</v>
      </c>
      <c r="V295" s="14" t="s">
        <v>69</v>
      </c>
      <c r="W295" s="14" t="s">
        <v>69</v>
      </c>
      <c r="X295" s="14" t="s">
        <v>69</v>
      </c>
      <c r="Y295" s="14" t="s">
        <v>69</v>
      </c>
      <c r="AM295">
        <f>COUNTIF(P295:T295,"&gt;0")</f>
      </c>
      <c r="AN295">
        <f>COUNTIF(P295,"&gt;0")</f>
      </c>
      <c r="AO295">
        <f>COUNTIF(Q295,"&gt;0")</f>
      </c>
      <c r="AP295">
        <f>COUNTIF(R295,"&gt;0")</f>
      </c>
      <c r="AQ295">
        <f>COUNTIF(S295,"&gt;0")</f>
      </c>
      <c r="AR295">
        <f>COUNTIF(T295,"&gt;0")</f>
      </c>
      <c r="AX295" t="s">
        <v>404</v>
      </c>
      <c r="AY295" t="s">
        <v>413</v>
      </c>
    </row>
    <row r="296" ht="18" customHeight="1" spans="1:51" x14ac:dyDescent="0.25">
      <c r="A296" s="14"/>
      <c r="B296" s="14"/>
      <c r="C296" s="14"/>
      <c r="D296" s="14"/>
      <c r="E296" s="14"/>
      <c r="F296" s="15"/>
      <c r="G296" s="15"/>
      <c r="H296" s="14" t="s">
        <v>71</v>
      </c>
      <c r="I296" s="16"/>
      <c r="J296" s="17"/>
      <c r="K296" s="14"/>
      <c r="L296" s="14"/>
      <c r="M296" s="14"/>
      <c r="N296" s="14"/>
      <c r="O296" s="15"/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1" t="s">
        <v>69</v>
      </c>
      <c r="V296" s="21" t="s">
        <v>69</v>
      </c>
      <c r="W296" s="21" t="s">
        <v>69</v>
      </c>
      <c r="X296" s="21" t="s">
        <v>69</v>
      </c>
      <c r="Y296" s="21" t="s">
        <v>69</v>
      </c>
      <c r="AL296">
        <f>COUNTIF(P296:T296,"&gt;0")</f>
      </c>
      <c r="AS296">
        <f>COUNTIF(P296,"&gt;0")</f>
      </c>
      <c r="AT296">
        <f>COUNTIF(Q296,"&gt;0")</f>
      </c>
      <c r="AU296">
        <f>COUNTIF(R296,"&gt;0")</f>
      </c>
      <c r="AV296">
        <f>COUNTIF(S296,"&gt;0")</f>
      </c>
      <c r="AW296">
        <f>COUNTIF(T296,"&gt;0")</f>
      </c>
      <c r="AX296" t="s">
        <v>404</v>
      </c>
      <c r="AY296" t="s">
        <v>413</v>
      </c>
    </row>
    <row r="297" ht="28" customHeight="1" spans="1:51" x14ac:dyDescent="0.25">
      <c r="A297" s="14"/>
      <c r="B297" s="14"/>
      <c r="C297" s="14"/>
      <c r="D297" s="14"/>
      <c r="E297" s="14"/>
      <c r="F297" s="15" t="s">
        <v>382</v>
      </c>
      <c r="G297" s="15" t="s">
        <v>383</v>
      </c>
      <c r="H297" s="14" t="s">
        <v>66</v>
      </c>
      <c r="I297" s="16">
        <v>3</v>
      </c>
      <c r="J297" s="17">
        <v>3</v>
      </c>
      <c r="K297" s="14" t="s">
        <v>157</v>
      </c>
      <c r="L297" s="14" t="s">
        <v>68</v>
      </c>
      <c r="M297" s="14"/>
      <c r="N297" s="14"/>
      <c r="O297" s="15"/>
      <c r="P297" s="19">
        <v>0</v>
      </c>
      <c r="Q297" s="19">
        <v>0</v>
      </c>
      <c r="R297" s="19">
        <v>0</v>
      </c>
      <c r="S297" s="19">
        <v>0</v>
      </c>
      <c r="T297" s="19">
        <v>0</v>
      </c>
      <c r="U297" s="14" t="s">
        <v>69</v>
      </c>
      <c r="V297" s="14" t="s">
        <v>69</v>
      </c>
      <c r="W297" s="14" t="s">
        <v>69</v>
      </c>
      <c r="X297" s="14" t="s">
        <v>69</v>
      </c>
      <c r="Y297" s="14" t="s">
        <v>69</v>
      </c>
      <c r="AM297">
        <f>COUNTIF(P297:T297,"&gt;0")</f>
      </c>
      <c r="AN297">
        <f>COUNTIF(P297,"&gt;0")</f>
      </c>
      <c r="AO297">
        <f>COUNTIF(Q297,"&gt;0")</f>
      </c>
      <c r="AP297">
        <f>COUNTIF(R297,"&gt;0")</f>
      </c>
      <c r="AQ297">
        <f>COUNTIF(S297,"&gt;0")</f>
      </c>
      <c r="AR297">
        <f>COUNTIF(T297,"&gt;0")</f>
      </c>
      <c r="AX297" t="s">
        <v>404</v>
      </c>
      <c r="AY297" t="s">
        <v>414</v>
      </c>
    </row>
    <row r="298" ht="18" customHeight="1" spans="1:51" x14ac:dyDescent="0.25">
      <c r="A298" s="14"/>
      <c r="B298" s="14"/>
      <c r="C298" s="14"/>
      <c r="D298" s="14"/>
      <c r="E298" s="14"/>
      <c r="F298" s="15"/>
      <c r="G298" s="15"/>
      <c r="H298" s="14" t="s">
        <v>71</v>
      </c>
      <c r="I298" s="16"/>
      <c r="J298" s="17"/>
      <c r="K298" s="14"/>
      <c r="L298" s="14"/>
      <c r="M298" s="14"/>
      <c r="N298" s="14"/>
      <c r="O298" s="15"/>
      <c r="P298" s="20">
        <v>0</v>
      </c>
      <c r="Q298" s="20">
        <v>0</v>
      </c>
      <c r="R298" s="20">
        <v>0</v>
      </c>
      <c r="S298" s="20">
        <v>0</v>
      </c>
      <c r="T298" s="20">
        <v>0</v>
      </c>
      <c r="U298" s="21" t="s">
        <v>69</v>
      </c>
      <c r="V298" s="21" t="s">
        <v>69</v>
      </c>
      <c r="W298" s="21" t="s">
        <v>69</v>
      </c>
      <c r="X298" s="21" t="s">
        <v>69</v>
      </c>
      <c r="Y298" s="21" t="s">
        <v>69</v>
      </c>
      <c r="AL298">
        <f>COUNTIF(P298:T298,"&gt;0")</f>
      </c>
      <c r="AS298">
        <f>COUNTIF(P298,"&gt;0")</f>
      </c>
      <c r="AT298">
        <f>COUNTIF(Q298,"&gt;0")</f>
      </c>
      <c r="AU298">
        <f>COUNTIF(R298,"&gt;0")</f>
      </c>
      <c r="AV298">
        <f>COUNTIF(S298,"&gt;0")</f>
      </c>
      <c r="AW298">
        <f>COUNTIF(T298,"&gt;0")</f>
      </c>
      <c r="AX298" t="s">
        <v>404</v>
      </c>
      <c r="AY298" t="s">
        <v>414</v>
      </c>
    </row>
    <row r="299" ht="28" customHeight="1" spans="1:51" x14ac:dyDescent="0.25">
      <c r="A299" s="14"/>
      <c r="B299" s="14"/>
      <c r="C299" s="14"/>
      <c r="D299" s="14"/>
      <c r="E299" s="14"/>
      <c r="F299" s="15" t="s">
        <v>385</v>
      </c>
      <c r="G299" s="15" t="s">
        <v>386</v>
      </c>
      <c r="H299" s="14" t="s">
        <v>66</v>
      </c>
      <c r="I299" s="16">
        <v>3</v>
      </c>
      <c r="J299" s="17">
        <v>3</v>
      </c>
      <c r="K299" s="14" t="s">
        <v>157</v>
      </c>
      <c r="L299" s="14" t="s">
        <v>68</v>
      </c>
      <c r="M299" s="14"/>
      <c r="N299" s="14"/>
      <c r="O299" s="15"/>
      <c r="P299" s="19">
        <v>0</v>
      </c>
      <c r="Q299" s="24">
        <v>3</v>
      </c>
      <c r="R299" s="19">
        <v>0</v>
      </c>
      <c r="S299" s="19">
        <v>0</v>
      </c>
      <c r="T299" s="19">
        <v>0</v>
      </c>
      <c r="U299" s="14" t="s">
        <v>69</v>
      </c>
      <c r="V299" s="14" t="s">
        <v>69</v>
      </c>
      <c r="W299" s="14" t="s">
        <v>69</v>
      </c>
      <c r="X299" s="14" t="s">
        <v>69</v>
      </c>
      <c r="Y299" s="14" t="s">
        <v>69</v>
      </c>
      <c r="AM299">
        <f>COUNTIF(P299:T299,"&gt;0")</f>
      </c>
      <c r="AN299">
        <f>COUNTIF(P299,"&gt;0")</f>
      </c>
      <c r="AO299">
        <f>COUNTIF(Q299,"&gt;0")</f>
      </c>
      <c r="AP299">
        <f>COUNTIF(R299,"&gt;0")</f>
      </c>
      <c r="AQ299">
        <f>COUNTIF(S299,"&gt;0")</f>
      </c>
      <c r="AR299">
        <f>COUNTIF(T299,"&gt;0")</f>
      </c>
      <c r="AX299" t="s">
        <v>404</v>
      </c>
      <c r="AY299" t="s">
        <v>415</v>
      </c>
    </row>
    <row r="300" ht="18" customHeight="1" spans="1:51" x14ac:dyDescent="0.25">
      <c r="A300" s="14"/>
      <c r="B300" s="14"/>
      <c r="C300" s="14"/>
      <c r="D300" s="14"/>
      <c r="E300" s="14"/>
      <c r="F300" s="15"/>
      <c r="G300" s="15"/>
      <c r="H300" s="14" t="s">
        <v>71</v>
      </c>
      <c r="I300" s="16"/>
      <c r="J300" s="17"/>
      <c r="K300" s="14"/>
      <c r="L300" s="14"/>
      <c r="M300" s="14"/>
      <c r="N300" s="14"/>
      <c r="O300" s="15"/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1" t="s">
        <v>69</v>
      </c>
      <c r="V300" s="21" t="s">
        <v>69</v>
      </c>
      <c r="W300" s="21" t="s">
        <v>69</v>
      </c>
      <c r="X300" s="21" t="s">
        <v>69</v>
      </c>
      <c r="Y300" s="21" t="s">
        <v>69</v>
      </c>
      <c r="AL300">
        <f>COUNTIF(P300:T300,"&gt;0")</f>
      </c>
      <c r="AS300">
        <f>COUNTIF(P300,"&gt;0")</f>
      </c>
      <c r="AT300">
        <f>COUNTIF(Q300,"&gt;0")</f>
      </c>
      <c r="AU300">
        <f>COUNTIF(R300,"&gt;0")</f>
      </c>
      <c r="AV300">
        <f>COUNTIF(S300,"&gt;0")</f>
      </c>
      <c r="AW300">
        <f>COUNTIF(T300,"&gt;0")</f>
      </c>
      <c r="AX300" t="s">
        <v>404</v>
      </c>
      <c r="AY300" t="s">
        <v>415</v>
      </c>
    </row>
    <row r="301" ht="28" customHeight="1" spans="1:51" x14ac:dyDescent="0.25">
      <c r="A301" s="14"/>
      <c r="B301" s="14"/>
      <c r="C301" s="14"/>
      <c r="D301" s="14"/>
      <c r="E301" s="14"/>
      <c r="F301" s="15" t="s">
        <v>385</v>
      </c>
      <c r="G301" s="15" t="s">
        <v>388</v>
      </c>
      <c r="H301" s="14" t="s">
        <v>66</v>
      </c>
      <c r="I301" s="16">
        <v>3</v>
      </c>
      <c r="J301" s="17">
        <v>3</v>
      </c>
      <c r="K301" s="14" t="s">
        <v>157</v>
      </c>
      <c r="L301" s="14" t="s">
        <v>68</v>
      </c>
      <c r="M301" s="14"/>
      <c r="N301" s="14"/>
      <c r="O301" s="15"/>
      <c r="P301" s="19">
        <v>0</v>
      </c>
      <c r="Q301" s="19">
        <v>0</v>
      </c>
      <c r="R301" s="19">
        <v>0</v>
      </c>
      <c r="S301" s="19">
        <v>0</v>
      </c>
      <c r="T301" s="19">
        <v>0</v>
      </c>
      <c r="U301" s="14" t="s">
        <v>69</v>
      </c>
      <c r="V301" s="14" t="s">
        <v>69</v>
      </c>
      <c r="W301" s="14" t="s">
        <v>69</v>
      </c>
      <c r="X301" s="14" t="s">
        <v>69</v>
      </c>
      <c r="Y301" s="14" t="s">
        <v>69</v>
      </c>
      <c r="AM301">
        <f>COUNTIF(P301:T301,"&gt;0")</f>
      </c>
      <c r="AN301">
        <f>COUNTIF(P301,"&gt;0")</f>
      </c>
      <c r="AO301">
        <f>COUNTIF(Q301,"&gt;0")</f>
      </c>
      <c r="AP301">
        <f>COUNTIF(R301,"&gt;0")</f>
      </c>
      <c r="AQ301">
        <f>COUNTIF(S301,"&gt;0")</f>
      </c>
      <c r="AR301">
        <f>COUNTIF(T301,"&gt;0")</f>
      </c>
      <c r="AX301" t="s">
        <v>404</v>
      </c>
      <c r="AY301" t="s">
        <v>416</v>
      </c>
    </row>
    <row r="302" ht="18" customHeight="1" spans="1:51" x14ac:dyDescent="0.25">
      <c r="A302" s="14"/>
      <c r="B302" s="14"/>
      <c r="C302" s="14"/>
      <c r="D302" s="14"/>
      <c r="E302" s="14"/>
      <c r="F302" s="15"/>
      <c r="G302" s="15"/>
      <c r="H302" s="14" t="s">
        <v>71</v>
      </c>
      <c r="I302" s="16"/>
      <c r="J302" s="17"/>
      <c r="K302" s="14"/>
      <c r="L302" s="14"/>
      <c r="M302" s="14"/>
      <c r="N302" s="14"/>
      <c r="O302" s="15"/>
      <c r="P302" s="20">
        <v>0</v>
      </c>
      <c r="Q302" s="20">
        <v>0</v>
      </c>
      <c r="R302" s="20">
        <v>0</v>
      </c>
      <c r="S302" s="20">
        <v>0</v>
      </c>
      <c r="T302" s="20">
        <v>0</v>
      </c>
      <c r="U302" s="21" t="s">
        <v>69</v>
      </c>
      <c r="V302" s="21" t="s">
        <v>69</v>
      </c>
      <c r="W302" s="21" t="s">
        <v>69</v>
      </c>
      <c r="X302" s="21" t="s">
        <v>69</v>
      </c>
      <c r="Y302" s="21" t="s">
        <v>69</v>
      </c>
      <c r="AL302">
        <f>COUNTIF(P302:T302,"&gt;0")</f>
      </c>
      <c r="AS302">
        <f>COUNTIF(P302,"&gt;0")</f>
      </c>
      <c r="AT302">
        <f>COUNTIF(Q302,"&gt;0")</f>
      </c>
      <c r="AU302">
        <f>COUNTIF(R302,"&gt;0")</f>
      </c>
      <c r="AV302">
        <f>COUNTIF(S302,"&gt;0")</f>
      </c>
      <c r="AW302">
        <f>COUNTIF(T302,"&gt;0")</f>
      </c>
      <c r="AX302" t="s">
        <v>404</v>
      </c>
      <c r="AY302" t="s">
        <v>416</v>
      </c>
    </row>
    <row r="303" ht="28" customHeight="1" spans="1:51" x14ac:dyDescent="0.25">
      <c r="A303" s="14"/>
      <c r="B303" s="14"/>
      <c r="C303" s="14"/>
      <c r="D303" s="14"/>
      <c r="E303" s="14"/>
      <c r="F303" s="15" t="s">
        <v>328</v>
      </c>
      <c r="G303" s="15" t="s">
        <v>390</v>
      </c>
      <c r="H303" s="14" t="s">
        <v>66</v>
      </c>
      <c r="I303" s="16">
        <v>3</v>
      </c>
      <c r="J303" s="17">
        <v>3</v>
      </c>
      <c r="K303" s="14" t="s">
        <v>157</v>
      </c>
      <c r="L303" s="14" t="s">
        <v>68</v>
      </c>
      <c r="M303" s="14"/>
      <c r="N303" s="14"/>
      <c r="O303" s="15"/>
      <c r="P303" s="19">
        <v>0</v>
      </c>
      <c r="Q303" s="19">
        <v>0</v>
      </c>
      <c r="R303" s="19">
        <v>0</v>
      </c>
      <c r="S303" s="19">
        <v>0</v>
      </c>
      <c r="T303" s="19">
        <v>0</v>
      </c>
      <c r="U303" s="14" t="s">
        <v>69</v>
      </c>
      <c r="V303" s="14" t="s">
        <v>69</v>
      </c>
      <c r="W303" s="14" t="s">
        <v>69</v>
      </c>
      <c r="X303" s="14" t="s">
        <v>69</v>
      </c>
      <c r="Y303" s="14" t="s">
        <v>69</v>
      </c>
      <c r="AM303">
        <f>COUNTIF(P303:T303,"&gt;0")</f>
      </c>
      <c r="AN303">
        <f>COUNTIF(P303,"&gt;0")</f>
      </c>
      <c r="AO303">
        <f>COUNTIF(Q303,"&gt;0")</f>
      </c>
      <c r="AP303">
        <f>COUNTIF(R303,"&gt;0")</f>
      </c>
      <c r="AQ303">
        <f>COUNTIF(S303,"&gt;0")</f>
      </c>
      <c r="AR303">
        <f>COUNTIF(T303,"&gt;0")</f>
      </c>
      <c r="AX303" t="s">
        <v>404</v>
      </c>
      <c r="AY303" t="s">
        <v>417</v>
      </c>
    </row>
    <row r="304" ht="18" customHeight="1" spans="1:51" x14ac:dyDescent="0.25">
      <c r="A304" s="14"/>
      <c r="B304" s="14"/>
      <c r="C304" s="14"/>
      <c r="D304" s="14"/>
      <c r="E304" s="14"/>
      <c r="F304" s="15"/>
      <c r="G304" s="15"/>
      <c r="H304" s="14" t="s">
        <v>71</v>
      </c>
      <c r="I304" s="16"/>
      <c r="J304" s="17"/>
      <c r="K304" s="14"/>
      <c r="L304" s="14"/>
      <c r="M304" s="14"/>
      <c r="N304" s="14"/>
      <c r="O304" s="15"/>
      <c r="P304" s="20">
        <v>0</v>
      </c>
      <c r="Q304" s="20">
        <v>0</v>
      </c>
      <c r="R304" s="20">
        <v>0</v>
      </c>
      <c r="S304" s="20">
        <v>0</v>
      </c>
      <c r="T304" s="20">
        <v>0</v>
      </c>
      <c r="U304" s="21" t="s">
        <v>69</v>
      </c>
      <c r="V304" s="21" t="s">
        <v>69</v>
      </c>
      <c r="W304" s="21" t="s">
        <v>69</v>
      </c>
      <c r="X304" s="21" t="s">
        <v>69</v>
      </c>
      <c r="Y304" s="21" t="s">
        <v>69</v>
      </c>
      <c r="AL304">
        <f>COUNTIF(P304:T304,"&gt;0")</f>
      </c>
      <c r="AS304">
        <f>COUNTIF(P304,"&gt;0")</f>
      </c>
      <c r="AT304">
        <f>COUNTIF(Q304,"&gt;0")</f>
      </c>
      <c r="AU304">
        <f>COUNTIF(R304,"&gt;0")</f>
      </c>
      <c r="AV304">
        <f>COUNTIF(S304,"&gt;0")</f>
      </c>
      <c r="AW304">
        <f>COUNTIF(T304,"&gt;0")</f>
      </c>
      <c r="AX304" t="s">
        <v>404</v>
      </c>
      <c r="AY304" t="s">
        <v>417</v>
      </c>
    </row>
    <row r="305" ht="28" customHeight="1" spans="1:51" x14ac:dyDescent="0.25">
      <c r="A305" s="14"/>
      <c r="B305" s="14"/>
      <c r="C305" s="14"/>
      <c r="D305" s="14"/>
      <c r="E305" s="14"/>
      <c r="F305" s="15" t="s">
        <v>392</v>
      </c>
      <c r="G305" s="15" t="s">
        <v>393</v>
      </c>
      <c r="H305" s="14" t="s">
        <v>66</v>
      </c>
      <c r="I305" s="16">
        <v>3</v>
      </c>
      <c r="J305" s="17">
        <v>3</v>
      </c>
      <c r="K305" s="14" t="s">
        <v>157</v>
      </c>
      <c r="L305" s="14" t="s">
        <v>68</v>
      </c>
      <c r="M305" s="14"/>
      <c r="N305" s="14"/>
      <c r="O305" s="15"/>
      <c r="P305" s="19">
        <v>0</v>
      </c>
      <c r="Q305" s="19">
        <v>0</v>
      </c>
      <c r="R305" s="24">
        <v>3</v>
      </c>
      <c r="S305" s="19">
        <v>0</v>
      </c>
      <c r="T305" s="19">
        <v>0</v>
      </c>
      <c r="U305" s="14" t="s">
        <v>69</v>
      </c>
      <c r="V305" s="14" t="s">
        <v>69</v>
      </c>
      <c r="W305" s="14" t="s">
        <v>69</v>
      </c>
      <c r="X305" s="14" t="s">
        <v>69</v>
      </c>
      <c r="Y305" s="14" t="s">
        <v>69</v>
      </c>
      <c r="AM305">
        <f>COUNTIF(P305:T305,"&gt;0")</f>
      </c>
      <c r="AN305">
        <f>COUNTIF(P305,"&gt;0")</f>
      </c>
      <c r="AO305">
        <f>COUNTIF(Q305,"&gt;0")</f>
      </c>
      <c r="AP305">
        <f>COUNTIF(R305,"&gt;0")</f>
      </c>
      <c r="AQ305">
        <f>COUNTIF(S305,"&gt;0")</f>
      </c>
      <c r="AR305">
        <f>COUNTIF(T305,"&gt;0")</f>
      </c>
      <c r="AX305" t="s">
        <v>404</v>
      </c>
      <c r="AY305" t="s">
        <v>418</v>
      </c>
    </row>
    <row r="306" ht="18" customHeight="1" spans="1:51" x14ac:dyDescent="0.25">
      <c r="A306" s="14"/>
      <c r="B306" s="14"/>
      <c r="C306" s="14"/>
      <c r="D306" s="14"/>
      <c r="E306" s="14"/>
      <c r="F306" s="15"/>
      <c r="G306" s="15"/>
      <c r="H306" s="14" t="s">
        <v>71</v>
      </c>
      <c r="I306" s="16"/>
      <c r="J306" s="17"/>
      <c r="K306" s="14"/>
      <c r="L306" s="14"/>
      <c r="M306" s="14"/>
      <c r="N306" s="14"/>
      <c r="O306" s="15"/>
      <c r="P306" s="20">
        <v>0</v>
      </c>
      <c r="Q306" s="20">
        <v>0</v>
      </c>
      <c r="R306" s="20">
        <v>0</v>
      </c>
      <c r="S306" s="20">
        <v>0</v>
      </c>
      <c r="T306" s="20">
        <v>0</v>
      </c>
      <c r="U306" s="21" t="s">
        <v>69</v>
      </c>
      <c r="V306" s="21" t="s">
        <v>69</v>
      </c>
      <c r="W306" s="21" t="s">
        <v>69</v>
      </c>
      <c r="X306" s="21" t="s">
        <v>69</v>
      </c>
      <c r="Y306" s="21" t="s">
        <v>69</v>
      </c>
      <c r="AL306">
        <f>COUNTIF(P306:T306,"&gt;0")</f>
      </c>
      <c r="AS306">
        <f>COUNTIF(P306,"&gt;0")</f>
      </c>
      <c r="AT306">
        <f>COUNTIF(Q306,"&gt;0")</f>
      </c>
      <c r="AU306">
        <f>COUNTIF(R306,"&gt;0")</f>
      </c>
      <c r="AV306">
        <f>COUNTIF(S306,"&gt;0")</f>
      </c>
      <c r="AW306">
        <f>COUNTIF(T306,"&gt;0")</f>
      </c>
      <c r="AX306" t="s">
        <v>404</v>
      </c>
      <c r="AY306" t="s">
        <v>418</v>
      </c>
    </row>
    <row r="307" ht="28" customHeight="1" spans="1:51" x14ac:dyDescent="0.25">
      <c r="A307" s="14"/>
      <c r="B307" s="14"/>
      <c r="C307" s="14"/>
      <c r="D307" s="14"/>
      <c r="E307" s="14"/>
      <c r="F307" s="15" t="s">
        <v>395</v>
      </c>
      <c r="G307" s="15" t="s">
        <v>396</v>
      </c>
      <c r="H307" s="14" t="s">
        <v>66</v>
      </c>
      <c r="I307" s="16">
        <v>5</v>
      </c>
      <c r="J307" s="17">
        <v>12</v>
      </c>
      <c r="K307" s="14" t="s">
        <v>141</v>
      </c>
      <c r="L307" s="14" t="s">
        <v>68</v>
      </c>
      <c r="M307" s="14"/>
      <c r="N307" s="14"/>
      <c r="O307" s="15"/>
      <c r="P307" s="19">
        <v>0</v>
      </c>
      <c r="Q307" s="19">
        <v>0</v>
      </c>
      <c r="R307" s="19">
        <v>0</v>
      </c>
      <c r="S307" s="19">
        <v>0</v>
      </c>
      <c r="T307" s="19">
        <v>0</v>
      </c>
      <c r="U307" s="14" t="s">
        <v>69</v>
      </c>
      <c r="V307" s="14" t="s">
        <v>69</v>
      </c>
      <c r="W307" s="14" t="s">
        <v>69</v>
      </c>
      <c r="X307" s="14" t="s">
        <v>69</v>
      </c>
      <c r="Y307" s="14" t="s">
        <v>69</v>
      </c>
      <c r="AM307">
        <f>COUNTIF(P307:T307,"&gt;0")</f>
      </c>
      <c r="AN307">
        <f>COUNTIF(P307,"&gt;0")</f>
      </c>
      <c r="AO307">
        <f>COUNTIF(Q307,"&gt;0")</f>
      </c>
      <c r="AP307">
        <f>COUNTIF(R307,"&gt;0")</f>
      </c>
      <c r="AQ307">
        <f>COUNTIF(S307,"&gt;0")</f>
      </c>
      <c r="AR307">
        <f>COUNTIF(T307,"&gt;0")</f>
      </c>
      <c r="AX307" t="s">
        <v>404</v>
      </c>
      <c r="AY307" t="s">
        <v>419</v>
      </c>
    </row>
    <row r="308" ht="18" customHeight="1" spans="1:51" x14ac:dyDescent="0.25">
      <c r="A308" s="14"/>
      <c r="B308" s="14"/>
      <c r="C308" s="14"/>
      <c r="D308" s="14"/>
      <c r="E308" s="14"/>
      <c r="F308" s="15"/>
      <c r="G308" s="15"/>
      <c r="H308" s="14" t="s">
        <v>71</v>
      </c>
      <c r="I308" s="16"/>
      <c r="J308" s="17"/>
      <c r="K308" s="14"/>
      <c r="L308" s="14"/>
      <c r="M308" s="14"/>
      <c r="N308" s="14"/>
      <c r="O308" s="15"/>
      <c r="P308" s="20">
        <v>0</v>
      </c>
      <c r="Q308" s="20">
        <v>0</v>
      </c>
      <c r="R308" s="20">
        <v>0</v>
      </c>
      <c r="S308" s="20">
        <v>0</v>
      </c>
      <c r="T308" s="20">
        <v>0</v>
      </c>
      <c r="U308" s="21" t="s">
        <v>69</v>
      </c>
      <c r="V308" s="21" t="s">
        <v>69</v>
      </c>
      <c r="W308" s="21" t="s">
        <v>69</v>
      </c>
      <c r="X308" s="21" t="s">
        <v>69</v>
      </c>
      <c r="Y308" s="21" t="s">
        <v>69</v>
      </c>
      <c r="AL308">
        <f>COUNTIF(P308:T308,"&gt;0")</f>
      </c>
      <c r="AS308">
        <f>COUNTIF(P308,"&gt;0")</f>
      </c>
      <c r="AT308">
        <f>COUNTIF(Q308,"&gt;0")</f>
      </c>
      <c r="AU308">
        <f>COUNTIF(R308,"&gt;0")</f>
      </c>
      <c r="AV308">
        <f>COUNTIF(S308,"&gt;0")</f>
      </c>
      <c r="AW308">
        <f>COUNTIF(T308,"&gt;0")</f>
      </c>
      <c r="AX308" t="s">
        <v>404</v>
      </c>
      <c r="AY308" t="s">
        <v>419</v>
      </c>
    </row>
    <row r="309" ht="28" customHeight="1" spans="1:51" x14ac:dyDescent="0.25">
      <c r="A309" s="14"/>
      <c r="B309" s="14"/>
      <c r="C309" s="14"/>
      <c r="D309" s="14"/>
      <c r="E309" s="14"/>
      <c r="F309" s="15" t="s">
        <v>398</v>
      </c>
      <c r="G309" s="15" t="s">
        <v>399</v>
      </c>
      <c r="H309" s="14" t="s">
        <v>66</v>
      </c>
      <c r="I309" s="16">
        <v>5</v>
      </c>
      <c r="J309" s="17">
        <v>12</v>
      </c>
      <c r="K309" s="14" t="s">
        <v>141</v>
      </c>
      <c r="L309" s="14" t="s">
        <v>68</v>
      </c>
      <c r="M309" s="14"/>
      <c r="N309" s="14"/>
      <c r="O309" s="15"/>
      <c r="P309" s="19">
        <v>0</v>
      </c>
      <c r="Q309" s="19">
        <v>0</v>
      </c>
      <c r="R309" s="19">
        <v>0</v>
      </c>
      <c r="S309" s="19">
        <v>0</v>
      </c>
      <c r="T309" s="19">
        <v>0</v>
      </c>
      <c r="U309" s="14" t="s">
        <v>69</v>
      </c>
      <c r="V309" s="14" t="s">
        <v>69</v>
      </c>
      <c r="W309" s="14" t="s">
        <v>69</v>
      </c>
      <c r="X309" s="14" t="s">
        <v>69</v>
      </c>
      <c r="Y309" s="14" t="s">
        <v>69</v>
      </c>
      <c r="AM309">
        <f>COUNTIF(P309:T309,"&gt;0")</f>
      </c>
      <c r="AN309">
        <f>COUNTIF(P309,"&gt;0")</f>
      </c>
      <c r="AO309">
        <f>COUNTIF(Q309,"&gt;0")</f>
      </c>
      <c r="AP309">
        <f>COUNTIF(R309,"&gt;0")</f>
      </c>
      <c r="AQ309">
        <f>COUNTIF(S309,"&gt;0")</f>
      </c>
      <c r="AR309">
        <f>COUNTIF(T309,"&gt;0")</f>
      </c>
      <c r="AX309" t="s">
        <v>404</v>
      </c>
      <c r="AY309" t="s">
        <v>420</v>
      </c>
    </row>
    <row r="310" ht="18" customHeight="1" spans="1:51" x14ac:dyDescent="0.25">
      <c r="A310" s="14"/>
      <c r="B310" s="14"/>
      <c r="C310" s="14"/>
      <c r="D310" s="14"/>
      <c r="E310" s="14"/>
      <c r="F310" s="15"/>
      <c r="G310" s="15"/>
      <c r="H310" s="14" t="s">
        <v>71</v>
      </c>
      <c r="I310" s="16"/>
      <c r="J310" s="17"/>
      <c r="K310" s="14"/>
      <c r="L310" s="14"/>
      <c r="M310" s="14"/>
      <c r="N310" s="14"/>
      <c r="O310" s="15"/>
      <c r="P310" s="20">
        <v>0</v>
      </c>
      <c r="Q310" s="20">
        <v>0</v>
      </c>
      <c r="R310" s="20">
        <v>0</v>
      </c>
      <c r="S310" s="20">
        <v>0</v>
      </c>
      <c r="T310" s="20">
        <v>0</v>
      </c>
      <c r="U310" s="21" t="s">
        <v>69</v>
      </c>
      <c r="V310" s="21" t="s">
        <v>69</v>
      </c>
      <c r="W310" s="21" t="s">
        <v>69</v>
      </c>
      <c r="X310" s="21" t="s">
        <v>69</v>
      </c>
      <c r="Y310" s="21" t="s">
        <v>69</v>
      </c>
      <c r="AL310">
        <f>COUNTIF(P310:T310,"&gt;0")</f>
      </c>
      <c r="AS310">
        <f>COUNTIF(P310,"&gt;0")</f>
      </c>
      <c r="AT310">
        <f>COUNTIF(Q310,"&gt;0")</f>
      </c>
      <c r="AU310">
        <f>COUNTIF(R310,"&gt;0")</f>
      </c>
      <c r="AV310">
        <f>COUNTIF(S310,"&gt;0")</f>
      </c>
      <c r="AW310">
        <f>COUNTIF(T310,"&gt;0")</f>
      </c>
      <c r="AX310" t="s">
        <v>404</v>
      </c>
      <c r="AY310" t="s">
        <v>420</v>
      </c>
    </row>
    <row r="311" ht="28" customHeight="1" spans="1:51" x14ac:dyDescent="0.25">
      <c r="A311" s="14"/>
      <c r="B311" s="14"/>
      <c r="C311" s="14"/>
      <c r="D311" s="14"/>
      <c r="E311" s="14"/>
      <c r="F311" s="15" t="s">
        <v>401</v>
      </c>
      <c r="G311" s="15" t="s">
        <v>402</v>
      </c>
      <c r="H311" s="14" t="s">
        <v>66</v>
      </c>
      <c r="I311" s="16">
        <v>5</v>
      </c>
      <c r="J311" s="17">
        <v>12</v>
      </c>
      <c r="K311" s="14" t="s">
        <v>141</v>
      </c>
      <c r="L311" s="14" t="s">
        <v>68</v>
      </c>
      <c r="M311" s="14"/>
      <c r="N311" s="14"/>
      <c r="O311" s="15"/>
      <c r="P311" s="19">
        <v>0</v>
      </c>
      <c r="Q311" s="19">
        <v>0</v>
      </c>
      <c r="R311" s="19">
        <v>0</v>
      </c>
      <c r="S311" s="19">
        <v>0</v>
      </c>
      <c r="T311" s="19">
        <v>0</v>
      </c>
      <c r="U311" s="14" t="s">
        <v>69</v>
      </c>
      <c r="V311" s="14" t="s">
        <v>69</v>
      </c>
      <c r="W311" s="14" t="s">
        <v>69</v>
      </c>
      <c r="X311" s="14" t="s">
        <v>69</v>
      </c>
      <c r="Y311" s="14" t="s">
        <v>69</v>
      </c>
      <c r="AM311">
        <f>COUNTIF(P311:T311,"&gt;0")</f>
      </c>
      <c r="AN311">
        <f>COUNTIF(P311,"&gt;0")</f>
      </c>
      <c r="AO311">
        <f>COUNTIF(Q311,"&gt;0")</f>
      </c>
      <c r="AP311">
        <f>COUNTIF(R311,"&gt;0")</f>
      </c>
      <c r="AQ311">
        <f>COUNTIF(S311,"&gt;0")</f>
      </c>
      <c r="AR311">
        <f>COUNTIF(T311,"&gt;0")</f>
      </c>
      <c r="AX311" t="s">
        <v>404</v>
      </c>
      <c r="AY311" t="s">
        <v>421</v>
      </c>
    </row>
    <row r="312" ht="18" customHeight="1" spans="1:51" x14ac:dyDescent="0.25">
      <c r="A312" s="14"/>
      <c r="B312" s="14"/>
      <c r="C312" s="14"/>
      <c r="D312" s="14"/>
      <c r="E312" s="14"/>
      <c r="F312" s="15"/>
      <c r="G312" s="15"/>
      <c r="H312" s="14" t="s">
        <v>71</v>
      </c>
      <c r="I312" s="16"/>
      <c r="J312" s="17"/>
      <c r="K312" s="14"/>
      <c r="L312" s="14"/>
      <c r="M312" s="14"/>
      <c r="N312" s="14"/>
      <c r="O312" s="15"/>
      <c r="P312" s="20">
        <v>0</v>
      </c>
      <c r="Q312" s="20">
        <v>0</v>
      </c>
      <c r="R312" s="20">
        <v>0</v>
      </c>
      <c r="S312" s="20">
        <v>0</v>
      </c>
      <c r="T312" s="20">
        <v>0</v>
      </c>
      <c r="U312" s="21" t="s">
        <v>69</v>
      </c>
      <c r="V312" s="21" t="s">
        <v>69</v>
      </c>
      <c r="W312" s="21" t="s">
        <v>69</v>
      </c>
      <c r="X312" s="21" t="s">
        <v>69</v>
      </c>
      <c r="Y312" s="21" t="s">
        <v>69</v>
      </c>
      <c r="AL312">
        <f>COUNTIF(P312:T312,"&gt;0")</f>
      </c>
      <c r="AS312">
        <f>COUNTIF(P312,"&gt;0")</f>
      </c>
      <c r="AT312">
        <f>COUNTIF(Q312,"&gt;0")</f>
      </c>
      <c r="AU312">
        <f>COUNTIF(R312,"&gt;0")</f>
      </c>
      <c r="AV312">
        <f>COUNTIF(S312,"&gt;0")</f>
      </c>
      <c r="AW312">
        <f>COUNTIF(T312,"&gt;0")</f>
      </c>
      <c r="AX312" t="s">
        <v>404</v>
      </c>
      <c r="AY312" t="s">
        <v>421</v>
      </c>
    </row>
    <row r="313" ht="28" customHeight="1" spans="1:51" x14ac:dyDescent="0.25">
      <c r="A313" s="14"/>
      <c r="B313" s="14" t="s">
        <v>422</v>
      </c>
      <c r="C313" s="14" t="s">
        <v>423</v>
      </c>
      <c r="D313" s="14" t="s">
        <v>424</v>
      </c>
      <c r="E313" s="14" t="s">
        <v>118</v>
      </c>
      <c r="F313" s="15" t="s">
        <v>362</v>
      </c>
      <c r="G313" s="15" t="s">
        <v>363</v>
      </c>
      <c r="H313" s="14" t="s">
        <v>66</v>
      </c>
      <c r="I313" s="16">
        <v>2</v>
      </c>
      <c r="J313" s="17">
        <v>1</v>
      </c>
      <c r="K313" s="14" t="s">
        <v>67</v>
      </c>
      <c r="L313" s="14" t="s">
        <v>68</v>
      </c>
      <c r="M313" s="14"/>
      <c r="N313" s="14"/>
      <c r="O313" s="15"/>
      <c r="P313" s="19">
        <v>0</v>
      </c>
      <c r="Q313" s="19">
        <v>0</v>
      </c>
      <c r="R313" s="19">
        <v>0</v>
      </c>
      <c r="S313" s="18">
        <v>2</v>
      </c>
      <c r="T313" s="19">
        <v>0</v>
      </c>
      <c r="U313" s="14" t="s">
        <v>69</v>
      </c>
      <c r="V313" s="14" t="s">
        <v>69</v>
      </c>
      <c r="W313" s="14" t="s">
        <v>69</v>
      </c>
      <c r="X313" s="14" t="s">
        <v>69</v>
      </c>
      <c r="Y313" s="14" t="s">
        <v>69</v>
      </c>
      <c r="AM313">
        <f>COUNTIF(P313:T313,"&gt;0")</f>
      </c>
      <c r="AN313">
        <f>COUNTIF(P313,"&gt;0")</f>
      </c>
      <c r="AO313">
        <f>COUNTIF(Q313,"&gt;0")</f>
      </c>
      <c r="AP313">
        <f>COUNTIF(R313,"&gt;0")</f>
      </c>
      <c r="AQ313">
        <f>COUNTIF(S313,"&gt;0")</f>
      </c>
      <c r="AR313">
        <f>COUNTIF(T313,"&gt;0")</f>
      </c>
      <c r="AX313" t="s">
        <v>422</v>
      </c>
      <c r="AY313" t="s">
        <v>425</v>
      </c>
    </row>
    <row r="314" ht="18" customHeight="1" spans="1:51" x14ac:dyDescent="0.25">
      <c r="A314" s="14"/>
      <c r="B314" s="14"/>
      <c r="C314" s="14"/>
      <c r="D314" s="14"/>
      <c r="E314" s="14"/>
      <c r="F314" s="15"/>
      <c r="G314" s="15"/>
      <c r="H314" s="14" t="s">
        <v>71</v>
      </c>
      <c r="I314" s="16"/>
      <c r="J314" s="17"/>
      <c r="K314" s="14"/>
      <c r="L314" s="14"/>
      <c r="M314" s="14"/>
      <c r="N314" s="14"/>
      <c r="O314" s="15"/>
      <c r="P314" s="20">
        <v>0</v>
      </c>
      <c r="Q314" s="20">
        <v>0</v>
      </c>
      <c r="R314" s="20">
        <v>0</v>
      </c>
      <c r="S314" s="20">
        <v>0</v>
      </c>
      <c r="T314" s="20">
        <v>0</v>
      </c>
      <c r="U314" s="21" t="s">
        <v>69</v>
      </c>
      <c r="V314" s="21" t="s">
        <v>69</v>
      </c>
      <c r="W314" s="21" t="s">
        <v>69</v>
      </c>
      <c r="X314" s="21" t="s">
        <v>69</v>
      </c>
      <c r="Y314" s="21" t="s">
        <v>69</v>
      </c>
      <c r="AL314">
        <f>COUNTIF(P314:T314,"&gt;0")</f>
      </c>
      <c r="AS314">
        <f>COUNTIF(P314,"&gt;0")</f>
      </c>
      <c r="AT314">
        <f>COUNTIF(Q314,"&gt;0")</f>
      </c>
      <c r="AU314">
        <f>COUNTIF(R314,"&gt;0")</f>
      </c>
      <c r="AV314">
        <f>COUNTIF(S314,"&gt;0")</f>
      </c>
      <c r="AW314">
        <f>COUNTIF(T314,"&gt;0")</f>
      </c>
      <c r="AX314" t="s">
        <v>422</v>
      </c>
      <c r="AY314" t="s">
        <v>425</v>
      </c>
    </row>
    <row r="315" ht="28" customHeight="1" spans="1:51" x14ac:dyDescent="0.25">
      <c r="A315" s="14"/>
      <c r="B315" s="14"/>
      <c r="C315" s="14"/>
      <c r="D315" s="14"/>
      <c r="E315" s="14"/>
      <c r="F315" s="15" t="s">
        <v>365</v>
      </c>
      <c r="G315" s="15" t="s">
        <v>366</v>
      </c>
      <c r="H315" s="14" t="s">
        <v>66</v>
      </c>
      <c r="I315" s="16">
        <v>2</v>
      </c>
      <c r="J315" s="17">
        <v>1</v>
      </c>
      <c r="K315" s="14" t="s">
        <v>67</v>
      </c>
      <c r="L315" s="14" t="s">
        <v>68</v>
      </c>
      <c r="M315" s="14"/>
      <c r="N315" s="14"/>
      <c r="O315" s="15"/>
      <c r="P315" s="19">
        <v>0</v>
      </c>
      <c r="Q315" s="19">
        <v>0</v>
      </c>
      <c r="R315" s="19">
        <v>0</v>
      </c>
      <c r="S315" s="19">
        <v>0</v>
      </c>
      <c r="T315" s="18">
        <v>2</v>
      </c>
      <c r="U315" s="14" t="s">
        <v>69</v>
      </c>
      <c r="V315" s="14" t="s">
        <v>69</v>
      </c>
      <c r="W315" s="14" t="s">
        <v>69</v>
      </c>
      <c r="X315" s="14" t="s">
        <v>69</v>
      </c>
      <c r="Y315" s="14" t="s">
        <v>69</v>
      </c>
      <c r="AM315">
        <f>COUNTIF(P315:T315,"&gt;0")</f>
      </c>
      <c r="AN315">
        <f>COUNTIF(P315,"&gt;0")</f>
      </c>
      <c r="AO315">
        <f>COUNTIF(Q315,"&gt;0")</f>
      </c>
      <c r="AP315">
        <f>COUNTIF(R315,"&gt;0")</f>
      </c>
      <c r="AQ315">
        <f>COUNTIF(S315,"&gt;0")</f>
      </c>
      <c r="AR315">
        <f>COUNTIF(T315,"&gt;0")</f>
      </c>
      <c r="AX315" t="s">
        <v>422</v>
      </c>
      <c r="AY315" t="s">
        <v>426</v>
      </c>
    </row>
    <row r="316" ht="18" customHeight="1" spans="1:51" x14ac:dyDescent="0.25">
      <c r="A316" s="14"/>
      <c r="B316" s="14"/>
      <c r="C316" s="14"/>
      <c r="D316" s="14"/>
      <c r="E316" s="14"/>
      <c r="F316" s="15"/>
      <c r="G316" s="15"/>
      <c r="H316" s="14" t="s">
        <v>71</v>
      </c>
      <c r="I316" s="16"/>
      <c r="J316" s="17"/>
      <c r="K316" s="14"/>
      <c r="L316" s="14"/>
      <c r="M316" s="14"/>
      <c r="N316" s="14"/>
      <c r="O316" s="15"/>
      <c r="P316" s="20">
        <v>0</v>
      </c>
      <c r="Q316" s="20">
        <v>0</v>
      </c>
      <c r="R316" s="20">
        <v>0</v>
      </c>
      <c r="S316" s="20">
        <v>0</v>
      </c>
      <c r="T316" s="20">
        <v>0</v>
      </c>
      <c r="U316" s="21" t="s">
        <v>69</v>
      </c>
      <c r="V316" s="21" t="s">
        <v>69</v>
      </c>
      <c r="W316" s="21" t="s">
        <v>69</v>
      </c>
      <c r="X316" s="21" t="s">
        <v>69</v>
      </c>
      <c r="Y316" s="21" t="s">
        <v>69</v>
      </c>
      <c r="AL316">
        <f>COUNTIF(P316:T316,"&gt;0")</f>
      </c>
      <c r="AS316">
        <f>COUNTIF(P316,"&gt;0")</f>
      </c>
      <c r="AT316">
        <f>COUNTIF(Q316,"&gt;0")</f>
      </c>
      <c r="AU316">
        <f>COUNTIF(R316,"&gt;0")</f>
      </c>
      <c r="AV316">
        <f>COUNTIF(S316,"&gt;0")</f>
      </c>
      <c r="AW316">
        <f>COUNTIF(T316,"&gt;0")</f>
      </c>
      <c r="AX316" t="s">
        <v>422</v>
      </c>
      <c r="AY316" t="s">
        <v>426</v>
      </c>
    </row>
    <row r="317" ht="28" customHeight="1" spans="1:51" x14ac:dyDescent="0.25">
      <c r="A317" s="14"/>
      <c r="B317" s="14"/>
      <c r="C317" s="14"/>
      <c r="D317" s="14"/>
      <c r="E317" s="14"/>
      <c r="F317" s="15" t="s">
        <v>365</v>
      </c>
      <c r="G317" s="15" t="s">
        <v>368</v>
      </c>
      <c r="H317" s="14" t="s">
        <v>66</v>
      </c>
      <c r="I317" s="16">
        <v>2</v>
      </c>
      <c r="J317" s="17">
        <v>1</v>
      </c>
      <c r="K317" s="14" t="s">
        <v>67</v>
      </c>
      <c r="L317" s="14" t="s">
        <v>68</v>
      </c>
      <c r="M317" s="14"/>
      <c r="N317" s="14"/>
      <c r="O317" s="15"/>
      <c r="P317" s="18">
        <v>2</v>
      </c>
      <c r="Q317" s="19">
        <v>0</v>
      </c>
      <c r="R317" s="19">
        <v>0</v>
      </c>
      <c r="S317" s="19">
        <v>0</v>
      </c>
      <c r="T317" s="19">
        <v>0</v>
      </c>
      <c r="U317" s="14" t="s">
        <v>69</v>
      </c>
      <c r="V317" s="14" t="s">
        <v>69</v>
      </c>
      <c r="W317" s="14" t="s">
        <v>69</v>
      </c>
      <c r="X317" s="14" t="s">
        <v>69</v>
      </c>
      <c r="Y317" s="14" t="s">
        <v>69</v>
      </c>
      <c r="AM317">
        <f>COUNTIF(P317:T317,"&gt;0")</f>
      </c>
      <c r="AN317">
        <f>COUNTIF(P317,"&gt;0")</f>
      </c>
      <c r="AO317">
        <f>COUNTIF(Q317,"&gt;0")</f>
      </c>
      <c r="AP317">
        <f>COUNTIF(R317,"&gt;0")</f>
      </c>
      <c r="AQ317">
        <f>COUNTIF(S317,"&gt;0")</f>
      </c>
      <c r="AR317">
        <f>COUNTIF(T317,"&gt;0")</f>
      </c>
      <c r="AX317" t="s">
        <v>422</v>
      </c>
      <c r="AY317" t="s">
        <v>427</v>
      </c>
    </row>
    <row r="318" ht="18" customHeight="1" spans="1:51" x14ac:dyDescent="0.25">
      <c r="A318" s="14"/>
      <c r="B318" s="14"/>
      <c r="C318" s="14"/>
      <c r="D318" s="14"/>
      <c r="E318" s="14"/>
      <c r="F318" s="15"/>
      <c r="G318" s="15"/>
      <c r="H318" s="14" t="s">
        <v>71</v>
      </c>
      <c r="I318" s="16"/>
      <c r="J318" s="17"/>
      <c r="K318" s="14"/>
      <c r="L318" s="14"/>
      <c r="M318" s="14"/>
      <c r="N318" s="14"/>
      <c r="O318" s="15"/>
      <c r="P318" s="20">
        <v>0</v>
      </c>
      <c r="Q318" s="20">
        <v>0</v>
      </c>
      <c r="R318" s="20">
        <v>0</v>
      </c>
      <c r="S318" s="20">
        <v>0</v>
      </c>
      <c r="T318" s="20">
        <v>0</v>
      </c>
      <c r="U318" s="21" t="s">
        <v>69</v>
      </c>
      <c r="V318" s="21" t="s">
        <v>69</v>
      </c>
      <c r="W318" s="21" t="s">
        <v>69</v>
      </c>
      <c r="X318" s="21" t="s">
        <v>69</v>
      </c>
      <c r="Y318" s="21" t="s">
        <v>69</v>
      </c>
      <c r="AL318">
        <f>COUNTIF(P318:T318,"&gt;0")</f>
      </c>
      <c r="AS318">
        <f>COUNTIF(P318,"&gt;0")</f>
      </c>
      <c r="AT318">
        <f>COUNTIF(Q318,"&gt;0")</f>
      </c>
      <c r="AU318">
        <f>COUNTIF(R318,"&gt;0")</f>
      </c>
      <c r="AV318">
        <f>COUNTIF(S318,"&gt;0")</f>
      </c>
      <c r="AW318">
        <f>COUNTIF(T318,"&gt;0")</f>
      </c>
      <c r="AX318" t="s">
        <v>422</v>
      </c>
      <c r="AY318" t="s">
        <v>427</v>
      </c>
    </row>
    <row r="319" ht="28" customHeight="1" spans="1:51" x14ac:dyDescent="0.25">
      <c r="A319" s="14"/>
      <c r="B319" s="14"/>
      <c r="C319" s="14"/>
      <c r="D319" s="14"/>
      <c r="E319" s="14"/>
      <c r="F319" s="15" t="s">
        <v>370</v>
      </c>
      <c r="G319" s="15" t="s">
        <v>371</v>
      </c>
      <c r="H319" s="14" t="s">
        <v>66</v>
      </c>
      <c r="I319" s="16">
        <v>2</v>
      </c>
      <c r="J319" s="17">
        <v>1</v>
      </c>
      <c r="K319" s="14" t="s">
        <v>67</v>
      </c>
      <c r="L319" s="14" t="s">
        <v>68</v>
      </c>
      <c r="M319" s="14"/>
      <c r="N319" s="14"/>
      <c r="O319" s="15"/>
      <c r="P319" s="19">
        <v>0</v>
      </c>
      <c r="Q319" s="18">
        <v>2</v>
      </c>
      <c r="R319" s="19">
        <v>0</v>
      </c>
      <c r="S319" s="19">
        <v>0</v>
      </c>
      <c r="T319" s="19">
        <v>0</v>
      </c>
      <c r="U319" s="14" t="s">
        <v>69</v>
      </c>
      <c r="V319" s="14" t="s">
        <v>69</v>
      </c>
      <c r="W319" s="14" t="s">
        <v>69</v>
      </c>
      <c r="X319" s="14" t="s">
        <v>69</v>
      </c>
      <c r="Y319" s="14" t="s">
        <v>69</v>
      </c>
      <c r="AM319">
        <f>COUNTIF(P319:T319,"&gt;0")</f>
      </c>
      <c r="AN319">
        <f>COUNTIF(P319,"&gt;0")</f>
      </c>
      <c r="AO319">
        <f>COUNTIF(Q319,"&gt;0")</f>
      </c>
      <c r="AP319">
        <f>COUNTIF(R319,"&gt;0")</f>
      </c>
      <c r="AQ319">
        <f>COUNTIF(S319,"&gt;0")</f>
      </c>
      <c r="AR319">
        <f>COUNTIF(T319,"&gt;0")</f>
      </c>
      <c r="AX319" t="s">
        <v>422</v>
      </c>
      <c r="AY319" t="s">
        <v>428</v>
      </c>
    </row>
    <row r="320" ht="18" customHeight="1" spans="1:51" x14ac:dyDescent="0.25">
      <c r="A320" s="14"/>
      <c r="B320" s="14"/>
      <c r="C320" s="14"/>
      <c r="D320" s="14"/>
      <c r="E320" s="14"/>
      <c r="F320" s="15"/>
      <c r="G320" s="15"/>
      <c r="H320" s="14" t="s">
        <v>71</v>
      </c>
      <c r="I320" s="16"/>
      <c r="J320" s="17"/>
      <c r="K320" s="14"/>
      <c r="L320" s="14"/>
      <c r="M320" s="14"/>
      <c r="N320" s="14"/>
      <c r="O320" s="15"/>
      <c r="P320" s="20">
        <v>0</v>
      </c>
      <c r="Q320" s="20">
        <v>0</v>
      </c>
      <c r="R320" s="20">
        <v>0</v>
      </c>
      <c r="S320" s="20">
        <v>0</v>
      </c>
      <c r="T320" s="20">
        <v>0</v>
      </c>
      <c r="U320" s="21" t="s">
        <v>69</v>
      </c>
      <c r="V320" s="21" t="s">
        <v>69</v>
      </c>
      <c r="W320" s="21" t="s">
        <v>69</v>
      </c>
      <c r="X320" s="21" t="s">
        <v>69</v>
      </c>
      <c r="Y320" s="21" t="s">
        <v>69</v>
      </c>
      <c r="AL320">
        <f>COUNTIF(P320:T320,"&gt;0")</f>
      </c>
      <c r="AS320">
        <f>COUNTIF(P320,"&gt;0")</f>
      </c>
      <c r="AT320">
        <f>COUNTIF(Q320,"&gt;0")</f>
      </c>
      <c r="AU320">
        <f>COUNTIF(R320,"&gt;0")</f>
      </c>
      <c r="AV320">
        <f>COUNTIF(S320,"&gt;0")</f>
      </c>
      <c r="AW320">
        <f>COUNTIF(T320,"&gt;0")</f>
      </c>
      <c r="AX320" t="s">
        <v>422</v>
      </c>
      <c r="AY320" t="s">
        <v>428</v>
      </c>
    </row>
    <row r="321" ht="28" customHeight="1" spans="1:51" x14ac:dyDescent="0.25">
      <c r="A321" s="14"/>
      <c r="B321" s="14"/>
      <c r="C321" s="14"/>
      <c r="D321" s="14"/>
      <c r="E321" s="14"/>
      <c r="F321" s="15" t="s">
        <v>373</v>
      </c>
      <c r="G321" s="15" t="s">
        <v>374</v>
      </c>
      <c r="H321" s="14" t="s">
        <v>66</v>
      </c>
      <c r="I321" s="16">
        <v>2</v>
      </c>
      <c r="J321" s="17">
        <v>1</v>
      </c>
      <c r="K321" s="14" t="s">
        <v>67</v>
      </c>
      <c r="L321" s="14" t="s">
        <v>68</v>
      </c>
      <c r="M321" s="14"/>
      <c r="N321" s="14"/>
      <c r="O321" s="15"/>
      <c r="P321" s="19">
        <v>0</v>
      </c>
      <c r="Q321" s="19">
        <v>0</v>
      </c>
      <c r="R321" s="18">
        <v>2</v>
      </c>
      <c r="S321" s="19">
        <v>0</v>
      </c>
      <c r="T321" s="19">
        <v>0</v>
      </c>
      <c r="U321" s="14" t="s">
        <v>69</v>
      </c>
      <c r="V321" s="14" t="s">
        <v>69</v>
      </c>
      <c r="W321" s="14" t="s">
        <v>69</v>
      </c>
      <c r="X321" s="14" t="s">
        <v>69</v>
      </c>
      <c r="Y321" s="14" t="s">
        <v>69</v>
      </c>
      <c r="AM321">
        <f>COUNTIF(P321:T321,"&gt;0")</f>
      </c>
      <c r="AN321">
        <f>COUNTIF(P321,"&gt;0")</f>
      </c>
      <c r="AO321">
        <f>COUNTIF(Q321,"&gt;0")</f>
      </c>
      <c r="AP321">
        <f>COUNTIF(R321,"&gt;0")</f>
      </c>
      <c r="AQ321">
        <f>COUNTIF(S321,"&gt;0")</f>
      </c>
      <c r="AR321">
        <f>COUNTIF(T321,"&gt;0")</f>
      </c>
      <c r="AX321" t="s">
        <v>422</v>
      </c>
      <c r="AY321" t="s">
        <v>429</v>
      </c>
    </row>
    <row r="322" ht="18" customHeight="1" spans="1:51" x14ac:dyDescent="0.25">
      <c r="A322" s="14"/>
      <c r="B322" s="14"/>
      <c r="C322" s="14"/>
      <c r="D322" s="14"/>
      <c r="E322" s="14"/>
      <c r="F322" s="15"/>
      <c r="G322" s="15"/>
      <c r="H322" s="14" t="s">
        <v>71</v>
      </c>
      <c r="I322" s="16"/>
      <c r="J322" s="17"/>
      <c r="K322" s="14"/>
      <c r="L322" s="14"/>
      <c r="M322" s="14"/>
      <c r="N322" s="14"/>
      <c r="O322" s="15"/>
      <c r="P322" s="20">
        <v>0</v>
      </c>
      <c r="Q322" s="20">
        <v>0</v>
      </c>
      <c r="R322" s="20">
        <v>0</v>
      </c>
      <c r="S322" s="20">
        <v>0</v>
      </c>
      <c r="T322" s="20">
        <v>0</v>
      </c>
      <c r="U322" s="21" t="s">
        <v>69</v>
      </c>
      <c r="V322" s="21" t="s">
        <v>69</v>
      </c>
      <c r="W322" s="21" t="s">
        <v>69</v>
      </c>
      <c r="X322" s="21" t="s">
        <v>69</v>
      </c>
      <c r="Y322" s="21" t="s">
        <v>69</v>
      </c>
      <c r="AL322">
        <f>COUNTIF(P322:T322,"&gt;0")</f>
      </c>
      <c r="AS322">
        <f>COUNTIF(P322,"&gt;0")</f>
      </c>
      <c r="AT322">
        <f>COUNTIF(Q322,"&gt;0")</f>
      </c>
      <c r="AU322">
        <f>COUNTIF(R322,"&gt;0")</f>
      </c>
      <c r="AV322">
        <f>COUNTIF(S322,"&gt;0")</f>
      </c>
      <c r="AW322">
        <f>COUNTIF(T322,"&gt;0")</f>
      </c>
      <c r="AX322" t="s">
        <v>422</v>
      </c>
      <c r="AY322" t="s">
        <v>429</v>
      </c>
    </row>
    <row r="323" ht="28" customHeight="1" spans="1:51" x14ac:dyDescent="0.25">
      <c r="A323" s="14"/>
      <c r="B323" s="14"/>
      <c r="C323" s="14"/>
      <c r="D323" s="14"/>
      <c r="E323" s="14"/>
      <c r="F323" s="15" t="s">
        <v>376</v>
      </c>
      <c r="G323" s="15" t="s">
        <v>377</v>
      </c>
      <c r="H323" s="14" t="s">
        <v>66</v>
      </c>
      <c r="I323" s="16">
        <v>2</v>
      </c>
      <c r="J323" s="17">
        <v>1</v>
      </c>
      <c r="K323" s="14" t="s">
        <v>67</v>
      </c>
      <c r="L323" s="14" t="s">
        <v>68</v>
      </c>
      <c r="M323" s="14"/>
      <c r="N323" s="14"/>
      <c r="O323" s="15"/>
      <c r="P323" s="19">
        <v>0</v>
      </c>
      <c r="Q323" s="19">
        <v>0</v>
      </c>
      <c r="R323" s="19">
        <v>0</v>
      </c>
      <c r="S323" s="18">
        <v>2</v>
      </c>
      <c r="T323" s="19">
        <v>0</v>
      </c>
      <c r="U323" s="14" t="s">
        <v>69</v>
      </c>
      <c r="V323" s="14" t="s">
        <v>69</v>
      </c>
      <c r="W323" s="14" t="s">
        <v>69</v>
      </c>
      <c r="X323" s="14" t="s">
        <v>69</v>
      </c>
      <c r="Y323" s="14" t="s">
        <v>69</v>
      </c>
      <c r="AM323">
        <f>COUNTIF(P323:T323,"&gt;0")</f>
      </c>
      <c r="AN323">
        <f>COUNTIF(P323,"&gt;0")</f>
      </c>
      <c r="AO323">
        <f>COUNTIF(Q323,"&gt;0")</f>
      </c>
      <c r="AP323">
        <f>COUNTIF(R323,"&gt;0")</f>
      </c>
      <c r="AQ323">
        <f>COUNTIF(S323,"&gt;0")</f>
      </c>
      <c r="AR323">
        <f>COUNTIF(T323,"&gt;0")</f>
      </c>
      <c r="AX323" t="s">
        <v>422</v>
      </c>
      <c r="AY323" t="s">
        <v>430</v>
      </c>
    </row>
    <row r="324" ht="18" customHeight="1" spans="1:51" x14ac:dyDescent="0.25">
      <c r="A324" s="14"/>
      <c r="B324" s="14"/>
      <c r="C324" s="14"/>
      <c r="D324" s="14"/>
      <c r="E324" s="14"/>
      <c r="F324" s="15"/>
      <c r="G324" s="15"/>
      <c r="H324" s="14" t="s">
        <v>71</v>
      </c>
      <c r="I324" s="16"/>
      <c r="J324" s="17"/>
      <c r="K324" s="14"/>
      <c r="L324" s="14"/>
      <c r="M324" s="14"/>
      <c r="N324" s="14"/>
      <c r="O324" s="15"/>
      <c r="P324" s="20">
        <v>0</v>
      </c>
      <c r="Q324" s="20">
        <v>0</v>
      </c>
      <c r="R324" s="20">
        <v>0</v>
      </c>
      <c r="S324" s="20">
        <v>0</v>
      </c>
      <c r="T324" s="20">
        <v>0</v>
      </c>
      <c r="U324" s="21" t="s">
        <v>69</v>
      </c>
      <c r="V324" s="21" t="s">
        <v>69</v>
      </c>
      <c r="W324" s="21" t="s">
        <v>69</v>
      </c>
      <c r="X324" s="21" t="s">
        <v>69</v>
      </c>
      <c r="Y324" s="21" t="s">
        <v>69</v>
      </c>
      <c r="AL324">
        <f>COUNTIF(P324:T324,"&gt;0")</f>
      </c>
      <c r="AS324">
        <f>COUNTIF(P324,"&gt;0")</f>
      </c>
      <c r="AT324">
        <f>COUNTIF(Q324,"&gt;0")</f>
      </c>
      <c r="AU324">
        <f>COUNTIF(R324,"&gt;0")</f>
      </c>
      <c r="AV324">
        <f>COUNTIF(S324,"&gt;0")</f>
      </c>
      <c r="AW324">
        <f>COUNTIF(T324,"&gt;0")</f>
      </c>
      <c r="AX324" t="s">
        <v>422</v>
      </c>
      <c r="AY324" t="s">
        <v>430</v>
      </c>
    </row>
    <row r="325" ht="28" customHeight="1" spans="1:51" x14ac:dyDescent="0.25">
      <c r="A325" s="14"/>
      <c r="B325" s="14"/>
      <c r="C325" s="14"/>
      <c r="D325" s="14"/>
      <c r="E325" s="14"/>
      <c r="F325" s="15" t="s">
        <v>379</v>
      </c>
      <c r="G325" s="15" t="s">
        <v>380</v>
      </c>
      <c r="H325" s="14" t="s">
        <v>66</v>
      </c>
      <c r="I325" s="16">
        <v>2</v>
      </c>
      <c r="J325" s="17">
        <v>1</v>
      </c>
      <c r="K325" s="14" t="s">
        <v>67</v>
      </c>
      <c r="L325" s="14" t="s">
        <v>68</v>
      </c>
      <c r="M325" s="14"/>
      <c r="N325" s="14"/>
      <c r="O325" s="15"/>
      <c r="P325" s="19">
        <v>0</v>
      </c>
      <c r="Q325" s="19">
        <v>0</v>
      </c>
      <c r="R325" s="19">
        <v>0</v>
      </c>
      <c r="S325" s="19">
        <v>0</v>
      </c>
      <c r="T325" s="18">
        <v>2</v>
      </c>
      <c r="U325" s="14" t="s">
        <v>69</v>
      </c>
      <c r="V325" s="14" t="s">
        <v>69</v>
      </c>
      <c r="W325" s="14" t="s">
        <v>69</v>
      </c>
      <c r="X325" s="14" t="s">
        <v>69</v>
      </c>
      <c r="Y325" s="14" t="s">
        <v>69</v>
      </c>
      <c r="AM325">
        <f>COUNTIF(P325:T325,"&gt;0")</f>
      </c>
      <c r="AN325">
        <f>COUNTIF(P325,"&gt;0")</f>
      </c>
      <c r="AO325">
        <f>COUNTIF(Q325,"&gt;0")</f>
      </c>
      <c r="AP325">
        <f>COUNTIF(R325,"&gt;0")</f>
      </c>
      <c r="AQ325">
        <f>COUNTIF(S325,"&gt;0")</f>
      </c>
      <c r="AR325">
        <f>COUNTIF(T325,"&gt;0")</f>
      </c>
      <c r="AX325" t="s">
        <v>422</v>
      </c>
      <c r="AY325" t="s">
        <v>431</v>
      </c>
    </row>
    <row r="326" ht="18" customHeight="1" spans="1:51" x14ac:dyDescent="0.25">
      <c r="A326" s="14"/>
      <c r="B326" s="14"/>
      <c r="C326" s="14"/>
      <c r="D326" s="14"/>
      <c r="E326" s="14"/>
      <c r="F326" s="15"/>
      <c r="G326" s="15"/>
      <c r="H326" s="14" t="s">
        <v>71</v>
      </c>
      <c r="I326" s="16"/>
      <c r="J326" s="17"/>
      <c r="K326" s="14"/>
      <c r="L326" s="14"/>
      <c r="M326" s="14"/>
      <c r="N326" s="14"/>
      <c r="O326" s="15"/>
      <c r="P326" s="20">
        <v>0</v>
      </c>
      <c r="Q326" s="20">
        <v>0</v>
      </c>
      <c r="R326" s="20">
        <v>0</v>
      </c>
      <c r="S326" s="20">
        <v>0</v>
      </c>
      <c r="T326" s="20">
        <v>0</v>
      </c>
      <c r="U326" s="21" t="s">
        <v>69</v>
      </c>
      <c r="V326" s="21" t="s">
        <v>69</v>
      </c>
      <c r="W326" s="21" t="s">
        <v>69</v>
      </c>
      <c r="X326" s="21" t="s">
        <v>69</v>
      </c>
      <c r="Y326" s="21" t="s">
        <v>69</v>
      </c>
      <c r="AL326">
        <f>COUNTIF(P326:T326,"&gt;0")</f>
      </c>
      <c r="AS326">
        <f>COUNTIF(P326,"&gt;0")</f>
      </c>
      <c r="AT326">
        <f>COUNTIF(Q326,"&gt;0")</f>
      </c>
      <c r="AU326">
        <f>COUNTIF(R326,"&gt;0")</f>
      </c>
      <c r="AV326">
        <f>COUNTIF(S326,"&gt;0")</f>
      </c>
      <c r="AW326">
        <f>COUNTIF(T326,"&gt;0")</f>
      </c>
      <c r="AX326" t="s">
        <v>422</v>
      </c>
      <c r="AY326" t="s">
        <v>431</v>
      </c>
    </row>
    <row r="327" ht="28" customHeight="1" spans="1:51" x14ac:dyDescent="0.25">
      <c r="A327" s="14"/>
      <c r="B327" s="14"/>
      <c r="C327" s="14"/>
      <c r="D327" s="14"/>
      <c r="E327" s="14"/>
      <c r="F327" s="15" t="s">
        <v>382</v>
      </c>
      <c r="G327" s="15" t="s">
        <v>383</v>
      </c>
      <c r="H327" s="14" t="s">
        <v>66</v>
      </c>
      <c r="I327" s="16">
        <v>3</v>
      </c>
      <c r="J327" s="17">
        <v>3</v>
      </c>
      <c r="K327" s="14" t="s">
        <v>157</v>
      </c>
      <c r="L327" s="14" t="s">
        <v>68</v>
      </c>
      <c r="M327" s="14"/>
      <c r="N327" s="14"/>
      <c r="O327" s="15"/>
      <c r="P327" s="19">
        <v>0</v>
      </c>
      <c r="Q327" s="19">
        <v>0</v>
      </c>
      <c r="R327" s="19">
        <v>0</v>
      </c>
      <c r="S327" s="19">
        <v>0</v>
      </c>
      <c r="T327" s="19">
        <v>0</v>
      </c>
      <c r="U327" s="14" t="s">
        <v>69</v>
      </c>
      <c r="V327" s="14" t="s">
        <v>69</v>
      </c>
      <c r="W327" s="14" t="s">
        <v>69</v>
      </c>
      <c r="X327" s="14" t="s">
        <v>69</v>
      </c>
      <c r="Y327" s="14" t="s">
        <v>69</v>
      </c>
      <c r="AM327">
        <f>COUNTIF(P327:T327,"&gt;0")</f>
      </c>
      <c r="AN327">
        <f>COUNTIF(P327,"&gt;0")</f>
      </c>
      <c r="AO327">
        <f>COUNTIF(Q327,"&gt;0")</f>
      </c>
      <c r="AP327">
        <f>COUNTIF(R327,"&gt;0")</f>
      </c>
      <c r="AQ327">
        <f>COUNTIF(S327,"&gt;0")</f>
      </c>
      <c r="AR327">
        <f>COUNTIF(T327,"&gt;0")</f>
      </c>
      <c r="AX327" t="s">
        <v>422</v>
      </c>
      <c r="AY327" t="s">
        <v>432</v>
      </c>
    </row>
    <row r="328" ht="18" customHeight="1" spans="1:51" x14ac:dyDescent="0.25">
      <c r="A328" s="14"/>
      <c r="B328" s="14"/>
      <c r="C328" s="14"/>
      <c r="D328" s="14"/>
      <c r="E328" s="14"/>
      <c r="F328" s="15"/>
      <c r="G328" s="15"/>
      <c r="H328" s="14" t="s">
        <v>71</v>
      </c>
      <c r="I328" s="16"/>
      <c r="J328" s="17"/>
      <c r="K328" s="14"/>
      <c r="L328" s="14"/>
      <c r="M328" s="14"/>
      <c r="N328" s="14"/>
      <c r="O328" s="15"/>
      <c r="P328" s="20">
        <v>0</v>
      </c>
      <c r="Q328" s="20">
        <v>0</v>
      </c>
      <c r="R328" s="20">
        <v>0</v>
      </c>
      <c r="S328" s="20">
        <v>0</v>
      </c>
      <c r="T328" s="20">
        <v>0</v>
      </c>
      <c r="U328" s="21" t="s">
        <v>69</v>
      </c>
      <c r="V328" s="21" t="s">
        <v>69</v>
      </c>
      <c r="W328" s="21" t="s">
        <v>69</v>
      </c>
      <c r="X328" s="21" t="s">
        <v>69</v>
      </c>
      <c r="Y328" s="21" t="s">
        <v>69</v>
      </c>
      <c r="AL328">
        <f>COUNTIF(P328:T328,"&gt;0")</f>
      </c>
      <c r="AS328">
        <f>COUNTIF(P328,"&gt;0")</f>
      </c>
      <c r="AT328">
        <f>COUNTIF(Q328,"&gt;0")</f>
      </c>
      <c r="AU328">
        <f>COUNTIF(R328,"&gt;0")</f>
      </c>
      <c r="AV328">
        <f>COUNTIF(S328,"&gt;0")</f>
      </c>
      <c r="AW328">
        <f>COUNTIF(T328,"&gt;0")</f>
      </c>
      <c r="AX328" t="s">
        <v>422</v>
      </c>
      <c r="AY328" t="s">
        <v>432</v>
      </c>
    </row>
    <row r="329" ht="28" customHeight="1" spans="1:51" x14ac:dyDescent="0.25">
      <c r="A329" s="14"/>
      <c r="B329" s="14"/>
      <c r="C329" s="14"/>
      <c r="D329" s="14"/>
      <c r="E329" s="14"/>
      <c r="F329" s="15" t="s">
        <v>385</v>
      </c>
      <c r="G329" s="15" t="s">
        <v>386</v>
      </c>
      <c r="H329" s="14" t="s">
        <v>66</v>
      </c>
      <c r="I329" s="16">
        <v>3</v>
      </c>
      <c r="J329" s="17">
        <v>3</v>
      </c>
      <c r="K329" s="14" t="s">
        <v>157</v>
      </c>
      <c r="L329" s="14" t="s">
        <v>68</v>
      </c>
      <c r="M329" s="14"/>
      <c r="N329" s="14"/>
      <c r="O329" s="15"/>
      <c r="P329" s="19">
        <v>0</v>
      </c>
      <c r="Q329" s="19">
        <v>0</v>
      </c>
      <c r="R329" s="19">
        <v>0</v>
      </c>
      <c r="S329" s="19">
        <v>0</v>
      </c>
      <c r="T329" s="19">
        <v>0</v>
      </c>
      <c r="U329" s="14" t="s">
        <v>69</v>
      </c>
      <c r="V329" s="14" t="s">
        <v>69</v>
      </c>
      <c r="W329" s="14" t="s">
        <v>69</v>
      </c>
      <c r="X329" s="14" t="s">
        <v>69</v>
      </c>
      <c r="Y329" s="14" t="s">
        <v>69</v>
      </c>
      <c r="AM329">
        <f>COUNTIF(P329:T329,"&gt;0")</f>
      </c>
      <c r="AN329">
        <f>COUNTIF(P329,"&gt;0")</f>
      </c>
      <c r="AO329">
        <f>COUNTIF(Q329,"&gt;0")</f>
      </c>
      <c r="AP329">
        <f>COUNTIF(R329,"&gt;0")</f>
      </c>
      <c r="AQ329">
        <f>COUNTIF(S329,"&gt;0")</f>
      </c>
      <c r="AR329">
        <f>COUNTIF(T329,"&gt;0")</f>
      </c>
      <c r="AX329" t="s">
        <v>422</v>
      </c>
      <c r="AY329" t="s">
        <v>433</v>
      </c>
    </row>
    <row r="330" ht="18" customHeight="1" spans="1:51" x14ac:dyDescent="0.25">
      <c r="A330" s="14"/>
      <c r="B330" s="14"/>
      <c r="C330" s="14"/>
      <c r="D330" s="14"/>
      <c r="E330" s="14"/>
      <c r="F330" s="15"/>
      <c r="G330" s="15"/>
      <c r="H330" s="14" t="s">
        <v>71</v>
      </c>
      <c r="I330" s="16"/>
      <c r="J330" s="17"/>
      <c r="K330" s="14"/>
      <c r="L330" s="14"/>
      <c r="M330" s="14"/>
      <c r="N330" s="14"/>
      <c r="O330" s="15"/>
      <c r="P330" s="20">
        <v>0</v>
      </c>
      <c r="Q330" s="20">
        <v>0</v>
      </c>
      <c r="R330" s="20">
        <v>0</v>
      </c>
      <c r="S330" s="20">
        <v>0</v>
      </c>
      <c r="T330" s="20">
        <v>0</v>
      </c>
      <c r="U330" s="21" t="s">
        <v>69</v>
      </c>
      <c r="V330" s="21" t="s">
        <v>69</v>
      </c>
      <c r="W330" s="21" t="s">
        <v>69</v>
      </c>
      <c r="X330" s="21" t="s">
        <v>69</v>
      </c>
      <c r="Y330" s="21" t="s">
        <v>69</v>
      </c>
      <c r="AL330">
        <f>COUNTIF(P330:T330,"&gt;0")</f>
      </c>
      <c r="AS330">
        <f>COUNTIF(P330,"&gt;0")</f>
      </c>
      <c r="AT330">
        <f>COUNTIF(Q330,"&gt;0")</f>
      </c>
      <c r="AU330">
        <f>COUNTIF(R330,"&gt;0")</f>
      </c>
      <c r="AV330">
        <f>COUNTIF(S330,"&gt;0")</f>
      </c>
      <c r="AW330">
        <f>COUNTIF(T330,"&gt;0")</f>
      </c>
      <c r="AX330" t="s">
        <v>422</v>
      </c>
      <c r="AY330" t="s">
        <v>433</v>
      </c>
    </row>
    <row r="331" ht="28" customHeight="1" spans="1:51" x14ac:dyDescent="0.25">
      <c r="A331" s="14"/>
      <c r="B331" s="14"/>
      <c r="C331" s="14"/>
      <c r="D331" s="14"/>
      <c r="E331" s="14"/>
      <c r="F331" s="15" t="s">
        <v>385</v>
      </c>
      <c r="G331" s="15" t="s">
        <v>388</v>
      </c>
      <c r="H331" s="14" t="s">
        <v>66</v>
      </c>
      <c r="I331" s="16">
        <v>3</v>
      </c>
      <c r="J331" s="17">
        <v>3</v>
      </c>
      <c r="K331" s="14" t="s">
        <v>157</v>
      </c>
      <c r="L331" s="14" t="s">
        <v>68</v>
      </c>
      <c r="M331" s="14"/>
      <c r="N331" s="14"/>
      <c r="O331" s="15"/>
      <c r="P331" s="19">
        <v>0</v>
      </c>
      <c r="Q331" s="19">
        <v>0</v>
      </c>
      <c r="R331" s="19">
        <v>0</v>
      </c>
      <c r="S331" s="24">
        <v>3</v>
      </c>
      <c r="T331" s="19">
        <v>0</v>
      </c>
      <c r="U331" s="14" t="s">
        <v>69</v>
      </c>
      <c r="V331" s="14" t="s">
        <v>69</v>
      </c>
      <c r="W331" s="14" t="s">
        <v>69</v>
      </c>
      <c r="X331" s="14" t="s">
        <v>69</v>
      </c>
      <c r="Y331" s="14" t="s">
        <v>69</v>
      </c>
      <c r="AM331">
        <f>COUNTIF(P331:T331,"&gt;0")</f>
      </c>
      <c r="AN331">
        <f>COUNTIF(P331,"&gt;0")</f>
      </c>
      <c r="AO331">
        <f>COUNTIF(Q331,"&gt;0")</f>
      </c>
      <c r="AP331">
        <f>COUNTIF(R331,"&gt;0")</f>
      </c>
      <c r="AQ331">
        <f>COUNTIF(S331,"&gt;0")</f>
      </c>
      <c r="AR331">
        <f>COUNTIF(T331,"&gt;0")</f>
      </c>
      <c r="AX331" t="s">
        <v>422</v>
      </c>
      <c r="AY331" t="s">
        <v>434</v>
      </c>
    </row>
    <row r="332" ht="18" customHeight="1" spans="1:51" x14ac:dyDescent="0.25">
      <c r="A332" s="14"/>
      <c r="B332" s="14"/>
      <c r="C332" s="14"/>
      <c r="D332" s="14"/>
      <c r="E332" s="14"/>
      <c r="F332" s="15"/>
      <c r="G332" s="15"/>
      <c r="H332" s="14" t="s">
        <v>71</v>
      </c>
      <c r="I332" s="16"/>
      <c r="J332" s="17"/>
      <c r="K332" s="14"/>
      <c r="L332" s="14"/>
      <c r="M332" s="14"/>
      <c r="N332" s="14"/>
      <c r="O332" s="15"/>
      <c r="P332" s="20">
        <v>0</v>
      </c>
      <c r="Q332" s="20">
        <v>0</v>
      </c>
      <c r="R332" s="20">
        <v>0</v>
      </c>
      <c r="S332" s="20">
        <v>0</v>
      </c>
      <c r="T332" s="20">
        <v>0</v>
      </c>
      <c r="U332" s="21" t="s">
        <v>69</v>
      </c>
      <c r="V332" s="21" t="s">
        <v>69</v>
      </c>
      <c r="W332" s="21" t="s">
        <v>69</v>
      </c>
      <c r="X332" s="21" t="s">
        <v>69</v>
      </c>
      <c r="Y332" s="21" t="s">
        <v>69</v>
      </c>
      <c r="AL332">
        <f>COUNTIF(P332:T332,"&gt;0")</f>
      </c>
      <c r="AS332">
        <f>COUNTIF(P332,"&gt;0")</f>
      </c>
      <c r="AT332">
        <f>COUNTIF(Q332,"&gt;0")</f>
      </c>
      <c r="AU332">
        <f>COUNTIF(R332,"&gt;0")</f>
      </c>
      <c r="AV332">
        <f>COUNTIF(S332,"&gt;0")</f>
      </c>
      <c r="AW332">
        <f>COUNTIF(T332,"&gt;0")</f>
      </c>
      <c r="AX332" t="s">
        <v>422</v>
      </c>
      <c r="AY332" t="s">
        <v>434</v>
      </c>
    </row>
    <row r="333" ht="28" customHeight="1" spans="1:51" x14ac:dyDescent="0.25">
      <c r="A333" s="14"/>
      <c r="B333" s="14"/>
      <c r="C333" s="14"/>
      <c r="D333" s="14"/>
      <c r="E333" s="14"/>
      <c r="F333" s="15" t="s">
        <v>328</v>
      </c>
      <c r="G333" s="15" t="s">
        <v>390</v>
      </c>
      <c r="H333" s="14" t="s">
        <v>66</v>
      </c>
      <c r="I333" s="16">
        <v>3</v>
      </c>
      <c r="J333" s="17">
        <v>3</v>
      </c>
      <c r="K333" s="14" t="s">
        <v>157</v>
      </c>
      <c r="L333" s="14" t="s">
        <v>68</v>
      </c>
      <c r="M333" s="14"/>
      <c r="N333" s="14"/>
      <c r="O333" s="15"/>
      <c r="P333" s="19">
        <v>0</v>
      </c>
      <c r="Q333" s="19">
        <v>0</v>
      </c>
      <c r="R333" s="19">
        <v>0</v>
      </c>
      <c r="S333" s="19">
        <v>0</v>
      </c>
      <c r="T333" s="19">
        <v>0</v>
      </c>
      <c r="U333" s="14" t="s">
        <v>69</v>
      </c>
      <c r="V333" s="14" t="s">
        <v>69</v>
      </c>
      <c r="W333" s="14" t="s">
        <v>69</v>
      </c>
      <c r="X333" s="14" t="s">
        <v>69</v>
      </c>
      <c r="Y333" s="14" t="s">
        <v>69</v>
      </c>
      <c r="AM333">
        <f>COUNTIF(P333:T333,"&gt;0")</f>
      </c>
      <c r="AN333">
        <f>COUNTIF(P333,"&gt;0")</f>
      </c>
      <c r="AO333">
        <f>COUNTIF(Q333,"&gt;0")</f>
      </c>
      <c r="AP333">
        <f>COUNTIF(R333,"&gt;0")</f>
      </c>
      <c r="AQ333">
        <f>COUNTIF(S333,"&gt;0")</f>
      </c>
      <c r="AR333">
        <f>COUNTIF(T333,"&gt;0")</f>
      </c>
      <c r="AX333" t="s">
        <v>422</v>
      </c>
      <c r="AY333" t="s">
        <v>435</v>
      </c>
    </row>
    <row r="334" ht="18" customHeight="1" spans="1:51" x14ac:dyDescent="0.25">
      <c r="A334" s="14"/>
      <c r="B334" s="14"/>
      <c r="C334" s="14"/>
      <c r="D334" s="14"/>
      <c r="E334" s="14"/>
      <c r="F334" s="15"/>
      <c r="G334" s="15"/>
      <c r="H334" s="14" t="s">
        <v>71</v>
      </c>
      <c r="I334" s="16"/>
      <c r="J334" s="17"/>
      <c r="K334" s="14"/>
      <c r="L334" s="14"/>
      <c r="M334" s="14"/>
      <c r="N334" s="14"/>
      <c r="O334" s="15"/>
      <c r="P334" s="20">
        <v>0</v>
      </c>
      <c r="Q334" s="20">
        <v>0</v>
      </c>
      <c r="R334" s="20">
        <v>0</v>
      </c>
      <c r="S334" s="20">
        <v>0</v>
      </c>
      <c r="T334" s="20">
        <v>0</v>
      </c>
      <c r="U334" s="21" t="s">
        <v>69</v>
      </c>
      <c r="V334" s="21" t="s">
        <v>69</v>
      </c>
      <c r="W334" s="21" t="s">
        <v>69</v>
      </c>
      <c r="X334" s="21" t="s">
        <v>69</v>
      </c>
      <c r="Y334" s="21" t="s">
        <v>69</v>
      </c>
      <c r="AL334">
        <f>COUNTIF(P334:T334,"&gt;0")</f>
      </c>
      <c r="AS334">
        <f>COUNTIF(P334,"&gt;0")</f>
      </c>
      <c r="AT334">
        <f>COUNTIF(Q334,"&gt;0")</f>
      </c>
      <c r="AU334">
        <f>COUNTIF(R334,"&gt;0")</f>
      </c>
      <c r="AV334">
        <f>COUNTIF(S334,"&gt;0")</f>
      </c>
      <c r="AW334">
        <f>COUNTIF(T334,"&gt;0")</f>
      </c>
      <c r="AX334" t="s">
        <v>422</v>
      </c>
      <c r="AY334" t="s">
        <v>435</v>
      </c>
    </row>
    <row r="335" ht="28" customHeight="1" spans="1:51" x14ac:dyDescent="0.25">
      <c r="A335" s="14"/>
      <c r="B335" s="14"/>
      <c r="C335" s="14"/>
      <c r="D335" s="14"/>
      <c r="E335" s="14"/>
      <c r="F335" s="15" t="s">
        <v>392</v>
      </c>
      <c r="G335" s="15" t="s">
        <v>393</v>
      </c>
      <c r="H335" s="14" t="s">
        <v>66</v>
      </c>
      <c r="I335" s="16">
        <v>3</v>
      </c>
      <c r="J335" s="17">
        <v>3</v>
      </c>
      <c r="K335" s="14" t="s">
        <v>157</v>
      </c>
      <c r="L335" s="14" t="s">
        <v>68</v>
      </c>
      <c r="M335" s="14"/>
      <c r="N335" s="14"/>
      <c r="O335" s="15"/>
      <c r="P335" s="19">
        <v>0</v>
      </c>
      <c r="Q335" s="19">
        <v>0</v>
      </c>
      <c r="R335" s="19">
        <v>0</v>
      </c>
      <c r="S335" s="19">
        <v>0</v>
      </c>
      <c r="T335" s="19">
        <v>0</v>
      </c>
      <c r="U335" s="14" t="s">
        <v>69</v>
      </c>
      <c r="V335" s="14" t="s">
        <v>69</v>
      </c>
      <c r="W335" s="14" t="s">
        <v>69</v>
      </c>
      <c r="X335" s="14" t="s">
        <v>69</v>
      </c>
      <c r="Y335" s="14" t="s">
        <v>69</v>
      </c>
      <c r="AM335">
        <f>COUNTIF(P335:T335,"&gt;0")</f>
      </c>
      <c r="AN335">
        <f>COUNTIF(P335,"&gt;0")</f>
      </c>
      <c r="AO335">
        <f>COUNTIF(Q335,"&gt;0")</f>
      </c>
      <c r="AP335">
        <f>COUNTIF(R335,"&gt;0")</f>
      </c>
      <c r="AQ335">
        <f>COUNTIF(S335,"&gt;0")</f>
      </c>
      <c r="AR335">
        <f>COUNTIF(T335,"&gt;0")</f>
      </c>
      <c r="AX335" t="s">
        <v>422</v>
      </c>
      <c r="AY335" t="s">
        <v>436</v>
      </c>
    </row>
    <row r="336" ht="18" customHeight="1" spans="1:51" x14ac:dyDescent="0.25">
      <c r="A336" s="14"/>
      <c r="B336" s="14"/>
      <c r="C336" s="14"/>
      <c r="D336" s="14"/>
      <c r="E336" s="14"/>
      <c r="F336" s="15"/>
      <c r="G336" s="15"/>
      <c r="H336" s="14" t="s">
        <v>71</v>
      </c>
      <c r="I336" s="16"/>
      <c r="J336" s="17"/>
      <c r="K336" s="14"/>
      <c r="L336" s="14"/>
      <c r="M336" s="14"/>
      <c r="N336" s="14"/>
      <c r="O336" s="15"/>
      <c r="P336" s="20">
        <v>0</v>
      </c>
      <c r="Q336" s="20">
        <v>0</v>
      </c>
      <c r="R336" s="20">
        <v>0</v>
      </c>
      <c r="S336" s="20">
        <v>0</v>
      </c>
      <c r="T336" s="20">
        <v>0</v>
      </c>
      <c r="U336" s="21" t="s">
        <v>69</v>
      </c>
      <c r="V336" s="21" t="s">
        <v>69</v>
      </c>
      <c r="W336" s="21" t="s">
        <v>69</v>
      </c>
      <c r="X336" s="21" t="s">
        <v>69</v>
      </c>
      <c r="Y336" s="21" t="s">
        <v>69</v>
      </c>
      <c r="AL336">
        <f>COUNTIF(P336:T336,"&gt;0")</f>
      </c>
      <c r="AS336">
        <f>COUNTIF(P336,"&gt;0")</f>
      </c>
      <c r="AT336">
        <f>COUNTIF(Q336,"&gt;0")</f>
      </c>
      <c r="AU336">
        <f>COUNTIF(R336,"&gt;0")</f>
      </c>
      <c r="AV336">
        <f>COUNTIF(S336,"&gt;0")</f>
      </c>
      <c r="AW336">
        <f>COUNTIF(T336,"&gt;0")</f>
      </c>
      <c r="AX336" t="s">
        <v>422</v>
      </c>
      <c r="AY336" t="s">
        <v>436</v>
      </c>
    </row>
    <row r="337" ht="28" customHeight="1" spans="1:51" x14ac:dyDescent="0.25">
      <c r="A337" s="14"/>
      <c r="B337" s="14"/>
      <c r="C337" s="14"/>
      <c r="D337" s="14"/>
      <c r="E337" s="14"/>
      <c r="F337" s="15" t="s">
        <v>395</v>
      </c>
      <c r="G337" s="15" t="s">
        <v>396</v>
      </c>
      <c r="H337" s="14" t="s">
        <v>66</v>
      </c>
      <c r="I337" s="16">
        <v>5</v>
      </c>
      <c r="J337" s="17">
        <v>12</v>
      </c>
      <c r="K337" s="14" t="s">
        <v>141</v>
      </c>
      <c r="L337" s="14" t="s">
        <v>68</v>
      </c>
      <c r="M337" s="14"/>
      <c r="N337" s="14"/>
      <c r="O337" s="15"/>
      <c r="P337" s="19">
        <v>0</v>
      </c>
      <c r="Q337" s="19">
        <v>0</v>
      </c>
      <c r="R337" s="19">
        <v>0</v>
      </c>
      <c r="S337" s="19">
        <v>0</v>
      </c>
      <c r="T337" s="19">
        <v>0</v>
      </c>
      <c r="U337" s="14" t="s">
        <v>69</v>
      </c>
      <c r="V337" s="14" t="s">
        <v>69</v>
      </c>
      <c r="W337" s="14" t="s">
        <v>69</v>
      </c>
      <c r="X337" s="14" t="s">
        <v>69</v>
      </c>
      <c r="Y337" s="14" t="s">
        <v>69</v>
      </c>
      <c r="AM337">
        <f>COUNTIF(P337:T337,"&gt;0")</f>
      </c>
      <c r="AN337">
        <f>COUNTIF(P337,"&gt;0")</f>
      </c>
      <c r="AO337">
        <f>COUNTIF(Q337,"&gt;0")</f>
      </c>
      <c r="AP337">
        <f>COUNTIF(R337,"&gt;0")</f>
      </c>
      <c r="AQ337">
        <f>COUNTIF(S337,"&gt;0")</f>
      </c>
      <c r="AR337">
        <f>COUNTIF(T337,"&gt;0")</f>
      </c>
      <c r="AX337" t="s">
        <v>422</v>
      </c>
      <c r="AY337" t="s">
        <v>437</v>
      </c>
    </row>
    <row r="338" ht="18" customHeight="1" spans="1:51" x14ac:dyDescent="0.25">
      <c r="A338" s="14"/>
      <c r="B338" s="14"/>
      <c r="C338" s="14"/>
      <c r="D338" s="14"/>
      <c r="E338" s="14"/>
      <c r="F338" s="15"/>
      <c r="G338" s="15"/>
      <c r="H338" s="14" t="s">
        <v>71</v>
      </c>
      <c r="I338" s="16"/>
      <c r="J338" s="17"/>
      <c r="K338" s="14"/>
      <c r="L338" s="14"/>
      <c r="M338" s="14"/>
      <c r="N338" s="14"/>
      <c r="O338" s="15"/>
      <c r="P338" s="20">
        <v>0</v>
      </c>
      <c r="Q338" s="20">
        <v>0</v>
      </c>
      <c r="R338" s="20">
        <v>0</v>
      </c>
      <c r="S338" s="20">
        <v>0</v>
      </c>
      <c r="T338" s="20">
        <v>0</v>
      </c>
      <c r="U338" s="21" t="s">
        <v>69</v>
      </c>
      <c r="V338" s="21" t="s">
        <v>69</v>
      </c>
      <c r="W338" s="21" t="s">
        <v>69</v>
      </c>
      <c r="X338" s="21" t="s">
        <v>69</v>
      </c>
      <c r="Y338" s="21" t="s">
        <v>69</v>
      </c>
      <c r="AL338">
        <f>COUNTIF(P338:T338,"&gt;0")</f>
      </c>
      <c r="AS338">
        <f>COUNTIF(P338,"&gt;0")</f>
      </c>
      <c r="AT338">
        <f>COUNTIF(Q338,"&gt;0")</f>
      </c>
      <c r="AU338">
        <f>COUNTIF(R338,"&gt;0")</f>
      </c>
      <c r="AV338">
        <f>COUNTIF(S338,"&gt;0")</f>
      </c>
      <c r="AW338">
        <f>COUNTIF(T338,"&gt;0")</f>
      </c>
      <c r="AX338" t="s">
        <v>422</v>
      </c>
      <c r="AY338" t="s">
        <v>437</v>
      </c>
    </row>
    <row r="339" ht="28" customHeight="1" spans="1:51" x14ac:dyDescent="0.25">
      <c r="A339" s="14"/>
      <c r="B339" s="14"/>
      <c r="C339" s="14"/>
      <c r="D339" s="14"/>
      <c r="E339" s="14"/>
      <c r="F339" s="15" t="s">
        <v>398</v>
      </c>
      <c r="G339" s="15" t="s">
        <v>399</v>
      </c>
      <c r="H339" s="14" t="s">
        <v>66</v>
      </c>
      <c r="I339" s="16">
        <v>5</v>
      </c>
      <c r="J339" s="17">
        <v>12</v>
      </c>
      <c r="K339" s="14" t="s">
        <v>141</v>
      </c>
      <c r="L339" s="14" t="s">
        <v>68</v>
      </c>
      <c r="M339" s="14"/>
      <c r="N339" s="14"/>
      <c r="O339" s="15"/>
      <c r="P339" s="19">
        <v>0</v>
      </c>
      <c r="Q339" s="19">
        <v>0</v>
      </c>
      <c r="R339" s="19">
        <v>0</v>
      </c>
      <c r="S339" s="19">
        <v>0</v>
      </c>
      <c r="T339" s="19">
        <v>0</v>
      </c>
      <c r="U339" s="14" t="s">
        <v>69</v>
      </c>
      <c r="V339" s="14" t="s">
        <v>69</v>
      </c>
      <c r="W339" s="14" t="s">
        <v>69</v>
      </c>
      <c r="X339" s="14" t="s">
        <v>69</v>
      </c>
      <c r="Y339" s="14" t="s">
        <v>69</v>
      </c>
      <c r="AM339">
        <f>COUNTIF(P339:T339,"&gt;0")</f>
      </c>
      <c r="AN339">
        <f>COUNTIF(P339,"&gt;0")</f>
      </c>
      <c r="AO339">
        <f>COUNTIF(Q339,"&gt;0")</f>
      </c>
      <c r="AP339">
        <f>COUNTIF(R339,"&gt;0")</f>
      </c>
      <c r="AQ339">
        <f>COUNTIF(S339,"&gt;0")</f>
      </c>
      <c r="AR339">
        <f>COUNTIF(T339,"&gt;0")</f>
      </c>
      <c r="AX339" t="s">
        <v>422</v>
      </c>
      <c r="AY339" t="s">
        <v>438</v>
      </c>
    </row>
    <row r="340" ht="18" customHeight="1" spans="1:51" x14ac:dyDescent="0.25">
      <c r="A340" s="14"/>
      <c r="B340" s="14"/>
      <c r="C340" s="14"/>
      <c r="D340" s="14"/>
      <c r="E340" s="14"/>
      <c r="F340" s="15"/>
      <c r="G340" s="15"/>
      <c r="H340" s="14" t="s">
        <v>71</v>
      </c>
      <c r="I340" s="16"/>
      <c r="J340" s="17"/>
      <c r="K340" s="14"/>
      <c r="L340" s="14"/>
      <c r="M340" s="14"/>
      <c r="N340" s="14"/>
      <c r="O340" s="15"/>
      <c r="P340" s="20">
        <v>0</v>
      </c>
      <c r="Q340" s="20">
        <v>0</v>
      </c>
      <c r="R340" s="20">
        <v>0</v>
      </c>
      <c r="S340" s="20">
        <v>0</v>
      </c>
      <c r="T340" s="20">
        <v>0</v>
      </c>
      <c r="U340" s="21" t="s">
        <v>69</v>
      </c>
      <c r="V340" s="21" t="s">
        <v>69</v>
      </c>
      <c r="W340" s="21" t="s">
        <v>69</v>
      </c>
      <c r="X340" s="21" t="s">
        <v>69</v>
      </c>
      <c r="Y340" s="21" t="s">
        <v>69</v>
      </c>
      <c r="AL340">
        <f>COUNTIF(P340:T340,"&gt;0")</f>
      </c>
      <c r="AS340">
        <f>COUNTIF(P340,"&gt;0")</f>
      </c>
      <c r="AT340">
        <f>COUNTIF(Q340,"&gt;0")</f>
      </c>
      <c r="AU340">
        <f>COUNTIF(R340,"&gt;0")</f>
      </c>
      <c r="AV340">
        <f>COUNTIF(S340,"&gt;0")</f>
      </c>
      <c r="AW340">
        <f>COUNTIF(T340,"&gt;0")</f>
      </c>
      <c r="AX340" t="s">
        <v>422</v>
      </c>
      <c r="AY340" t="s">
        <v>438</v>
      </c>
    </row>
    <row r="341" ht="28" customHeight="1" spans="1:51" x14ac:dyDescent="0.25">
      <c r="A341" s="14"/>
      <c r="B341" s="14"/>
      <c r="C341" s="14"/>
      <c r="D341" s="14"/>
      <c r="E341" s="14"/>
      <c r="F341" s="15" t="s">
        <v>401</v>
      </c>
      <c r="G341" s="15" t="s">
        <v>402</v>
      </c>
      <c r="H341" s="14" t="s">
        <v>66</v>
      </c>
      <c r="I341" s="16">
        <v>5</v>
      </c>
      <c r="J341" s="17">
        <v>12</v>
      </c>
      <c r="K341" s="14" t="s">
        <v>141</v>
      </c>
      <c r="L341" s="14" t="s">
        <v>68</v>
      </c>
      <c r="M341" s="14"/>
      <c r="N341" s="14"/>
      <c r="O341" s="15"/>
      <c r="P341" s="19">
        <v>0</v>
      </c>
      <c r="Q341" s="19">
        <v>0</v>
      </c>
      <c r="R341" s="19">
        <v>0</v>
      </c>
      <c r="S341" s="19">
        <v>0</v>
      </c>
      <c r="T341" s="19">
        <v>0</v>
      </c>
      <c r="U341" s="14" t="s">
        <v>69</v>
      </c>
      <c r="V341" s="14" t="s">
        <v>69</v>
      </c>
      <c r="W341" s="14" t="s">
        <v>69</v>
      </c>
      <c r="X341" s="14" t="s">
        <v>69</v>
      </c>
      <c r="Y341" s="14" t="s">
        <v>69</v>
      </c>
      <c r="AM341">
        <f>COUNTIF(P341:T341,"&gt;0")</f>
      </c>
      <c r="AN341">
        <f>COUNTIF(P341,"&gt;0")</f>
      </c>
      <c r="AO341">
        <f>COUNTIF(Q341,"&gt;0")</f>
      </c>
      <c r="AP341">
        <f>COUNTIF(R341,"&gt;0")</f>
      </c>
      <c r="AQ341">
        <f>COUNTIF(S341,"&gt;0")</f>
      </c>
      <c r="AR341">
        <f>COUNTIF(T341,"&gt;0")</f>
      </c>
      <c r="AX341" t="s">
        <v>422</v>
      </c>
      <c r="AY341" t="s">
        <v>439</v>
      </c>
    </row>
    <row r="342" ht="18" customHeight="1" spans="1:51" x14ac:dyDescent="0.25">
      <c r="A342" s="14"/>
      <c r="B342" s="14"/>
      <c r="C342" s="14"/>
      <c r="D342" s="14"/>
      <c r="E342" s="14"/>
      <c r="F342" s="15"/>
      <c r="G342" s="15"/>
      <c r="H342" s="14" t="s">
        <v>71</v>
      </c>
      <c r="I342" s="16"/>
      <c r="J342" s="17"/>
      <c r="K342" s="14"/>
      <c r="L342" s="14"/>
      <c r="M342" s="14"/>
      <c r="N342" s="14"/>
      <c r="O342" s="15"/>
      <c r="P342" s="20">
        <v>0</v>
      </c>
      <c r="Q342" s="20">
        <v>0</v>
      </c>
      <c r="R342" s="20">
        <v>0</v>
      </c>
      <c r="S342" s="20">
        <v>0</v>
      </c>
      <c r="T342" s="20">
        <v>0</v>
      </c>
      <c r="U342" s="21" t="s">
        <v>69</v>
      </c>
      <c r="V342" s="21" t="s">
        <v>69</v>
      </c>
      <c r="W342" s="21" t="s">
        <v>69</v>
      </c>
      <c r="X342" s="21" t="s">
        <v>69</v>
      </c>
      <c r="Y342" s="21" t="s">
        <v>69</v>
      </c>
      <c r="AL342">
        <f>COUNTIF(P342:T342,"&gt;0")</f>
      </c>
      <c r="AS342">
        <f>COUNTIF(P342,"&gt;0")</f>
      </c>
      <c r="AT342">
        <f>COUNTIF(Q342,"&gt;0")</f>
      </c>
      <c r="AU342">
        <f>COUNTIF(R342,"&gt;0")</f>
      </c>
      <c r="AV342">
        <f>COUNTIF(S342,"&gt;0")</f>
      </c>
      <c r="AW342">
        <f>COUNTIF(T342,"&gt;0")</f>
      </c>
      <c r="AX342" t="s">
        <v>422</v>
      </c>
      <c r="AY342" t="s">
        <v>439</v>
      </c>
    </row>
    <row r="343" ht="28" customHeight="1" spans="1:51" x14ac:dyDescent="0.25">
      <c r="A343" s="14"/>
      <c r="B343" s="14" t="s">
        <v>440</v>
      </c>
      <c r="C343" s="14" t="s">
        <v>441</v>
      </c>
      <c r="D343" s="14" t="s">
        <v>442</v>
      </c>
      <c r="E343" s="14" t="s">
        <v>118</v>
      </c>
      <c r="F343" s="15" t="s">
        <v>362</v>
      </c>
      <c r="G343" s="15" t="s">
        <v>363</v>
      </c>
      <c r="H343" s="14" t="s">
        <v>66</v>
      </c>
      <c r="I343" s="16">
        <v>2</v>
      </c>
      <c r="J343" s="17">
        <v>1</v>
      </c>
      <c r="K343" s="14" t="s">
        <v>67</v>
      </c>
      <c r="L343" s="14" t="s">
        <v>68</v>
      </c>
      <c r="M343" s="14"/>
      <c r="N343" s="14"/>
      <c r="O343" s="15"/>
      <c r="P343" s="18">
        <v>2</v>
      </c>
      <c r="Q343" s="19">
        <v>0</v>
      </c>
      <c r="R343" s="19">
        <v>0</v>
      </c>
      <c r="S343" s="19">
        <v>0</v>
      </c>
      <c r="T343" s="19">
        <v>0</v>
      </c>
      <c r="U343" s="14" t="s">
        <v>69</v>
      </c>
      <c r="V343" s="14" t="s">
        <v>69</v>
      </c>
      <c r="W343" s="14" t="s">
        <v>69</v>
      </c>
      <c r="X343" s="14" t="s">
        <v>69</v>
      </c>
      <c r="Y343" s="14" t="s">
        <v>69</v>
      </c>
      <c r="AM343">
        <f>COUNTIF(P343:T343,"&gt;0")</f>
      </c>
      <c r="AN343">
        <f>COUNTIF(P343,"&gt;0")</f>
      </c>
      <c r="AO343">
        <f>COUNTIF(Q343,"&gt;0")</f>
      </c>
      <c r="AP343">
        <f>COUNTIF(R343,"&gt;0")</f>
      </c>
      <c r="AQ343">
        <f>COUNTIF(S343,"&gt;0")</f>
      </c>
      <c r="AR343">
        <f>COUNTIF(T343,"&gt;0")</f>
      </c>
      <c r="AX343" t="s">
        <v>440</v>
      </c>
      <c r="AY343" t="s">
        <v>443</v>
      </c>
    </row>
    <row r="344" ht="18" customHeight="1" spans="1:51" x14ac:dyDescent="0.25">
      <c r="A344" s="14"/>
      <c r="B344" s="14"/>
      <c r="C344" s="14"/>
      <c r="D344" s="14"/>
      <c r="E344" s="14"/>
      <c r="F344" s="15"/>
      <c r="G344" s="15"/>
      <c r="H344" s="14" t="s">
        <v>71</v>
      </c>
      <c r="I344" s="16"/>
      <c r="J344" s="17"/>
      <c r="K344" s="14"/>
      <c r="L344" s="14"/>
      <c r="M344" s="14"/>
      <c r="N344" s="14"/>
      <c r="O344" s="15"/>
      <c r="P344" s="20">
        <v>0</v>
      </c>
      <c r="Q344" s="20">
        <v>0</v>
      </c>
      <c r="R344" s="20">
        <v>0</v>
      </c>
      <c r="S344" s="20">
        <v>0</v>
      </c>
      <c r="T344" s="20">
        <v>0</v>
      </c>
      <c r="U344" s="21" t="s">
        <v>69</v>
      </c>
      <c r="V344" s="21" t="s">
        <v>69</v>
      </c>
      <c r="W344" s="21" t="s">
        <v>69</v>
      </c>
      <c r="X344" s="21" t="s">
        <v>69</v>
      </c>
      <c r="Y344" s="21" t="s">
        <v>69</v>
      </c>
      <c r="AL344">
        <f>COUNTIF(P344:T344,"&gt;0")</f>
      </c>
      <c r="AS344">
        <f>COUNTIF(P344,"&gt;0")</f>
      </c>
      <c r="AT344">
        <f>COUNTIF(Q344,"&gt;0")</f>
      </c>
      <c r="AU344">
        <f>COUNTIF(R344,"&gt;0")</f>
      </c>
      <c r="AV344">
        <f>COUNTIF(S344,"&gt;0")</f>
      </c>
      <c r="AW344">
        <f>COUNTIF(T344,"&gt;0")</f>
      </c>
      <c r="AX344" t="s">
        <v>440</v>
      </c>
      <c r="AY344" t="s">
        <v>443</v>
      </c>
    </row>
    <row r="345" ht="28" customHeight="1" spans="1:51" x14ac:dyDescent="0.25">
      <c r="A345" s="14"/>
      <c r="B345" s="14"/>
      <c r="C345" s="14"/>
      <c r="D345" s="14"/>
      <c r="E345" s="14"/>
      <c r="F345" s="15" t="s">
        <v>365</v>
      </c>
      <c r="G345" s="15" t="s">
        <v>366</v>
      </c>
      <c r="H345" s="14" t="s">
        <v>66</v>
      </c>
      <c r="I345" s="16">
        <v>2</v>
      </c>
      <c r="J345" s="17">
        <v>1</v>
      </c>
      <c r="K345" s="14" t="s">
        <v>67</v>
      </c>
      <c r="L345" s="14" t="s">
        <v>68</v>
      </c>
      <c r="M345" s="14"/>
      <c r="N345" s="14"/>
      <c r="O345" s="15"/>
      <c r="P345" s="19">
        <v>0</v>
      </c>
      <c r="Q345" s="18">
        <v>2</v>
      </c>
      <c r="R345" s="19">
        <v>0</v>
      </c>
      <c r="S345" s="19">
        <v>0</v>
      </c>
      <c r="T345" s="19">
        <v>0</v>
      </c>
      <c r="U345" s="14" t="s">
        <v>69</v>
      </c>
      <c r="V345" s="14" t="s">
        <v>69</v>
      </c>
      <c r="W345" s="14" t="s">
        <v>69</v>
      </c>
      <c r="X345" s="14" t="s">
        <v>69</v>
      </c>
      <c r="Y345" s="14" t="s">
        <v>69</v>
      </c>
      <c r="AM345">
        <f>COUNTIF(P345:T345,"&gt;0")</f>
      </c>
      <c r="AN345">
        <f>COUNTIF(P345,"&gt;0")</f>
      </c>
      <c r="AO345">
        <f>COUNTIF(Q345,"&gt;0")</f>
      </c>
      <c r="AP345">
        <f>COUNTIF(R345,"&gt;0")</f>
      </c>
      <c r="AQ345">
        <f>COUNTIF(S345,"&gt;0")</f>
      </c>
      <c r="AR345">
        <f>COUNTIF(T345,"&gt;0")</f>
      </c>
      <c r="AX345" t="s">
        <v>440</v>
      </c>
      <c r="AY345" t="s">
        <v>444</v>
      </c>
    </row>
    <row r="346" ht="18" customHeight="1" spans="1:51" x14ac:dyDescent="0.25">
      <c r="A346" s="14"/>
      <c r="B346" s="14"/>
      <c r="C346" s="14"/>
      <c r="D346" s="14"/>
      <c r="E346" s="14"/>
      <c r="F346" s="15"/>
      <c r="G346" s="15"/>
      <c r="H346" s="14" t="s">
        <v>71</v>
      </c>
      <c r="I346" s="16"/>
      <c r="J346" s="17"/>
      <c r="K346" s="14"/>
      <c r="L346" s="14"/>
      <c r="M346" s="14"/>
      <c r="N346" s="14"/>
      <c r="O346" s="15"/>
      <c r="P346" s="20">
        <v>0</v>
      </c>
      <c r="Q346" s="20">
        <v>0</v>
      </c>
      <c r="R346" s="20">
        <v>0</v>
      </c>
      <c r="S346" s="20">
        <v>0</v>
      </c>
      <c r="T346" s="20">
        <v>0</v>
      </c>
      <c r="U346" s="21" t="s">
        <v>69</v>
      </c>
      <c r="V346" s="21" t="s">
        <v>69</v>
      </c>
      <c r="W346" s="21" t="s">
        <v>69</v>
      </c>
      <c r="X346" s="21" t="s">
        <v>69</v>
      </c>
      <c r="Y346" s="21" t="s">
        <v>69</v>
      </c>
      <c r="AL346">
        <f>COUNTIF(P346:T346,"&gt;0")</f>
      </c>
      <c r="AS346">
        <f>COUNTIF(P346,"&gt;0")</f>
      </c>
      <c r="AT346">
        <f>COUNTIF(Q346,"&gt;0")</f>
      </c>
      <c r="AU346">
        <f>COUNTIF(R346,"&gt;0")</f>
      </c>
      <c r="AV346">
        <f>COUNTIF(S346,"&gt;0")</f>
      </c>
      <c r="AW346">
        <f>COUNTIF(T346,"&gt;0")</f>
      </c>
      <c r="AX346" t="s">
        <v>440</v>
      </c>
      <c r="AY346" t="s">
        <v>444</v>
      </c>
    </row>
    <row r="347" ht="28" customHeight="1" spans="1:51" x14ac:dyDescent="0.25">
      <c r="A347" s="14"/>
      <c r="B347" s="14"/>
      <c r="C347" s="14"/>
      <c r="D347" s="14"/>
      <c r="E347" s="14"/>
      <c r="F347" s="15" t="s">
        <v>365</v>
      </c>
      <c r="G347" s="15" t="s">
        <v>368</v>
      </c>
      <c r="H347" s="14" t="s">
        <v>66</v>
      </c>
      <c r="I347" s="16">
        <v>2</v>
      </c>
      <c r="J347" s="17">
        <v>1</v>
      </c>
      <c r="K347" s="14" t="s">
        <v>67</v>
      </c>
      <c r="L347" s="14" t="s">
        <v>68</v>
      </c>
      <c r="M347" s="14"/>
      <c r="N347" s="14"/>
      <c r="O347" s="15"/>
      <c r="P347" s="19">
        <v>0</v>
      </c>
      <c r="Q347" s="19">
        <v>0</v>
      </c>
      <c r="R347" s="18">
        <v>2</v>
      </c>
      <c r="S347" s="19">
        <v>0</v>
      </c>
      <c r="T347" s="19">
        <v>0</v>
      </c>
      <c r="U347" s="14" t="s">
        <v>69</v>
      </c>
      <c r="V347" s="14" t="s">
        <v>69</v>
      </c>
      <c r="W347" s="14" t="s">
        <v>69</v>
      </c>
      <c r="X347" s="14" t="s">
        <v>69</v>
      </c>
      <c r="Y347" s="14" t="s">
        <v>69</v>
      </c>
      <c r="AM347">
        <f>COUNTIF(P347:T347,"&gt;0")</f>
      </c>
      <c r="AN347">
        <f>COUNTIF(P347,"&gt;0")</f>
      </c>
      <c r="AO347">
        <f>COUNTIF(Q347,"&gt;0")</f>
      </c>
      <c r="AP347">
        <f>COUNTIF(R347,"&gt;0")</f>
      </c>
      <c r="AQ347">
        <f>COUNTIF(S347,"&gt;0")</f>
      </c>
      <c r="AR347">
        <f>COUNTIF(T347,"&gt;0")</f>
      </c>
      <c r="AX347" t="s">
        <v>440</v>
      </c>
      <c r="AY347" t="s">
        <v>445</v>
      </c>
    </row>
    <row r="348" ht="18" customHeight="1" spans="1:51" x14ac:dyDescent="0.25">
      <c r="A348" s="14"/>
      <c r="B348" s="14"/>
      <c r="C348" s="14"/>
      <c r="D348" s="14"/>
      <c r="E348" s="14"/>
      <c r="F348" s="15"/>
      <c r="G348" s="15"/>
      <c r="H348" s="14" t="s">
        <v>71</v>
      </c>
      <c r="I348" s="16"/>
      <c r="J348" s="17"/>
      <c r="K348" s="14"/>
      <c r="L348" s="14"/>
      <c r="M348" s="14"/>
      <c r="N348" s="14"/>
      <c r="O348" s="15"/>
      <c r="P348" s="20">
        <v>0</v>
      </c>
      <c r="Q348" s="20">
        <v>0</v>
      </c>
      <c r="R348" s="20">
        <v>0</v>
      </c>
      <c r="S348" s="20">
        <v>0</v>
      </c>
      <c r="T348" s="20">
        <v>0</v>
      </c>
      <c r="U348" s="21" t="s">
        <v>69</v>
      </c>
      <c r="V348" s="21" t="s">
        <v>69</v>
      </c>
      <c r="W348" s="21" t="s">
        <v>69</v>
      </c>
      <c r="X348" s="21" t="s">
        <v>69</v>
      </c>
      <c r="Y348" s="21" t="s">
        <v>69</v>
      </c>
      <c r="AL348">
        <f>COUNTIF(P348:T348,"&gt;0")</f>
      </c>
      <c r="AS348">
        <f>COUNTIF(P348,"&gt;0")</f>
      </c>
      <c r="AT348">
        <f>COUNTIF(Q348,"&gt;0")</f>
      </c>
      <c r="AU348">
        <f>COUNTIF(R348,"&gt;0")</f>
      </c>
      <c r="AV348">
        <f>COUNTIF(S348,"&gt;0")</f>
      </c>
      <c r="AW348">
        <f>COUNTIF(T348,"&gt;0")</f>
      </c>
      <c r="AX348" t="s">
        <v>440</v>
      </c>
      <c r="AY348" t="s">
        <v>445</v>
      </c>
    </row>
    <row r="349" ht="28" customHeight="1" spans="1:51" x14ac:dyDescent="0.25">
      <c r="A349" s="14"/>
      <c r="B349" s="14"/>
      <c r="C349" s="14"/>
      <c r="D349" s="14"/>
      <c r="E349" s="14"/>
      <c r="F349" s="15" t="s">
        <v>370</v>
      </c>
      <c r="G349" s="15" t="s">
        <v>371</v>
      </c>
      <c r="H349" s="14" t="s">
        <v>66</v>
      </c>
      <c r="I349" s="16">
        <v>2</v>
      </c>
      <c r="J349" s="17">
        <v>1</v>
      </c>
      <c r="K349" s="14" t="s">
        <v>67</v>
      </c>
      <c r="L349" s="14" t="s">
        <v>68</v>
      </c>
      <c r="M349" s="14"/>
      <c r="N349" s="14"/>
      <c r="O349" s="15"/>
      <c r="P349" s="19">
        <v>0</v>
      </c>
      <c r="Q349" s="19">
        <v>0</v>
      </c>
      <c r="R349" s="19">
        <v>0</v>
      </c>
      <c r="S349" s="18">
        <v>2</v>
      </c>
      <c r="T349" s="19">
        <v>0</v>
      </c>
      <c r="U349" s="14" t="s">
        <v>69</v>
      </c>
      <c r="V349" s="14" t="s">
        <v>69</v>
      </c>
      <c r="W349" s="14" t="s">
        <v>69</v>
      </c>
      <c r="X349" s="14" t="s">
        <v>69</v>
      </c>
      <c r="Y349" s="14" t="s">
        <v>69</v>
      </c>
      <c r="AM349">
        <f>COUNTIF(P349:T349,"&gt;0")</f>
      </c>
      <c r="AN349">
        <f>COUNTIF(P349,"&gt;0")</f>
      </c>
      <c r="AO349">
        <f>COUNTIF(Q349,"&gt;0")</f>
      </c>
      <c r="AP349">
        <f>COUNTIF(R349,"&gt;0")</f>
      </c>
      <c r="AQ349">
        <f>COUNTIF(S349,"&gt;0")</f>
      </c>
      <c r="AR349">
        <f>COUNTIF(T349,"&gt;0")</f>
      </c>
      <c r="AX349" t="s">
        <v>440</v>
      </c>
      <c r="AY349" t="s">
        <v>446</v>
      </c>
    </row>
    <row r="350" ht="18" customHeight="1" spans="1:51" x14ac:dyDescent="0.25">
      <c r="A350" s="14"/>
      <c r="B350" s="14"/>
      <c r="C350" s="14"/>
      <c r="D350" s="14"/>
      <c r="E350" s="14"/>
      <c r="F350" s="15"/>
      <c r="G350" s="15"/>
      <c r="H350" s="14" t="s">
        <v>71</v>
      </c>
      <c r="I350" s="16"/>
      <c r="J350" s="17"/>
      <c r="K350" s="14"/>
      <c r="L350" s="14"/>
      <c r="M350" s="14"/>
      <c r="N350" s="14"/>
      <c r="O350" s="15"/>
      <c r="P350" s="20">
        <v>0</v>
      </c>
      <c r="Q350" s="20">
        <v>0</v>
      </c>
      <c r="R350" s="20">
        <v>0</v>
      </c>
      <c r="S350" s="20">
        <v>0</v>
      </c>
      <c r="T350" s="20">
        <v>0</v>
      </c>
      <c r="U350" s="21" t="s">
        <v>69</v>
      </c>
      <c r="V350" s="21" t="s">
        <v>69</v>
      </c>
      <c r="W350" s="21" t="s">
        <v>69</v>
      </c>
      <c r="X350" s="21" t="s">
        <v>69</v>
      </c>
      <c r="Y350" s="21" t="s">
        <v>69</v>
      </c>
      <c r="AL350">
        <f>COUNTIF(P350:T350,"&gt;0")</f>
      </c>
      <c r="AS350">
        <f>COUNTIF(P350,"&gt;0")</f>
      </c>
      <c r="AT350">
        <f>COUNTIF(Q350,"&gt;0")</f>
      </c>
      <c r="AU350">
        <f>COUNTIF(R350,"&gt;0")</f>
      </c>
      <c r="AV350">
        <f>COUNTIF(S350,"&gt;0")</f>
      </c>
      <c r="AW350">
        <f>COUNTIF(T350,"&gt;0")</f>
      </c>
      <c r="AX350" t="s">
        <v>440</v>
      </c>
      <c r="AY350" t="s">
        <v>446</v>
      </c>
    </row>
    <row r="351" ht="28" customHeight="1" spans="1:51" x14ac:dyDescent="0.25">
      <c r="A351" s="14"/>
      <c r="B351" s="14"/>
      <c r="C351" s="14"/>
      <c r="D351" s="14"/>
      <c r="E351" s="14"/>
      <c r="F351" s="15" t="s">
        <v>373</v>
      </c>
      <c r="G351" s="15" t="s">
        <v>374</v>
      </c>
      <c r="H351" s="14" t="s">
        <v>66</v>
      </c>
      <c r="I351" s="16">
        <v>2</v>
      </c>
      <c r="J351" s="17">
        <v>1</v>
      </c>
      <c r="K351" s="14" t="s">
        <v>67</v>
      </c>
      <c r="L351" s="14" t="s">
        <v>68</v>
      </c>
      <c r="M351" s="14"/>
      <c r="N351" s="14"/>
      <c r="O351" s="15"/>
      <c r="P351" s="19">
        <v>0</v>
      </c>
      <c r="Q351" s="19">
        <v>0</v>
      </c>
      <c r="R351" s="19">
        <v>0</v>
      </c>
      <c r="S351" s="19">
        <v>0</v>
      </c>
      <c r="T351" s="18">
        <v>2</v>
      </c>
      <c r="U351" s="14" t="s">
        <v>69</v>
      </c>
      <c r="V351" s="14" t="s">
        <v>69</v>
      </c>
      <c r="W351" s="14" t="s">
        <v>69</v>
      </c>
      <c r="X351" s="14" t="s">
        <v>69</v>
      </c>
      <c r="Y351" s="14" t="s">
        <v>69</v>
      </c>
      <c r="AM351">
        <f>COUNTIF(P351:T351,"&gt;0")</f>
      </c>
      <c r="AN351">
        <f>COUNTIF(P351,"&gt;0")</f>
      </c>
      <c r="AO351">
        <f>COUNTIF(Q351,"&gt;0")</f>
      </c>
      <c r="AP351">
        <f>COUNTIF(R351,"&gt;0")</f>
      </c>
      <c r="AQ351">
        <f>COUNTIF(S351,"&gt;0")</f>
      </c>
      <c r="AR351">
        <f>COUNTIF(T351,"&gt;0")</f>
      </c>
      <c r="AX351" t="s">
        <v>440</v>
      </c>
      <c r="AY351" t="s">
        <v>447</v>
      </c>
    </row>
    <row r="352" ht="18" customHeight="1" spans="1:51" x14ac:dyDescent="0.25">
      <c r="A352" s="14"/>
      <c r="B352" s="14"/>
      <c r="C352" s="14"/>
      <c r="D352" s="14"/>
      <c r="E352" s="14"/>
      <c r="F352" s="15"/>
      <c r="G352" s="15"/>
      <c r="H352" s="14" t="s">
        <v>71</v>
      </c>
      <c r="I352" s="16"/>
      <c r="J352" s="17"/>
      <c r="K352" s="14"/>
      <c r="L352" s="14"/>
      <c r="M352" s="14"/>
      <c r="N352" s="14"/>
      <c r="O352" s="15"/>
      <c r="P352" s="20">
        <v>0</v>
      </c>
      <c r="Q352" s="20">
        <v>0</v>
      </c>
      <c r="R352" s="20">
        <v>0</v>
      </c>
      <c r="S352" s="20">
        <v>0</v>
      </c>
      <c r="T352" s="20">
        <v>0</v>
      </c>
      <c r="U352" s="21" t="s">
        <v>69</v>
      </c>
      <c r="V352" s="21" t="s">
        <v>69</v>
      </c>
      <c r="W352" s="21" t="s">
        <v>69</v>
      </c>
      <c r="X352" s="21" t="s">
        <v>69</v>
      </c>
      <c r="Y352" s="21" t="s">
        <v>69</v>
      </c>
      <c r="AL352">
        <f>COUNTIF(P352:T352,"&gt;0")</f>
      </c>
      <c r="AS352">
        <f>COUNTIF(P352,"&gt;0")</f>
      </c>
      <c r="AT352">
        <f>COUNTIF(Q352,"&gt;0")</f>
      </c>
      <c r="AU352">
        <f>COUNTIF(R352,"&gt;0")</f>
      </c>
      <c r="AV352">
        <f>COUNTIF(S352,"&gt;0")</f>
      </c>
      <c r="AW352">
        <f>COUNTIF(T352,"&gt;0")</f>
      </c>
      <c r="AX352" t="s">
        <v>440</v>
      </c>
      <c r="AY352" t="s">
        <v>447</v>
      </c>
    </row>
    <row r="353" ht="28" customHeight="1" spans="1:51" x14ac:dyDescent="0.25">
      <c r="A353" s="14"/>
      <c r="B353" s="14"/>
      <c r="C353" s="14"/>
      <c r="D353" s="14"/>
      <c r="E353" s="14"/>
      <c r="F353" s="15" t="s">
        <v>376</v>
      </c>
      <c r="G353" s="15" t="s">
        <v>377</v>
      </c>
      <c r="H353" s="14" t="s">
        <v>66</v>
      </c>
      <c r="I353" s="16">
        <v>2</v>
      </c>
      <c r="J353" s="17">
        <v>1</v>
      </c>
      <c r="K353" s="14" t="s">
        <v>67</v>
      </c>
      <c r="L353" s="14" t="s">
        <v>68</v>
      </c>
      <c r="M353" s="14"/>
      <c r="N353" s="14"/>
      <c r="O353" s="15"/>
      <c r="P353" s="18">
        <v>2</v>
      </c>
      <c r="Q353" s="19">
        <v>0</v>
      </c>
      <c r="R353" s="19">
        <v>0</v>
      </c>
      <c r="S353" s="19">
        <v>0</v>
      </c>
      <c r="T353" s="19">
        <v>0</v>
      </c>
      <c r="U353" s="14" t="s">
        <v>69</v>
      </c>
      <c r="V353" s="14" t="s">
        <v>69</v>
      </c>
      <c r="W353" s="14" t="s">
        <v>69</v>
      </c>
      <c r="X353" s="14" t="s">
        <v>69</v>
      </c>
      <c r="Y353" s="14" t="s">
        <v>69</v>
      </c>
      <c r="AM353">
        <f>COUNTIF(P353:T353,"&gt;0")</f>
      </c>
      <c r="AN353">
        <f>COUNTIF(P353,"&gt;0")</f>
      </c>
      <c r="AO353">
        <f>COUNTIF(Q353,"&gt;0")</f>
      </c>
      <c r="AP353">
        <f>COUNTIF(R353,"&gt;0")</f>
      </c>
      <c r="AQ353">
        <f>COUNTIF(S353,"&gt;0")</f>
      </c>
      <c r="AR353">
        <f>COUNTIF(T353,"&gt;0")</f>
      </c>
      <c r="AX353" t="s">
        <v>440</v>
      </c>
      <c r="AY353" t="s">
        <v>448</v>
      </c>
    </row>
    <row r="354" ht="18" customHeight="1" spans="1:51" x14ac:dyDescent="0.25">
      <c r="A354" s="14"/>
      <c r="B354" s="14"/>
      <c r="C354" s="14"/>
      <c r="D354" s="14"/>
      <c r="E354" s="14"/>
      <c r="F354" s="15"/>
      <c r="G354" s="15"/>
      <c r="H354" s="14" t="s">
        <v>71</v>
      </c>
      <c r="I354" s="16"/>
      <c r="J354" s="17"/>
      <c r="K354" s="14"/>
      <c r="L354" s="14"/>
      <c r="M354" s="14"/>
      <c r="N354" s="14"/>
      <c r="O354" s="15"/>
      <c r="P354" s="20">
        <v>0</v>
      </c>
      <c r="Q354" s="20">
        <v>0</v>
      </c>
      <c r="R354" s="20">
        <v>0</v>
      </c>
      <c r="S354" s="20">
        <v>0</v>
      </c>
      <c r="T354" s="20">
        <v>0</v>
      </c>
      <c r="U354" s="21" t="s">
        <v>69</v>
      </c>
      <c r="V354" s="21" t="s">
        <v>69</v>
      </c>
      <c r="W354" s="21" t="s">
        <v>69</v>
      </c>
      <c r="X354" s="21" t="s">
        <v>69</v>
      </c>
      <c r="Y354" s="21" t="s">
        <v>69</v>
      </c>
      <c r="AL354">
        <f>COUNTIF(P354:T354,"&gt;0")</f>
      </c>
      <c r="AS354">
        <f>COUNTIF(P354,"&gt;0")</f>
      </c>
      <c r="AT354">
        <f>COUNTIF(Q354,"&gt;0")</f>
      </c>
      <c r="AU354">
        <f>COUNTIF(R354,"&gt;0")</f>
      </c>
      <c r="AV354">
        <f>COUNTIF(S354,"&gt;0")</f>
      </c>
      <c r="AW354">
        <f>COUNTIF(T354,"&gt;0")</f>
      </c>
      <c r="AX354" t="s">
        <v>440</v>
      </c>
      <c r="AY354" t="s">
        <v>448</v>
      </c>
    </row>
    <row r="355" ht="28" customHeight="1" spans="1:51" x14ac:dyDescent="0.25">
      <c r="A355" s="14"/>
      <c r="B355" s="14"/>
      <c r="C355" s="14"/>
      <c r="D355" s="14"/>
      <c r="E355" s="14"/>
      <c r="F355" s="15" t="s">
        <v>379</v>
      </c>
      <c r="G355" s="15" t="s">
        <v>380</v>
      </c>
      <c r="H355" s="14" t="s">
        <v>66</v>
      </c>
      <c r="I355" s="16">
        <v>2</v>
      </c>
      <c r="J355" s="17">
        <v>1</v>
      </c>
      <c r="K355" s="14" t="s">
        <v>67</v>
      </c>
      <c r="L355" s="14" t="s">
        <v>68</v>
      </c>
      <c r="M355" s="14"/>
      <c r="N355" s="14"/>
      <c r="O355" s="15"/>
      <c r="P355" s="19">
        <v>0</v>
      </c>
      <c r="Q355" s="18">
        <v>2</v>
      </c>
      <c r="R355" s="19">
        <v>0</v>
      </c>
      <c r="S355" s="19">
        <v>0</v>
      </c>
      <c r="T355" s="19">
        <v>0</v>
      </c>
      <c r="U355" s="14" t="s">
        <v>69</v>
      </c>
      <c r="V355" s="14" t="s">
        <v>69</v>
      </c>
      <c r="W355" s="14" t="s">
        <v>69</v>
      </c>
      <c r="X355" s="14" t="s">
        <v>69</v>
      </c>
      <c r="Y355" s="14" t="s">
        <v>69</v>
      </c>
      <c r="AM355">
        <f>COUNTIF(P355:T355,"&gt;0")</f>
      </c>
      <c r="AN355">
        <f>COUNTIF(P355,"&gt;0")</f>
      </c>
      <c r="AO355">
        <f>COUNTIF(Q355,"&gt;0")</f>
      </c>
      <c r="AP355">
        <f>COUNTIF(R355,"&gt;0")</f>
      </c>
      <c r="AQ355">
        <f>COUNTIF(S355,"&gt;0")</f>
      </c>
      <c r="AR355">
        <f>COUNTIF(T355,"&gt;0")</f>
      </c>
      <c r="AX355" t="s">
        <v>440</v>
      </c>
      <c r="AY355" t="s">
        <v>449</v>
      </c>
    </row>
    <row r="356" ht="18" customHeight="1" spans="1:51" x14ac:dyDescent="0.25">
      <c r="A356" s="14"/>
      <c r="B356" s="14"/>
      <c r="C356" s="14"/>
      <c r="D356" s="14"/>
      <c r="E356" s="14"/>
      <c r="F356" s="15"/>
      <c r="G356" s="15"/>
      <c r="H356" s="14" t="s">
        <v>71</v>
      </c>
      <c r="I356" s="16"/>
      <c r="J356" s="17"/>
      <c r="K356" s="14"/>
      <c r="L356" s="14"/>
      <c r="M356" s="14"/>
      <c r="N356" s="14"/>
      <c r="O356" s="15"/>
      <c r="P356" s="20">
        <v>0</v>
      </c>
      <c r="Q356" s="20">
        <v>0</v>
      </c>
      <c r="R356" s="20">
        <v>0</v>
      </c>
      <c r="S356" s="20">
        <v>0</v>
      </c>
      <c r="T356" s="20">
        <v>0</v>
      </c>
      <c r="U356" s="21" t="s">
        <v>69</v>
      </c>
      <c r="V356" s="21" t="s">
        <v>69</v>
      </c>
      <c r="W356" s="21" t="s">
        <v>69</v>
      </c>
      <c r="X356" s="21" t="s">
        <v>69</v>
      </c>
      <c r="Y356" s="21" t="s">
        <v>69</v>
      </c>
      <c r="AL356">
        <f>COUNTIF(P356:T356,"&gt;0")</f>
      </c>
      <c r="AS356">
        <f>COUNTIF(P356,"&gt;0")</f>
      </c>
      <c r="AT356">
        <f>COUNTIF(Q356,"&gt;0")</f>
      </c>
      <c r="AU356">
        <f>COUNTIF(R356,"&gt;0")</f>
      </c>
      <c r="AV356">
        <f>COUNTIF(S356,"&gt;0")</f>
      </c>
      <c r="AW356">
        <f>COUNTIF(T356,"&gt;0")</f>
      </c>
      <c r="AX356" t="s">
        <v>440</v>
      </c>
      <c r="AY356" t="s">
        <v>449</v>
      </c>
    </row>
    <row r="357" ht="28" customHeight="1" spans="1:51" x14ac:dyDescent="0.25">
      <c r="A357" s="14"/>
      <c r="B357" s="14"/>
      <c r="C357" s="14"/>
      <c r="D357" s="14"/>
      <c r="E357" s="14"/>
      <c r="F357" s="15" t="s">
        <v>382</v>
      </c>
      <c r="G357" s="15" t="s">
        <v>383</v>
      </c>
      <c r="H357" s="14" t="s">
        <v>66</v>
      </c>
      <c r="I357" s="16">
        <v>3</v>
      </c>
      <c r="J357" s="17">
        <v>3</v>
      </c>
      <c r="K357" s="14" t="s">
        <v>157</v>
      </c>
      <c r="L357" s="14" t="s">
        <v>68</v>
      </c>
      <c r="M357" s="14"/>
      <c r="N357" s="14"/>
      <c r="O357" s="15"/>
      <c r="P357" s="19">
        <v>0</v>
      </c>
      <c r="Q357" s="19">
        <v>0</v>
      </c>
      <c r="R357" s="19">
        <v>0</v>
      </c>
      <c r="S357" s="19">
        <v>0</v>
      </c>
      <c r="T357" s="24">
        <v>3</v>
      </c>
      <c r="U357" s="14" t="s">
        <v>69</v>
      </c>
      <c r="V357" s="14" t="s">
        <v>69</v>
      </c>
      <c r="W357" s="14" t="s">
        <v>69</v>
      </c>
      <c r="X357" s="14" t="s">
        <v>69</v>
      </c>
      <c r="Y357" s="14" t="s">
        <v>69</v>
      </c>
      <c r="AM357">
        <f>COUNTIF(P357:T357,"&gt;0")</f>
      </c>
      <c r="AN357">
        <f>COUNTIF(P357,"&gt;0")</f>
      </c>
      <c r="AO357">
        <f>COUNTIF(Q357,"&gt;0")</f>
      </c>
      <c r="AP357">
        <f>COUNTIF(R357,"&gt;0")</f>
      </c>
      <c r="AQ357">
        <f>COUNTIF(S357,"&gt;0")</f>
      </c>
      <c r="AR357">
        <f>COUNTIF(T357,"&gt;0")</f>
      </c>
      <c r="AX357" t="s">
        <v>440</v>
      </c>
      <c r="AY357" t="s">
        <v>450</v>
      </c>
    </row>
    <row r="358" ht="18" customHeight="1" spans="1:51" x14ac:dyDescent="0.25">
      <c r="A358" s="14"/>
      <c r="B358" s="14"/>
      <c r="C358" s="14"/>
      <c r="D358" s="14"/>
      <c r="E358" s="14"/>
      <c r="F358" s="15"/>
      <c r="G358" s="15"/>
      <c r="H358" s="14" t="s">
        <v>71</v>
      </c>
      <c r="I358" s="16"/>
      <c r="J358" s="17"/>
      <c r="K358" s="14"/>
      <c r="L358" s="14"/>
      <c r="M358" s="14"/>
      <c r="N358" s="14"/>
      <c r="O358" s="15"/>
      <c r="P358" s="20">
        <v>0</v>
      </c>
      <c r="Q358" s="20">
        <v>0</v>
      </c>
      <c r="R358" s="20">
        <v>0</v>
      </c>
      <c r="S358" s="20">
        <v>0</v>
      </c>
      <c r="T358" s="20">
        <v>0</v>
      </c>
      <c r="U358" s="21" t="s">
        <v>69</v>
      </c>
      <c r="V358" s="21" t="s">
        <v>69</v>
      </c>
      <c r="W358" s="21" t="s">
        <v>69</v>
      </c>
      <c r="X358" s="21" t="s">
        <v>69</v>
      </c>
      <c r="Y358" s="21" t="s">
        <v>69</v>
      </c>
      <c r="AL358">
        <f>COUNTIF(P358:T358,"&gt;0")</f>
      </c>
      <c r="AS358">
        <f>COUNTIF(P358,"&gt;0")</f>
      </c>
      <c r="AT358">
        <f>COUNTIF(Q358,"&gt;0")</f>
      </c>
      <c r="AU358">
        <f>COUNTIF(R358,"&gt;0")</f>
      </c>
      <c r="AV358">
        <f>COUNTIF(S358,"&gt;0")</f>
      </c>
      <c r="AW358">
        <f>COUNTIF(T358,"&gt;0")</f>
      </c>
      <c r="AX358" t="s">
        <v>440</v>
      </c>
      <c r="AY358" t="s">
        <v>450</v>
      </c>
    </row>
    <row r="359" ht="28" customHeight="1" spans="1:51" x14ac:dyDescent="0.25">
      <c r="A359" s="14"/>
      <c r="B359" s="14"/>
      <c r="C359" s="14"/>
      <c r="D359" s="14"/>
      <c r="E359" s="14"/>
      <c r="F359" s="15" t="s">
        <v>385</v>
      </c>
      <c r="G359" s="15" t="s">
        <v>386</v>
      </c>
      <c r="H359" s="14" t="s">
        <v>66</v>
      </c>
      <c r="I359" s="16">
        <v>3</v>
      </c>
      <c r="J359" s="17">
        <v>3</v>
      </c>
      <c r="K359" s="14" t="s">
        <v>157</v>
      </c>
      <c r="L359" s="14" t="s">
        <v>68</v>
      </c>
      <c r="M359" s="14"/>
      <c r="N359" s="14"/>
      <c r="O359" s="15"/>
      <c r="P359" s="19">
        <v>0</v>
      </c>
      <c r="Q359" s="19">
        <v>0</v>
      </c>
      <c r="R359" s="19">
        <v>0</v>
      </c>
      <c r="S359" s="19">
        <v>0</v>
      </c>
      <c r="T359" s="19">
        <v>0</v>
      </c>
      <c r="U359" s="14" t="s">
        <v>69</v>
      </c>
      <c r="V359" s="14" t="s">
        <v>69</v>
      </c>
      <c r="W359" s="14" t="s">
        <v>69</v>
      </c>
      <c r="X359" s="14" t="s">
        <v>69</v>
      </c>
      <c r="Y359" s="14" t="s">
        <v>69</v>
      </c>
      <c r="AM359">
        <f>COUNTIF(P359:T359,"&gt;0")</f>
      </c>
      <c r="AN359">
        <f>COUNTIF(P359,"&gt;0")</f>
      </c>
      <c r="AO359">
        <f>COUNTIF(Q359,"&gt;0")</f>
      </c>
      <c r="AP359">
        <f>COUNTIF(R359,"&gt;0")</f>
      </c>
      <c r="AQ359">
        <f>COUNTIF(S359,"&gt;0")</f>
      </c>
      <c r="AR359">
        <f>COUNTIF(T359,"&gt;0")</f>
      </c>
      <c r="AX359" t="s">
        <v>440</v>
      </c>
      <c r="AY359" t="s">
        <v>451</v>
      </c>
    </row>
    <row r="360" ht="18" customHeight="1" spans="1:51" x14ac:dyDescent="0.25">
      <c r="A360" s="14"/>
      <c r="B360" s="14"/>
      <c r="C360" s="14"/>
      <c r="D360" s="14"/>
      <c r="E360" s="14"/>
      <c r="F360" s="15"/>
      <c r="G360" s="15"/>
      <c r="H360" s="14" t="s">
        <v>71</v>
      </c>
      <c r="I360" s="16"/>
      <c r="J360" s="17"/>
      <c r="K360" s="14"/>
      <c r="L360" s="14"/>
      <c r="M360" s="14"/>
      <c r="N360" s="14"/>
      <c r="O360" s="15"/>
      <c r="P360" s="20">
        <v>0</v>
      </c>
      <c r="Q360" s="20">
        <v>0</v>
      </c>
      <c r="R360" s="20">
        <v>0</v>
      </c>
      <c r="S360" s="20">
        <v>0</v>
      </c>
      <c r="T360" s="20">
        <v>0</v>
      </c>
      <c r="U360" s="21" t="s">
        <v>69</v>
      </c>
      <c r="V360" s="21" t="s">
        <v>69</v>
      </c>
      <c r="W360" s="21" t="s">
        <v>69</v>
      </c>
      <c r="X360" s="21" t="s">
        <v>69</v>
      </c>
      <c r="Y360" s="21" t="s">
        <v>69</v>
      </c>
      <c r="AL360">
        <f>COUNTIF(P360:T360,"&gt;0")</f>
      </c>
      <c r="AS360">
        <f>COUNTIF(P360,"&gt;0")</f>
      </c>
      <c r="AT360">
        <f>COUNTIF(Q360,"&gt;0")</f>
      </c>
      <c r="AU360">
        <f>COUNTIF(R360,"&gt;0")</f>
      </c>
      <c r="AV360">
        <f>COUNTIF(S360,"&gt;0")</f>
      </c>
      <c r="AW360">
        <f>COUNTIF(T360,"&gt;0")</f>
      </c>
      <c r="AX360" t="s">
        <v>440</v>
      </c>
      <c r="AY360" t="s">
        <v>451</v>
      </c>
    </row>
    <row r="361" ht="28" customHeight="1" spans="1:51" x14ac:dyDescent="0.25">
      <c r="A361" s="14"/>
      <c r="B361" s="14"/>
      <c r="C361" s="14"/>
      <c r="D361" s="14"/>
      <c r="E361" s="14"/>
      <c r="F361" s="15" t="s">
        <v>385</v>
      </c>
      <c r="G361" s="15" t="s">
        <v>388</v>
      </c>
      <c r="H361" s="14" t="s">
        <v>66</v>
      </c>
      <c r="I361" s="16">
        <v>3</v>
      </c>
      <c r="J361" s="17">
        <v>3</v>
      </c>
      <c r="K361" s="14" t="s">
        <v>157</v>
      </c>
      <c r="L361" s="14" t="s">
        <v>68</v>
      </c>
      <c r="M361" s="14"/>
      <c r="N361" s="14"/>
      <c r="O361" s="15"/>
      <c r="P361" s="19">
        <v>0</v>
      </c>
      <c r="Q361" s="19">
        <v>0</v>
      </c>
      <c r="R361" s="19">
        <v>0</v>
      </c>
      <c r="S361" s="19">
        <v>0</v>
      </c>
      <c r="T361" s="19">
        <v>0</v>
      </c>
      <c r="U361" s="14" t="s">
        <v>69</v>
      </c>
      <c r="V361" s="14" t="s">
        <v>69</v>
      </c>
      <c r="W361" s="14" t="s">
        <v>69</v>
      </c>
      <c r="X361" s="14" t="s">
        <v>69</v>
      </c>
      <c r="Y361" s="14" t="s">
        <v>69</v>
      </c>
      <c r="AM361">
        <f>COUNTIF(P361:T361,"&gt;0")</f>
      </c>
      <c r="AN361">
        <f>COUNTIF(P361,"&gt;0")</f>
      </c>
      <c r="AO361">
        <f>COUNTIF(Q361,"&gt;0")</f>
      </c>
      <c r="AP361">
        <f>COUNTIF(R361,"&gt;0")</f>
      </c>
      <c r="AQ361">
        <f>COUNTIF(S361,"&gt;0")</f>
      </c>
      <c r="AR361">
        <f>COUNTIF(T361,"&gt;0")</f>
      </c>
      <c r="AX361" t="s">
        <v>440</v>
      </c>
      <c r="AY361" t="s">
        <v>452</v>
      </c>
    </row>
    <row r="362" ht="18" customHeight="1" spans="1:51" x14ac:dyDescent="0.25">
      <c r="A362" s="14"/>
      <c r="B362" s="14"/>
      <c r="C362" s="14"/>
      <c r="D362" s="14"/>
      <c r="E362" s="14"/>
      <c r="F362" s="15"/>
      <c r="G362" s="15"/>
      <c r="H362" s="14" t="s">
        <v>71</v>
      </c>
      <c r="I362" s="16"/>
      <c r="J362" s="17"/>
      <c r="K362" s="14"/>
      <c r="L362" s="14"/>
      <c r="M362" s="14"/>
      <c r="N362" s="14"/>
      <c r="O362" s="15"/>
      <c r="P362" s="20">
        <v>0</v>
      </c>
      <c r="Q362" s="20">
        <v>0</v>
      </c>
      <c r="R362" s="20">
        <v>0</v>
      </c>
      <c r="S362" s="20">
        <v>0</v>
      </c>
      <c r="T362" s="20">
        <v>0</v>
      </c>
      <c r="U362" s="21" t="s">
        <v>69</v>
      </c>
      <c r="V362" s="21" t="s">
        <v>69</v>
      </c>
      <c r="W362" s="21" t="s">
        <v>69</v>
      </c>
      <c r="X362" s="21" t="s">
        <v>69</v>
      </c>
      <c r="Y362" s="21" t="s">
        <v>69</v>
      </c>
      <c r="AL362">
        <f>COUNTIF(P362:T362,"&gt;0")</f>
      </c>
      <c r="AS362">
        <f>COUNTIF(P362,"&gt;0")</f>
      </c>
      <c r="AT362">
        <f>COUNTIF(Q362,"&gt;0")</f>
      </c>
      <c r="AU362">
        <f>COUNTIF(R362,"&gt;0")</f>
      </c>
      <c r="AV362">
        <f>COUNTIF(S362,"&gt;0")</f>
      </c>
      <c r="AW362">
        <f>COUNTIF(T362,"&gt;0")</f>
      </c>
      <c r="AX362" t="s">
        <v>440</v>
      </c>
      <c r="AY362" t="s">
        <v>452</v>
      </c>
    </row>
    <row r="363" ht="28" customHeight="1" spans="1:51" x14ac:dyDescent="0.25">
      <c r="A363" s="14"/>
      <c r="B363" s="14"/>
      <c r="C363" s="14"/>
      <c r="D363" s="14"/>
      <c r="E363" s="14"/>
      <c r="F363" s="15" t="s">
        <v>328</v>
      </c>
      <c r="G363" s="15" t="s">
        <v>390</v>
      </c>
      <c r="H363" s="14" t="s">
        <v>66</v>
      </c>
      <c r="I363" s="16">
        <v>3</v>
      </c>
      <c r="J363" s="17">
        <v>3</v>
      </c>
      <c r="K363" s="14" t="s">
        <v>157</v>
      </c>
      <c r="L363" s="14" t="s">
        <v>68</v>
      </c>
      <c r="M363" s="14"/>
      <c r="N363" s="14"/>
      <c r="O363" s="15"/>
      <c r="P363" s="24">
        <v>3</v>
      </c>
      <c r="Q363" s="19">
        <v>0</v>
      </c>
      <c r="R363" s="19">
        <v>0</v>
      </c>
      <c r="S363" s="19">
        <v>0</v>
      </c>
      <c r="T363" s="19">
        <v>0</v>
      </c>
      <c r="U363" s="14" t="s">
        <v>69</v>
      </c>
      <c r="V363" s="14" t="s">
        <v>69</v>
      </c>
      <c r="W363" s="14" t="s">
        <v>69</v>
      </c>
      <c r="X363" s="14" t="s">
        <v>69</v>
      </c>
      <c r="Y363" s="14" t="s">
        <v>69</v>
      </c>
      <c r="AM363">
        <f>COUNTIF(P363:T363,"&gt;0")</f>
      </c>
      <c r="AN363">
        <f>COUNTIF(P363,"&gt;0")</f>
      </c>
      <c r="AO363">
        <f>COUNTIF(Q363,"&gt;0")</f>
      </c>
      <c r="AP363">
        <f>COUNTIF(R363,"&gt;0")</f>
      </c>
      <c r="AQ363">
        <f>COUNTIF(S363,"&gt;0")</f>
      </c>
      <c r="AR363">
        <f>COUNTIF(T363,"&gt;0")</f>
      </c>
      <c r="AX363" t="s">
        <v>440</v>
      </c>
      <c r="AY363" t="s">
        <v>453</v>
      </c>
    </row>
    <row r="364" ht="18" customHeight="1" spans="1:51" x14ac:dyDescent="0.25">
      <c r="A364" s="14"/>
      <c r="B364" s="14"/>
      <c r="C364" s="14"/>
      <c r="D364" s="14"/>
      <c r="E364" s="14"/>
      <c r="F364" s="15"/>
      <c r="G364" s="15"/>
      <c r="H364" s="14" t="s">
        <v>71</v>
      </c>
      <c r="I364" s="16"/>
      <c r="J364" s="17"/>
      <c r="K364" s="14"/>
      <c r="L364" s="14"/>
      <c r="M364" s="14"/>
      <c r="N364" s="14"/>
      <c r="O364" s="15"/>
      <c r="P364" s="20">
        <v>0</v>
      </c>
      <c r="Q364" s="20">
        <v>0</v>
      </c>
      <c r="R364" s="20">
        <v>0</v>
      </c>
      <c r="S364" s="20">
        <v>0</v>
      </c>
      <c r="T364" s="20">
        <v>0</v>
      </c>
      <c r="U364" s="21" t="s">
        <v>69</v>
      </c>
      <c r="V364" s="21" t="s">
        <v>69</v>
      </c>
      <c r="W364" s="21" t="s">
        <v>69</v>
      </c>
      <c r="X364" s="21" t="s">
        <v>69</v>
      </c>
      <c r="Y364" s="21" t="s">
        <v>69</v>
      </c>
      <c r="AL364">
        <f>COUNTIF(P364:T364,"&gt;0")</f>
      </c>
      <c r="AS364">
        <f>COUNTIF(P364,"&gt;0")</f>
      </c>
      <c r="AT364">
        <f>COUNTIF(Q364,"&gt;0")</f>
      </c>
      <c r="AU364">
        <f>COUNTIF(R364,"&gt;0")</f>
      </c>
      <c r="AV364">
        <f>COUNTIF(S364,"&gt;0")</f>
      </c>
      <c r="AW364">
        <f>COUNTIF(T364,"&gt;0")</f>
      </c>
      <c r="AX364" t="s">
        <v>440</v>
      </c>
      <c r="AY364" t="s">
        <v>453</v>
      </c>
    </row>
    <row r="365" ht="28" customHeight="1" spans="1:51" x14ac:dyDescent="0.25">
      <c r="A365" s="14"/>
      <c r="B365" s="14"/>
      <c r="C365" s="14"/>
      <c r="D365" s="14"/>
      <c r="E365" s="14"/>
      <c r="F365" s="15" t="s">
        <v>392</v>
      </c>
      <c r="G365" s="15" t="s">
        <v>393</v>
      </c>
      <c r="H365" s="14" t="s">
        <v>66</v>
      </c>
      <c r="I365" s="16">
        <v>3</v>
      </c>
      <c r="J365" s="17">
        <v>3</v>
      </c>
      <c r="K365" s="14" t="s">
        <v>157</v>
      </c>
      <c r="L365" s="14" t="s">
        <v>68</v>
      </c>
      <c r="M365" s="14"/>
      <c r="N365" s="14"/>
      <c r="O365" s="15"/>
      <c r="P365" s="19">
        <v>0</v>
      </c>
      <c r="Q365" s="19">
        <v>0</v>
      </c>
      <c r="R365" s="19">
        <v>0</v>
      </c>
      <c r="S365" s="19">
        <v>0</v>
      </c>
      <c r="T365" s="19">
        <v>0</v>
      </c>
      <c r="U365" s="14" t="s">
        <v>69</v>
      </c>
      <c r="V365" s="14" t="s">
        <v>69</v>
      </c>
      <c r="W365" s="14" t="s">
        <v>69</v>
      </c>
      <c r="X365" s="14" t="s">
        <v>69</v>
      </c>
      <c r="Y365" s="14" t="s">
        <v>69</v>
      </c>
      <c r="AM365">
        <f>COUNTIF(P365:T365,"&gt;0")</f>
      </c>
      <c r="AN365">
        <f>COUNTIF(P365,"&gt;0")</f>
      </c>
      <c r="AO365">
        <f>COUNTIF(Q365,"&gt;0")</f>
      </c>
      <c r="AP365">
        <f>COUNTIF(R365,"&gt;0")</f>
      </c>
      <c r="AQ365">
        <f>COUNTIF(S365,"&gt;0")</f>
      </c>
      <c r="AR365">
        <f>COUNTIF(T365,"&gt;0")</f>
      </c>
      <c r="AX365" t="s">
        <v>440</v>
      </c>
      <c r="AY365" t="s">
        <v>454</v>
      </c>
    </row>
    <row r="366" ht="18" customHeight="1" spans="1:51" x14ac:dyDescent="0.25">
      <c r="A366" s="14"/>
      <c r="B366" s="14"/>
      <c r="C366" s="14"/>
      <c r="D366" s="14"/>
      <c r="E366" s="14"/>
      <c r="F366" s="15"/>
      <c r="G366" s="15"/>
      <c r="H366" s="14" t="s">
        <v>71</v>
      </c>
      <c r="I366" s="16"/>
      <c r="J366" s="17"/>
      <c r="K366" s="14"/>
      <c r="L366" s="14"/>
      <c r="M366" s="14"/>
      <c r="N366" s="14"/>
      <c r="O366" s="15"/>
      <c r="P366" s="20">
        <v>0</v>
      </c>
      <c r="Q366" s="20">
        <v>0</v>
      </c>
      <c r="R366" s="20">
        <v>0</v>
      </c>
      <c r="S366" s="20">
        <v>0</v>
      </c>
      <c r="T366" s="20">
        <v>0</v>
      </c>
      <c r="U366" s="21" t="s">
        <v>69</v>
      </c>
      <c r="V366" s="21" t="s">
        <v>69</v>
      </c>
      <c r="W366" s="21" t="s">
        <v>69</v>
      </c>
      <c r="X366" s="21" t="s">
        <v>69</v>
      </c>
      <c r="Y366" s="21" t="s">
        <v>69</v>
      </c>
      <c r="AL366">
        <f>COUNTIF(P366:T366,"&gt;0")</f>
      </c>
      <c r="AS366">
        <f>COUNTIF(P366,"&gt;0")</f>
      </c>
      <c r="AT366">
        <f>COUNTIF(Q366,"&gt;0")</f>
      </c>
      <c r="AU366">
        <f>COUNTIF(R366,"&gt;0")</f>
      </c>
      <c r="AV366">
        <f>COUNTIF(S366,"&gt;0")</f>
      </c>
      <c r="AW366">
        <f>COUNTIF(T366,"&gt;0")</f>
      </c>
      <c r="AX366" t="s">
        <v>440</v>
      </c>
      <c r="AY366" t="s">
        <v>454</v>
      </c>
    </row>
    <row r="367" ht="28" customHeight="1" spans="1:51" x14ac:dyDescent="0.25">
      <c r="A367" s="14"/>
      <c r="B367" s="14"/>
      <c r="C367" s="14"/>
      <c r="D367" s="14"/>
      <c r="E367" s="14"/>
      <c r="F367" s="15" t="s">
        <v>395</v>
      </c>
      <c r="G367" s="15" t="s">
        <v>396</v>
      </c>
      <c r="H367" s="14" t="s">
        <v>66</v>
      </c>
      <c r="I367" s="16">
        <v>5</v>
      </c>
      <c r="J367" s="17">
        <v>12</v>
      </c>
      <c r="K367" s="14" t="s">
        <v>141</v>
      </c>
      <c r="L367" s="14" t="s">
        <v>68</v>
      </c>
      <c r="M367" s="14"/>
      <c r="N367" s="14"/>
      <c r="O367" s="15"/>
      <c r="P367" s="19">
        <v>0</v>
      </c>
      <c r="Q367" s="19">
        <v>0</v>
      </c>
      <c r="R367" s="19">
        <v>0</v>
      </c>
      <c r="S367" s="19">
        <v>0</v>
      </c>
      <c r="T367" s="19">
        <v>0</v>
      </c>
      <c r="U367" s="14" t="s">
        <v>69</v>
      </c>
      <c r="V367" s="14" t="s">
        <v>69</v>
      </c>
      <c r="W367" s="14" t="s">
        <v>69</v>
      </c>
      <c r="X367" s="14" t="s">
        <v>69</v>
      </c>
      <c r="Y367" s="14" t="s">
        <v>69</v>
      </c>
      <c r="AM367">
        <f>COUNTIF(P367:T367,"&gt;0")</f>
      </c>
      <c r="AN367">
        <f>COUNTIF(P367,"&gt;0")</f>
      </c>
      <c r="AO367">
        <f>COUNTIF(Q367,"&gt;0")</f>
      </c>
      <c r="AP367">
        <f>COUNTIF(R367,"&gt;0")</f>
      </c>
      <c r="AQ367">
        <f>COUNTIF(S367,"&gt;0")</f>
      </c>
      <c r="AR367">
        <f>COUNTIF(T367,"&gt;0")</f>
      </c>
      <c r="AX367" t="s">
        <v>440</v>
      </c>
      <c r="AY367" t="s">
        <v>455</v>
      </c>
    </row>
    <row r="368" ht="18" customHeight="1" spans="1:51" x14ac:dyDescent="0.25">
      <c r="A368" s="14"/>
      <c r="B368" s="14"/>
      <c r="C368" s="14"/>
      <c r="D368" s="14"/>
      <c r="E368" s="14"/>
      <c r="F368" s="15"/>
      <c r="G368" s="15"/>
      <c r="H368" s="14" t="s">
        <v>71</v>
      </c>
      <c r="I368" s="16"/>
      <c r="J368" s="17"/>
      <c r="K368" s="14"/>
      <c r="L368" s="14"/>
      <c r="M368" s="14"/>
      <c r="N368" s="14"/>
      <c r="O368" s="15"/>
      <c r="P368" s="20">
        <v>0</v>
      </c>
      <c r="Q368" s="20">
        <v>0</v>
      </c>
      <c r="R368" s="20">
        <v>0</v>
      </c>
      <c r="S368" s="20">
        <v>0</v>
      </c>
      <c r="T368" s="20">
        <v>0</v>
      </c>
      <c r="U368" s="21" t="s">
        <v>69</v>
      </c>
      <c r="V368" s="21" t="s">
        <v>69</v>
      </c>
      <c r="W368" s="21" t="s">
        <v>69</v>
      </c>
      <c r="X368" s="21" t="s">
        <v>69</v>
      </c>
      <c r="Y368" s="21" t="s">
        <v>69</v>
      </c>
      <c r="AL368">
        <f>COUNTIF(P368:T368,"&gt;0")</f>
      </c>
      <c r="AS368">
        <f>COUNTIF(P368,"&gt;0")</f>
      </c>
      <c r="AT368">
        <f>COUNTIF(Q368,"&gt;0")</f>
      </c>
      <c r="AU368">
        <f>COUNTIF(R368,"&gt;0")</f>
      </c>
      <c r="AV368">
        <f>COUNTIF(S368,"&gt;0")</f>
      </c>
      <c r="AW368">
        <f>COUNTIF(T368,"&gt;0")</f>
      </c>
      <c r="AX368" t="s">
        <v>440</v>
      </c>
      <c r="AY368" t="s">
        <v>455</v>
      </c>
    </row>
    <row r="369" ht="28" customHeight="1" spans="1:51" x14ac:dyDescent="0.25">
      <c r="A369" s="14"/>
      <c r="B369" s="14"/>
      <c r="C369" s="14"/>
      <c r="D369" s="14"/>
      <c r="E369" s="14"/>
      <c r="F369" s="15" t="s">
        <v>398</v>
      </c>
      <c r="G369" s="15" t="s">
        <v>399</v>
      </c>
      <c r="H369" s="14" t="s">
        <v>66</v>
      </c>
      <c r="I369" s="16">
        <v>5</v>
      </c>
      <c r="J369" s="17">
        <v>12</v>
      </c>
      <c r="K369" s="14" t="s">
        <v>141</v>
      </c>
      <c r="L369" s="14" t="s">
        <v>68</v>
      </c>
      <c r="M369" s="14"/>
      <c r="N369" s="14"/>
      <c r="O369" s="15"/>
      <c r="P369" s="19">
        <v>0</v>
      </c>
      <c r="Q369" s="19">
        <v>0</v>
      </c>
      <c r="R369" s="19">
        <v>0</v>
      </c>
      <c r="S369" s="19">
        <v>0</v>
      </c>
      <c r="T369" s="19">
        <v>0</v>
      </c>
      <c r="U369" s="14" t="s">
        <v>69</v>
      </c>
      <c r="V369" s="14" t="s">
        <v>69</v>
      </c>
      <c r="W369" s="14" t="s">
        <v>69</v>
      </c>
      <c r="X369" s="14" t="s">
        <v>69</v>
      </c>
      <c r="Y369" s="14" t="s">
        <v>69</v>
      </c>
      <c r="AM369">
        <f>COUNTIF(P369:T369,"&gt;0")</f>
      </c>
      <c r="AN369">
        <f>COUNTIF(P369,"&gt;0")</f>
      </c>
      <c r="AO369">
        <f>COUNTIF(Q369,"&gt;0")</f>
      </c>
      <c r="AP369">
        <f>COUNTIF(R369,"&gt;0")</f>
      </c>
      <c r="AQ369">
        <f>COUNTIF(S369,"&gt;0")</f>
      </c>
      <c r="AR369">
        <f>COUNTIF(T369,"&gt;0")</f>
      </c>
      <c r="AX369" t="s">
        <v>440</v>
      </c>
      <c r="AY369" t="s">
        <v>456</v>
      </c>
    </row>
    <row r="370" ht="18" customHeight="1" spans="1:51" x14ac:dyDescent="0.25">
      <c r="A370" s="14"/>
      <c r="B370" s="14"/>
      <c r="C370" s="14"/>
      <c r="D370" s="14"/>
      <c r="E370" s="14"/>
      <c r="F370" s="15"/>
      <c r="G370" s="15"/>
      <c r="H370" s="14" t="s">
        <v>71</v>
      </c>
      <c r="I370" s="16"/>
      <c r="J370" s="17"/>
      <c r="K370" s="14"/>
      <c r="L370" s="14"/>
      <c r="M370" s="14"/>
      <c r="N370" s="14"/>
      <c r="O370" s="15"/>
      <c r="P370" s="20">
        <v>0</v>
      </c>
      <c r="Q370" s="20">
        <v>0</v>
      </c>
      <c r="R370" s="20">
        <v>0</v>
      </c>
      <c r="S370" s="20">
        <v>0</v>
      </c>
      <c r="T370" s="20">
        <v>0</v>
      </c>
      <c r="U370" s="21" t="s">
        <v>69</v>
      </c>
      <c r="V370" s="21" t="s">
        <v>69</v>
      </c>
      <c r="W370" s="21" t="s">
        <v>69</v>
      </c>
      <c r="X370" s="21" t="s">
        <v>69</v>
      </c>
      <c r="Y370" s="21" t="s">
        <v>69</v>
      </c>
      <c r="AL370">
        <f>COUNTIF(P370:T370,"&gt;0")</f>
      </c>
      <c r="AS370">
        <f>COUNTIF(P370,"&gt;0")</f>
      </c>
      <c r="AT370">
        <f>COUNTIF(Q370,"&gt;0")</f>
      </c>
      <c r="AU370">
        <f>COUNTIF(R370,"&gt;0")</f>
      </c>
      <c r="AV370">
        <f>COUNTIF(S370,"&gt;0")</f>
      </c>
      <c r="AW370">
        <f>COUNTIF(T370,"&gt;0")</f>
      </c>
      <c r="AX370" t="s">
        <v>440</v>
      </c>
      <c r="AY370" t="s">
        <v>456</v>
      </c>
    </row>
    <row r="371" ht="28" customHeight="1" spans="1:51" x14ac:dyDescent="0.25">
      <c r="A371" s="14"/>
      <c r="B371" s="14"/>
      <c r="C371" s="14"/>
      <c r="D371" s="14"/>
      <c r="E371" s="14"/>
      <c r="F371" s="15" t="s">
        <v>401</v>
      </c>
      <c r="G371" s="15" t="s">
        <v>402</v>
      </c>
      <c r="H371" s="14" t="s">
        <v>66</v>
      </c>
      <c r="I371" s="16">
        <v>5</v>
      </c>
      <c r="J371" s="17">
        <v>12</v>
      </c>
      <c r="K371" s="14" t="s">
        <v>141</v>
      </c>
      <c r="L371" s="14" t="s">
        <v>68</v>
      </c>
      <c r="M371" s="14"/>
      <c r="N371" s="14"/>
      <c r="O371" s="15"/>
      <c r="P371" s="19">
        <v>0</v>
      </c>
      <c r="Q371" s="19">
        <v>0</v>
      </c>
      <c r="R371" s="25">
        <v>5</v>
      </c>
      <c r="S371" s="19">
        <v>0</v>
      </c>
      <c r="T371" s="19">
        <v>0</v>
      </c>
      <c r="U371" s="14" t="s">
        <v>69</v>
      </c>
      <c r="V371" s="14" t="s">
        <v>69</v>
      </c>
      <c r="W371" s="14" t="s">
        <v>69</v>
      </c>
      <c r="X371" s="14" t="s">
        <v>69</v>
      </c>
      <c r="Y371" s="14" t="s">
        <v>69</v>
      </c>
      <c r="AM371">
        <f>COUNTIF(P371:T371,"&gt;0")</f>
      </c>
      <c r="AN371">
        <f>COUNTIF(P371,"&gt;0")</f>
      </c>
      <c r="AO371">
        <f>COUNTIF(Q371,"&gt;0")</f>
      </c>
      <c r="AP371">
        <f>COUNTIF(R371,"&gt;0")</f>
      </c>
      <c r="AQ371">
        <f>COUNTIF(S371,"&gt;0")</f>
      </c>
      <c r="AR371">
        <f>COUNTIF(T371,"&gt;0")</f>
      </c>
      <c r="AX371" t="s">
        <v>440</v>
      </c>
      <c r="AY371" t="s">
        <v>457</v>
      </c>
    </row>
    <row r="372" ht="18" customHeight="1" spans="1:51" x14ac:dyDescent="0.25">
      <c r="A372" s="14"/>
      <c r="B372" s="14"/>
      <c r="C372" s="14"/>
      <c r="D372" s="14"/>
      <c r="E372" s="14"/>
      <c r="F372" s="15"/>
      <c r="G372" s="15"/>
      <c r="H372" s="14" t="s">
        <v>71</v>
      </c>
      <c r="I372" s="16"/>
      <c r="J372" s="17"/>
      <c r="K372" s="14"/>
      <c r="L372" s="14"/>
      <c r="M372" s="14"/>
      <c r="N372" s="14"/>
      <c r="O372" s="15"/>
      <c r="P372" s="20">
        <v>0</v>
      </c>
      <c r="Q372" s="20">
        <v>0</v>
      </c>
      <c r="R372" s="20">
        <v>0</v>
      </c>
      <c r="S372" s="20">
        <v>0</v>
      </c>
      <c r="T372" s="20">
        <v>0</v>
      </c>
      <c r="U372" s="21" t="s">
        <v>69</v>
      </c>
      <c r="V372" s="21" t="s">
        <v>69</v>
      </c>
      <c r="W372" s="21" t="s">
        <v>69</v>
      </c>
      <c r="X372" s="21" t="s">
        <v>69</v>
      </c>
      <c r="Y372" s="21" t="s">
        <v>69</v>
      </c>
      <c r="AL372">
        <f>COUNTIF(P372:T372,"&gt;0")</f>
      </c>
      <c r="AS372">
        <f>COUNTIF(P372,"&gt;0")</f>
      </c>
      <c r="AT372">
        <f>COUNTIF(Q372,"&gt;0")</f>
      </c>
      <c r="AU372">
        <f>COUNTIF(R372,"&gt;0")</f>
      </c>
      <c r="AV372">
        <f>COUNTIF(S372,"&gt;0")</f>
      </c>
      <c r="AW372">
        <f>COUNTIF(T372,"&gt;0")</f>
      </c>
      <c r="AX372" t="s">
        <v>440</v>
      </c>
      <c r="AY372" t="s">
        <v>457</v>
      </c>
    </row>
    <row r="373" ht="28" customHeight="1" spans="1:51" x14ac:dyDescent="0.25">
      <c r="A373" s="14"/>
      <c r="B373" s="14" t="s">
        <v>458</v>
      </c>
      <c r="C373" s="14" t="s">
        <v>459</v>
      </c>
      <c r="D373" s="14" t="s">
        <v>460</v>
      </c>
      <c r="E373" s="14" t="s">
        <v>118</v>
      </c>
      <c r="F373" s="15" t="s">
        <v>362</v>
      </c>
      <c r="G373" s="15" t="s">
        <v>363</v>
      </c>
      <c r="H373" s="14" t="s">
        <v>66</v>
      </c>
      <c r="I373" s="16">
        <v>2</v>
      </c>
      <c r="J373" s="17">
        <v>1</v>
      </c>
      <c r="K373" s="14" t="s">
        <v>67</v>
      </c>
      <c r="L373" s="14" t="s">
        <v>68</v>
      </c>
      <c r="M373" s="14"/>
      <c r="N373" s="14"/>
      <c r="O373" s="15"/>
      <c r="P373" s="19">
        <v>0</v>
      </c>
      <c r="Q373" s="19">
        <v>0</v>
      </c>
      <c r="R373" s="18">
        <v>2</v>
      </c>
      <c r="S373" s="19">
        <v>0</v>
      </c>
      <c r="T373" s="19">
        <v>0</v>
      </c>
      <c r="U373" s="14" t="s">
        <v>69</v>
      </c>
      <c r="V373" s="14" t="s">
        <v>69</v>
      </c>
      <c r="W373" s="14" t="s">
        <v>69</v>
      </c>
      <c r="X373" s="14" t="s">
        <v>69</v>
      </c>
      <c r="Y373" s="14" t="s">
        <v>69</v>
      </c>
      <c r="AM373">
        <f>COUNTIF(P373:T373,"&gt;0")</f>
      </c>
      <c r="AN373">
        <f>COUNTIF(P373,"&gt;0")</f>
      </c>
      <c r="AO373">
        <f>COUNTIF(Q373,"&gt;0")</f>
      </c>
      <c r="AP373">
        <f>COUNTIF(R373,"&gt;0")</f>
      </c>
      <c r="AQ373">
        <f>COUNTIF(S373,"&gt;0")</f>
      </c>
      <c r="AR373">
        <f>COUNTIF(T373,"&gt;0")</f>
      </c>
      <c r="AX373" t="s">
        <v>458</v>
      </c>
      <c r="AY373" t="s">
        <v>461</v>
      </c>
    </row>
    <row r="374" ht="18" customHeight="1" spans="1:51" x14ac:dyDescent="0.25">
      <c r="A374" s="14"/>
      <c r="B374" s="14"/>
      <c r="C374" s="14"/>
      <c r="D374" s="14"/>
      <c r="E374" s="14"/>
      <c r="F374" s="15"/>
      <c r="G374" s="15"/>
      <c r="H374" s="14" t="s">
        <v>71</v>
      </c>
      <c r="I374" s="16"/>
      <c r="J374" s="17"/>
      <c r="K374" s="14"/>
      <c r="L374" s="14"/>
      <c r="M374" s="14"/>
      <c r="N374" s="14"/>
      <c r="O374" s="15"/>
      <c r="P374" s="20">
        <v>0</v>
      </c>
      <c r="Q374" s="20">
        <v>0</v>
      </c>
      <c r="R374" s="20">
        <v>0</v>
      </c>
      <c r="S374" s="20">
        <v>0</v>
      </c>
      <c r="T374" s="20">
        <v>0</v>
      </c>
      <c r="U374" s="21" t="s">
        <v>69</v>
      </c>
      <c r="V374" s="21" t="s">
        <v>69</v>
      </c>
      <c r="W374" s="21" t="s">
        <v>69</v>
      </c>
      <c r="X374" s="21" t="s">
        <v>69</v>
      </c>
      <c r="Y374" s="21" t="s">
        <v>69</v>
      </c>
      <c r="AL374">
        <f>COUNTIF(P374:T374,"&gt;0")</f>
      </c>
      <c r="AS374">
        <f>COUNTIF(P374,"&gt;0")</f>
      </c>
      <c r="AT374">
        <f>COUNTIF(Q374,"&gt;0")</f>
      </c>
      <c r="AU374">
        <f>COUNTIF(R374,"&gt;0")</f>
      </c>
      <c r="AV374">
        <f>COUNTIF(S374,"&gt;0")</f>
      </c>
      <c r="AW374">
        <f>COUNTIF(T374,"&gt;0")</f>
      </c>
      <c r="AX374" t="s">
        <v>458</v>
      </c>
      <c r="AY374" t="s">
        <v>461</v>
      </c>
    </row>
    <row r="375" ht="28" customHeight="1" spans="1:51" x14ac:dyDescent="0.25">
      <c r="A375" s="14"/>
      <c r="B375" s="14"/>
      <c r="C375" s="14"/>
      <c r="D375" s="14"/>
      <c r="E375" s="14"/>
      <c r="F375" s="15" t="s">
        <v>365</v>
      </c>
      <c r="G375" s="15" t="s">
        <v>366</v>
      </c>
      <c r="H375" s="14" t="s">
        <v>66</v>
      </c>
      <c r="I375" s="16">
        <v>2</v>
      </c>
      <c r="J375" s="17">
        <v>1</v>
      </c>
      <c r="K375" s="14" t="s">
        <v>67</v>
      </c>
      <c r="L375" s="14" t="s">
        <v>68</v>
      </c>
      <c r="M375" s="14"/>
      <c r="N375" s="14"/>
      <c r="O375" s="15"/>
      <c r="P375" s="19">
        <v>0</v>
      </c>
      <c r="Q375" s="19">
        <v>0</v>
      </c>
      <c r="R375" s="19">
        <v>0</v>
      </c>
      <c r="S375" s="18">
        <v>2</v>
      </c>
      <c r="T375" s="19">
        <v>0</v>
      </c>
      <c r="U375" s="14" t="s">
        <v>69</v>
      </c>
      <c r="V375" s="14" t="s">
        <v>69</v>
      </c>
      <c r="W375" s="14" t="s">
        <v>69</v>
      </c>
      <c r="X375" s="14" t="s">
        <v>69</v>
      </c>
      <c r="Y375" s="14" t="s">
        <v>69</v>
      </c>
      <c r="AM375">
        <f>COUNTIF(P375:T375,"&gt;0")</f>
      </c>
      <c r="AN375">
        <f>COUNTIF(P375,"&gt;0")</f>
      </c>
      <c r="AO375">
        <f>COUNTIF(Q375,"&gt;0")</f>
      </c>
      <c r="AP375">
        <f>COUNTIF(R375,"&gt;0")</f>
      </c>
      <c r="AQ375">
        <f>COUNTIF(S375,"&gt;0")</f>
      </c>
      <c r="AR375">
        <f>COUNTIF(T375,"&gt;0")</f>
      </c>
      <c r="AX375" t="s">
        <v>458</v>
      </c>
      <c r="AY375" t="s">
        <v>462</v>
      </c>
    </row>
    <row r="376" ht="18" customHeight="1" spans="1:51" x14ac:dyDescent="0.25">
      <c r="A376" s="14"/>
      <c r="B376" s="14"/>
      <c r="C376" s="14"/>
      <c r="D376" s="14"/>
      <c r="E376" s="14"/>
      <c r="F376" s="15"/>
      <c r="G376" s="15"/>
      <c r="H376" s="14" t="s">
        <v>71</v>
      </c>
      <c r="I376" s="16"/>
      <c r="J376" s="17"/>
      <c r="K376" s="14"/>
      <c r="L376" s="14"/>
      <c r="M376" s="14"/>
      <c r="N376" s="14"/>
      <c r="O376" s="15"/>
      <c r="P376" s="20">
        <v>0</v>
      </c>
      <c r="Q376" s="20">
        <v>0</v>
      </c>
      <c r="R376" s="20">
        <v>0</v>
      </c>
      <c r="S376" s="20">
        <v>0</v>
      </c>
      <c r="T376" s="20">
        <v>0</v>
      </c>
      <c r="U376" s="21" t="s">
        <v>69</v>
      </c>
      <c r="V376" s="21" t="s">
        <v>69</v>
      </c>
      <c r="W376" s="21" t="s">
        <v>69</v>
      </c>
      <c r="X376" s="21" t="s">
        <v>69</v>
      </c>
      <c r="Y376" s="21" t="s">
        <v>69</v>
      </c>
      <c r="AL376">
        <f>COUNTIF(P376:T376,"&gt;0")</f>
      </c>
      <c r="AS376">
        <f>COUNTIF(P376,"&gt;0")</f>
      </c>
      <c r="AT376">
        <f>COUNTIF(Q376,"&gt;0")</f>
      </c>
      <c r="AU376">
        <f>COUNTIF(R376,"&gt;0")</f>
      </c>
      <c r="AV376">
        <f>COUNTIF(S376,"&gt;0")</f>
      </c>
      <c r="AW376">
        <f>COUNTIF(T376,"&gt;0")</f>
      </c>
      <c r="AX376" t="s">
        <v>458</v>
      </c>
      <c r="AY376" t="s">
        <v>462</v>
      </c>
    </row>
    <row r="377" ht="28" customHeight="1" spans="1:51" x14ac:dyDescent="0.25">
      <c r="A377" s="14"/>
      <c r="B377" s="14"/>
      <c r="C377" s="14"/>
      <c r="D377" s="14"/>
      <c r="E377" s="14"/>
      <c r="F377" s="15" t="s">
        <v>365</v>
      </c>
      <c r="G377" s="15" t="s">
        <v>368</v>
      </c>
      <c r="H377" s="14" t="s">
        <v>66</v>
      </c>
      <c r="I377" s="16">
        <v>2</v>
      </c>
      <c r="J377" s="17">
        <v>1</v>
      </c>
      <c r="K377" s="14" t="s">
        <v>67</v>
      </c>
      <c r="L377" s="14" t="s">
        <v>68</v>
      </c>
      <c r="M377" s="14"/>
      <c r="N377" s="14"/>
      <c r="O377" s="15"/>
      <c r="P377" s="19">
        <v>0</v>
      </c>
      <c r="Q377" s="19">
        <v>0</v>
      </c>
      <c r="R377" s="19">
        <v>0</v>
      </c>
      <c r="S377" s="19">
        <v>0</v>
      </c>
      <c r="T377" s="18">
        <v>2</v>
      </c>
      <c r="U377" s="14" t="s">
        <v>69</v>
      </c>
      <c r="V377" s="14" t="s">
        <v>69</v>
      </c>
      <c r="W377" s="14" t="s">
        <v>69</v>
      </c>
      <c r="X377" s="14" t="s">
        <v>69</v>
      </c>
      <c r="Y377" s="14" t="s">
        <v>69</v>
      </c>
      <c r="AM377">
        <f>COUNTIF(P377:T377,"&gt;0")</f>
      </c>
      <c r="AN377">
        <f>COUNTIF(P377,"&gt;0")</f>
      </c>
      <c r="AO377">
        <f>COUNTIF(Q377,"&gt;0")</f>
      </c>
      <c r="AP377">
        <f>COUNTIF(R377,"&gt;0")</f>
      </c>
      <c r="AQ377">
        <f>COUNTIF(S377,"&gt;0")</f>
      </c>
      <c r="AR377">
        <f>COUNTIF(T377,"&gt;0")</f>
      </c>
      <c r="AX377" t="s">
        <v>458</v>
      </c>
      <c r="AY377" t="s">
        <v>463</v>
      </c>
    </row>
    <row r="378" ht="18" customHeight="1" spans="1:51" x14ac:dyDescent="0.25">
      <c r="A378" s="14"/>
      <c r="B378" s="14"/>
      <c r="C378" s="14"/>
      <c r="D378" s="14"/>
      <c r="E378" s="14"/>
      <c r="F378" s="15"/>
      <c r="G378" s="15"/>
      <c r="H378" s="14" t="s">
        <v>71</v>
      </c>
      <c r="I378" s="16"/>
      <c r="J378" s="17"/>
      <c r="K378" s="14"/>
      <c r="L378" s="14"/>
      <c r="M378" s="14"/>
      <c r="N378" s="14"/>
      <c r="O378" s="15"/>
      <c r="P378" s="20">
        <v>0</v>
      </c>
      <c r="Q378" s="20">
        <v>0</v>
      </c>
      <c r="R378" s="20">
        <v>0</v>
      </c>
      <c r="S378" s="20">
        <v>0</v>
      </c>
      <c r="T378" s="20">
        <v>0</v>
      </c>
      <c r="U378" s="21" t="s">
        <v>69</v>
      </c>
      <c r="V378" s="21" t="s">
        <v>69</v>
      </c>
      <c r="W378" s="21" t="s">
        <v>69</v>
      </c>
      <c r="X378" s="21" t="s">
        <v>69</v>
      </c>
      <c r="Y378" s="21" t="s">
        <v>69</v>
      </c>
      <c r="AL378">
        <f>COUNTIF(P378:T378,"&gt;0")</f>
      </c>
      <c r="AS378">
        <f>COUNTIF(P378,"&gt;0")</f>
      </c>
      <c r="AT378">
        <f>COUNTIF(Q378,"&gt;0")</f>
      </c>
      <c r="AU378">
        <f>COUNTIF(R378,"&gt;0")</f>
      </c>
      <c r="AV378">
        <f>COUNTIF(S378,"&gt;0")</f>
      </c>
      <c r="AW378">
        <f>COUNTIF(T378,"&gt;0")</f>
      </c>
      <c r="AX378" t="s">
        <v>458</v>
      </c>
      <c r="AY378" t="s">
        <v>463</v>
      </c>
    </row>
    <row r="379" ht="28" customHeight="1" spans="1:51" x14ac:dyDescent="0.25">
      <c r="A379" s="14"/>
      <c r="B379" s="14"/>
      <c r="C379" s="14"/>
      <c r="D379" s="14"/>
      <c r="E379" s="14"/>
      <c r="F379" s="15" t="s">
        <v>370</v>
      </c>
      <c r="G379" s="15" t="s">
        <v>371</v>
      </c>
      <c r="H379" s="14" t="s">
        <v>66</v>
      </c>
      <c r="I379" s="16">
        <v>2</v>
      </c>
      <c r="J379" s="17">
        <v>1</v>
      </c>
      <c r="K379" s="14" t="s">
        <v>67</v>
      </c>
      <c r="L379" s="14" t="s">
        <v>68</v>
      </c>
      <c r="M379" s="14"/>
      <c r="N379" s="14"/>
      <c r="O379" s="15"/>
      <c r="P379" s="18">
        <v>2</v>
      </c>
      <c r="Q379" s="19">
        <v>0</v>
      </c>
      <c r="R379" s="19">
        <v>0</v>
      </c>
      <c r="S379" s="19">
        <v>0</v>
      </c>
      <c r="T379" s="19">
        <v>0</v>
      </c>
      <c r="U379" s="14" t="s">
        <v>69</v>
      </c>
      <c r="V379" s="14" t="s">
        <v>69</v>
      </c>
      <c r="W379" s="14" t="s">
        <v>69</v>
      </c>
      <c r="X379" s="14" t="s">
        <v>69</v>
      </c>
      <c r="Y379" s="14" t="s">
        <v>69</v>
      </c>
      <c r="AM379">
        <f>COUNTIF(P379:T379,"&gt;0")</f>
      </c>
      <c r="AN379">
        <f>COUNTIF(P379,"&gt;0")</f>
      </c>
      <c r="AO379">
        <f>COUNTIF(Q379,"&gt;0")</f>
      </c>
      <c r="AP379">
        <f>COUNTIF(R379,"&gt;0")</f>
      </c>
      <c r="AQ379">
        <f>COUNTIF(S379,"&gt;0")</f>
      </c>
      <c r="AR379">
        <f>COUNTIF(T379,"&gt;0")</f>
      </c>
      <c r="AX379" t="s">
        <v>458</v>
      </c>
      <c r="AY379" t="s">
        <v>464</v>
      </c>
    </row>
    <row r="380" ht="18" customHeight="1" spans="1:51" x14ac:dyDescent="0.25">
      <c r="A380" s="14"/>
      <c r="B380" s="14"/>
      <c r="C380" s="14"/>
      <c r="D380" s="14"/>
      <c r="E380" s="14"/>
      <c r="F380" s="15"/>
      <c r="G380" s="15"/>
      <c r="H380" s="14" t="s">
        <v>71</v>
      </c>
      <c r="I380" s="16"/>
      <c r="J380" s="17"/>
      <c r="K380" s="14"/>
      <c r="L380" s="14"/>
      <c r="M380" s="14"/>
      <c r="N380" s="14"/>
      <c r="O380" s="15"/>
      <c r="P380" s="20">
        <v>0</v>
      </c>
      <c r="Q380" s="20">
        <v>0</v>
      </c>
      <c r="R380" s="20">
        <v>0</v>
      </c>
      <c r="S380" s="20">
        <v>0</v>
      </c>
      <c r="T380" s="20">
        <v>0</v>
      </c>
      <c r="U380" s="21" t="s">
        <v>69</v>
      </c>
      <c r="V380" s="21" t="s">
        <v>69</v>
      </c>
      <c r="W380" s="21" t="s">
        <v>69</v>
      </c>
      <c r="X380" s="21" t="s">
        <v>69</v>
      </c>
      <c r="Y380" s="21" t="s">
        <v>69</v>
      </c>
      <c r="AL380">
        <f>COUNTIF(P380:T380,"&gt;0")</f>
      </c>
      <c r="AS380">
        <f>COUNTIF(P380,"&gt;0")</f>
      </c>
      <c r="AT380">
        <f>COUNTIF(Q380,"&gt;0")</f>
      </c>
      <c r="AU380">
        <f>COUNTIF(R380,"&gt;0")</f>
      </c>
      <c r="AV380">
        <f>COUNTIF(S380,"&gt;0")</f>
      </c>
      <c r="AW380">
        <f>COUNTIF(T380,"&gt;0")</f>
      </c>
      <c r="AX380" t="s">
        <v>458</v>
      </c>
      <c r="AY380" t="s">
        <v>464</v>
      </c>
    </row>
    <row r="381" ht="28" customHeight="1" spans="1:51" x14ac:dyDescent="0.25">
      <c r="A381" s="14"/>
      <c r="B381" s="14"/>
      <c r="C381" s="14"/>
      <c r="D381" s="14"/>
      <c r="E381" s="14"/>
      <c r="F381" s="15" t="s">
        <v>373</v>
      </c>
      <c r="G381" s="15" t="s">
        <v>374</v>
      </c>
      <c r="H381" s="14" t="s">
        <v>66</v>
      </c>
      <c r="I381" s="16">
        <v>2</v>
      </c>
      <c r="J381" s="17">
        <v>1</v>
      </c>
      <c r="K381" s="14" t="s">
        <v>67</v>
      </c>
      <c r="L381" s="14" t="s">
        <v>68</v>
      </c>
      <c r="M381" s="14"/>
      <c r="N381" s="14"/>
      <c r="O381" s="15"/>
      <c r="P381" s="19">
        <v>0</v>
      </c>
      <c r="Q381" s="18">
        <v>2</v>
      </c>
      <c r="R381" s="19">
        <v>0</v>
      </c>
      <c r="S381" s="19">
        <v>0</v>
      </c>
      <c r="T381" s="19">
        <v>0</v>
      </c>
      <c r="U381" s="14" t="s">
        <v>69</v>
      </c>
      <c r="V381" s="14" t="s">
        <v>69</v>
      </c>
      <c r="W381" s="14" t="s">
        <v>69</v>
      </c>
      <c r="X381" s="14" t="s">
        <v>69</v>
      </c>
      <c r="Y381" s="14" t="s">
        <v>69</v>
      </c>
      <c r="AM381">
        <f>COUNTIF(P381:T381,"&gt;0")</f>
      </c>
      <c r="AN381">
        <f>COUNTIF(P381,"&gt;0")</f>
      </c>
      <c r="AO381">
        <f>COUNTIF(Q381,"&gt;0")</f>
      </c>
      <c r="AP381">
        <f>COUNTIF(R381,"&gt;0")</f>
      </c>
      <c r="AQ381">
        <f>COUNTIF(S381,"&gt;0")</f>
      </c>
      <c r="AR381">
        <f>COUNTIF(T381,"&gt;0")</f>
      </c>
      <c r="AX381" t="s">
        <v>458</v>
      </c>
      <c r="AY381" t="s">
        <v>465</v>
      </c>
    </row>
    <row r="382" ht="18" customHeight="1" spans="1:51" x14ac:dyDescent="0.25">
      <c r="A382" s="14"/>
      <c r="B382" s="14"/>
      <c r="C382" s="14"/>
      <c r="D382" s="14"/>
      <c r="E382" s="14"/>
      <c r="F382" s="15"/>
      <c r="G382" s="15"/>
      <c r="H382" s="14" t="s">
        <v>71</v>
      </c>
      <c r="I382" s="16"/>
      <c r="J382" s="17"/>
      <c r="K382" s="14"/>
      <c r="L382" s="14"/>
      <c r="M382" s="14"/>
      <c r="N382" s="14"/>
      <c r="O382" s="15"/>
      <c r="P382" s="20">
        <v>0</v>
      </c>
      <c r="Q382" s="20">
        <v>0</v>
      </c>
      <c r="R382" s="20">
        <v>0</v>
      </c>
      <c r="S382" s="20">
        <v>0</v>
      </c>
      <c r="T382" s="20">
        <v>0</v>
      </c>
      <c r="U382" s="21" t="s">
        <v>69</v>
      </c>
      <c r="V382" s="21" t="s">
        <v>69</v>
      </c>
      <c r="W382" s="21" t="s">
        <v>69</v>
      </c>
      <c r="X382" s="21" t="s">
        <v>69</v>
      </c>
      <c r="Y382" s="21" t="s">
        <v>69</v>
      </c>
      <c r="AL382">
        <f>COUNTIF(P382:T382,"&gt;0")</f>
      </c>
      <c r="AS382">
        <f>COUNTIF(P382,"&gt;0")</f>
      </c>
      <c r="AT382">
        <f>COUNTIF(Q382,"&gt;0")</f>
      </c>
      <c r="AU382">
        <f>COUNTIF(R382,"&gt;0")</f>
      </c>
      <c r="AV382">
        <f>COUNTIF(S382,"&gt;0")</f>
      </c>
      <c r="AW382">
        <f>COUNTIF(T382,"&gt;0")</f>
      </c>
      <c r="AX382" t="s">
        <v>458</v>
      </c>
      <c r="AY382" t="s">
        <v>465</v>
      </c>
    </row>
    <row r="383" ht="28" customHeight="1" spans="1:51" x14ac:dyDescent="0.25">
      <c r="A383" s="14"/>
      <c r="B383" s="14"/>
      <c r="C383" s="14"/>
      <c r="D383" s="14"/>
      <c r="E383" s="14"/>
      <c r="F383" s="15" t="s">
        <v>376</v>
      </c>
      <c r="G383" s="15" t="s">
        <v>377</v>
      </c>
      <c r="H383" s="14" t="s">
        <v>66</v>
      </c>
      <c r="I383" s="16">
        <v>2</v>
      </c>
      <c r="J383" s="17">
        <v>1</v>
      </c>
      <c r="K383" s="14" t="s">
        <v>67</v>
      </c>
      <c r="L383" s="14" t="s">
        <v>68</v>
      </c>
      <c r="M383" s="14"/>
      <c r="N383" s="14"/>
      <c r="O383" s="15"/>
      <c r="P383" s="19">
        <v>0</v>
      </c>
      <c r="Q383" s="19">
        <v>0</v>
      </c>
      <c r="R383" s="18">
        <v>2</v>
      </c>
      <c r="S383" s="19">
        <v>0</v>
      </c>
      <c r="T383" s="19">
        <v>0</v>
      </c>
      <c r="U383" s="14" t="s">
        <v>69</v>
      </c>
      <c r="V383" s="14" t="s">
        <v>69</v>
      </c>
      <c r="W383" s="14" t="s">
        <v>69</v>
      </c>
      <c r="X383" s="14" t="s">
        <v>69</v>
      </c>
      <c r="Y383" s="14" t="s">
        <v>69</v>
      </c>
      <c r="AM383">
        <f>COUNTIF(P383:T383,"&gt;0")</f>
      </c>
      <c r="AN383">
        <f>COUNTIF(P383,"&gt;0")</f>
      </c>
      <c r="AO383">
        <f>COUNTIF(Q383,"&gt;0")</f>
      </c>
      <c r="AP383">
        <f>COUNTIF(R383,"&gt;0")</f>
      </c>
      <c r="AQ383">
        <f>COUNTIF(S383,"&gt;0")</f>
      </c>
      <c r="AR383">
        <f>COUNTIF(T383,"&gt;0")</f>
      </c>
      <c r="AX383" t="s">
        <v>458</v>
      </c>
      <c r="AY383" t="s">
        <v>466</v>
      </c>
    </row>
    <row r="384" ht="18" customHeight="1" spans="1:51" x14ac:dyDescent="0.25">
      <c r="A384" s="14"/>
      <c r="B384" s="14"/>
      <c r="C384" s="14"/>
      <c r="D384" s="14"/>
      <c r="E384" s="14"/>
      <c r="F384" s="15"/>
      <c r="G384" s="15"/>
      <c r="H384" s="14" t="s">
        <v>71</v>
      </c>
      <c r="I384" s="16"/>
      <c r="J384" s="17"/>
      <c r="K384" s="14"/>
      <c r="L384" s="14"/>
      <c r="M384" s="14"/>
      <c r="N384" s="14"/>
      <c r="O384" s="15"/>
      <c r="P384" s="20">
        <v>0</v>
      </c>
      <c r="Q384" s="20">
        <v>0</v>
      </c>
      <c r="R384" s="20">
        <v>0</v>
      </c>
      <c r="S384" s="20">
        <v>0</v>
      </c>
      <c r="T384" s="20">
        <v>0</v>
      </c>
      <c r="U384" s="21" t="s">
        <v>69</v>
      </c>
      <c r="V384" s="21" t="s">
        <v>69</v>
      </c>
      <c r="W384" s="21" t="s">
        <v>69</v>
      </c>
      <c r="X384" s="21" t="s">
        <v>69</v>
      </c>
      <c r="Y384" s="21" t="s">
        <v>69</v>
      </c>
      <c r="AL384">
        <f>COUNTIF(P384:T384,"&gt;0")</f>
      </c>
      <c r="AS384">
        <f>COUNTIF(P384,"&gt;0")</f>
      </c>
      <c r="AT384">
        <f>COUNTIF(Q384,"&gt;0")</f>
      </c>
      <c r="AU384">
        <f>COUNTIF(R384,"&gt;0")</f>
      </c>
      <c r="AV384">
        <f>COUNTIF(S384,"&gt;0")</f>
      </c>
      <c r="AW384">
        <f>COUNTIF(T384,"&gt;0")</f>
      </c>
      <c r="AX384" t="s">
        <v>458</v>
      </c>
      <c r="AY384" t="s">
        <v>466</v>
      </c>
    </row>
    <row r="385" ht="28" customHeight="1" spans="1:51" x14ac:dyDescent="0.25">
      <c r="A385" s="14"/>
      <c r="B385" s="14"/>
      <c r="C385" s="14"/>
      <c r="D385" s="14"/>
      <c r="E385" s="14"/>
      <c r="F385" s="15" t="s">
        <v>379</v>
      </c>
      <c r="G385" s="15" t="s">
        <v>380</v>
      </c>
      <c r="H385" s="14" t="s">
        <v>66</v>
      </c>
      <c r="I385" s="16">
        <v>2</v>
      </c>
      <c r="J385" s="17">
        <v>1</v>
      </c>
      <c r="K385" s="14" t="s">
        <v>67</v>
      </c>
      <c r="L385" s="14" t="s">
        <v>68</v>
      </c>
      <c r="M385" s="14"/>
      <c r="N385" s="14"/>
      <c r="O385" s="15"/>
      <c r="P385" s="19">
        <v>0</v>
      </c>
      <c r="Q385" s="19">
        <v>0</v>
      </c>
      <c r="R385" s="19">
        <v>0</v>
      </c>
      <c r="S385" s="18">
        <v>2</v>
      </c>
      <c r="T385" s="19">
        <v>0</v>
      </c>
      <c r="U385" s="14" t="s">
        <v>69</v>
      </c>
      <c r="V385" s="14" t="s">
        <v>69</v>
      </c>
      <c r="W385" s="14" t="s">
        <v>69</v>
      </c>
      <c r="X385" s="14" t="s">
        <v>69</v>
      </c>
      <c r="Y385" s="14" t="s">
        <v>69</v>
      </c>
      <c r="AM385">
        <f>COUNTIF(P385:T385,"&gt;0")</f>
      </c>
      <c r="AN385">
        <f>COUNTIF(P385,"&gt;0")</f>
      </c>
      <c r="AO385">
        <f>COUNTIF(Q385,"&gt;0")</f>
      </c>
      <c r="AP385">
        <f>COUNTIF(R385,"&gt;0")</f>
      </c>
      <c r="AQ385">
        <f>COUNTIF(S385,"&gt;0")</f>
      </c>
      <c r="AR385">
        <f>COUNTIF(T385,"&gt;0")</f>
      </c>
      <c r="AX385" t="s">
        <v>458</v>
      </c>
      <c r="AY385" t="s">
        <v>467</v>
      </c>
    </row>
    <row r="386" ht="18" customHeight="1" spans="1:51" x14ac:dyDescent="0.25">
      <c r="A386" s="14"/>
      <c r="B386" s="14"/>
      <c r="C386" s="14"/>
      <c r="D386" s="14"/>
      <c r="E386" s="14"/>
      <c r="F386" s="15"/>
      <c r="G386" s="15"/>
      <c r="H386" s="14" t="s">
        <v>71</v>
      </c>
      <c r="I386" s="16"/>
      <c r="J386" s="17"/>
      <c r="K386" s="14"/>
      <c r="L386" s="14"/>
      <c r="M386" s="14"/>
      <c r="N386" s="14"/>
      <c r="O386" s="15"/>
      <c r="P386" s="20">
        <v>0</v>
      </c>
      <c r="Q386" s="20">
        <v>0</v>
      </c>
      <c r="R386" s="20">
        <v>0</v>
      </c>
      <c r="S386" s="20">
        <v>0</v>
      </c>
      <c r="T386" s="20">
        <v>0</v>
      </c>
      <c r="U386" s="21" t="s">
        <v>69</v>
      </c>
      <c r="V386" s="21" t="s">
        <v>69</v>
      </c>
      <c r="W386" s="21" t="s">
        <v>69</v>
      </c>
      <c r="X386" s="21" t="s">
        <v>69</v>
      </c>
      <c r="Y386" s="21" t="s">
        <v>69</v>
      </c>
      <c r="AL386">
        <f>COUNTIF(P386:T386,"&gt;0")</f>
      </c>
      <c r="AS386">
        <f>COUNTIF(P386,"&gt;0")</f>
      </c>
      <c r="AT386">
        <f>COUNTIF(Q386,"&gt;0")</f>
      </c>
      <c r="AU386">
        <f>COUNTIF(R386,"&gt;0")</f>
      </c>
      <c r="AV386">
        <f>COUNTIF(S386,"&gt;0")</f>
      </c>
      <c r="AW386">
        <f>COUNTIF(T386,"&gt;0")</f>
      </c>
      <c r="AX386" t="s">
        <v>458</v>
      </c>
      <c r="AY386" t="s">
        <v>467</v>
      </c>
    </row>
    <row r="387" ht="28" customHeight="1" spans="1:51" x14ac:dyDescent="0.25">
      <c r="A387" s="14"/>
      <c r="B387" s="14"/>
      <c r="C387" s="14"/>
      <c r="D387" s="14"/>
      <c r="E387" s="14"/>
      <c r="F387" s="15" t="s">
        <v>382</v>
      </c>
      <c r="G387" s="15" t="s">
        <v>383</v>
      </c>
      <c r="H387" s="14" t="s">
        <v>66</v>
      </c>
      <c r="I387" s="16">
        <v>3</v>
      </c>
      <c r="J387" s="17">
        <v>3</v>
      </c>
      <c r="K387" s="14" t="s">
        <v>157</v>
      </c>
      <c r="L387" s="14" t="s">
        <v>68</v>
      </c>
      <c r="M387" s="14"/>
      <c r="N387" s="14"/>
      <c r="O387" s="15"/>
      <c r="P387" s="19">
        <v>0</v>
      </c>
      <c r="Q387" s="19">
        <v>0</v>
      </c>
      <c r="R387" s="19">
        <v>0</v>
      </c>
      <c r="S387" s="19">
        <v>0</v>
      </c>
      <c r="T387" s="19">
        <v>0</v>
      </c>
      <c r="U387" s="14" t="s">
        <v>69</v>
      </c>
      <c r="V387" s="14" t="s">
        <v>69</v>
      </c>
      <c r="W387" s="14" t="s">
        <v>69</v>
      </c>
      <c r="X387" s="14" t="s">
        <v>69</v>
      </c>
      <c r="Y387" s="14" t="s">
        <v>69</v>
      </c>
      <c r="AM387">
        <f>COUNTIF(P387:T387,"&gt;0")</f>
      </c>
      <c r="AN387">
        <f>COUNTIF(P387,"&gt;0")</f>
      </c>
      <c r="AO387">
        <f>COUNTIF(Q387,"&gt;0")</f>
      </c>
      <c r="AP387">
        <f>COUNTIF(R387,"&gt;0")</f>
      </c>
      <c r="AQ387">
        <f>COUNTIF(S387,"&gt;0")</f>
      </c>
      <c r="AR387">
        <f>COUNTIF(T387,"&gt;0")</f>
      </c>
      <c r="AX387" t="s">
        <v>458</v>
      </c>
      <c r="AY387" t="s">
        <v>468</v>
      </c>
    </row>
    <row r="388" ht="18" customHeight="1" spans="1:51" x14ac:dyDescent="0.25">
      <c r="A388" s="14"/>
      <c r="B388" s="14"/>
      <c r="C388" s="14"/>
      <c r="D388" s="14"/>
      <c r="E388" s="14"/>
      <c r="F388" s="15"/>
      <c r="G388" s="15"/>
      <c r="H388" s="14" t="s">
        <v>71</v>
      </c>
      <c r="I388" s="16"/>
      <c r="J388" s="17"/>
      <c r="K388" s="14"/>
      <c r="L388" s="14"/>
      <c r="M388" s="14"/>
      <c r="N388" s="14"/>
      <c r="O388" s="15"/>
      <c r="P388" s="20">
        <v>0</v>
      </c>
      <c r="Q388" s="20">
        <v>0</v>
      </c>
      <c r="R388" s="20">
        <v>0</v>
      </c>
      <c r="S388" s="20">
        <v>0</v>
      </c>
      <c r="T388" s="20">
        <v>0</v>
      </c>
      <c r="U388" s="21" t="s">
        <v>69</v>
      </c>
      <c r="V388" s="21" t="s">
        <v>69</v>
      </c>
      <c r="W388" s="21" t="s">
        <v>69</v>
      </c>
      <c r="X388" s="21" t="s">
        <v>69</v>
      </c>
      <c r="Y388" s="21" t="s">
        <v>69</v>
      </c>
      <c r="AL388">
        <f>COUNTIF(P388:T388,"&gt;0")</f>
      </c>
      <c r="AS388">
        <f>COUNTIF(P388,"&gt;0")</f>
      </c>
      <c r="AT388">
        <f>COUNTIF(Q388,"&gt;0")</f>
      </c>
      <c r="AU388">
        <f>COUNTIF(R388,"&gt;0")</f>
      </c>
      <c r="AV388">
        <f>COUNTIF(S388,"&gt;0")</f>
      </c>
      <c r="AW388">
        <f>COUNTIF(T388,"&gt;0")</f>
      </c>
      <c r="AX388" t="s">
        <v>458</v>
      </c>
      <c r="AY388" t="s">
        <v>468</v>
      </c>
    </row>
    <row r="389" ht="28" customHeight="1" spans="1:51" x14ac:dyDescent="0.25">
      <c r="A389" s="14"/>
      <c r="B389" s="14"/>
      <c r="C389" s="14"/>
      <c r="D389" s="14"/>
      <c r="E389" s="14"/>
      <c r="F389" s="15" t="s">
        <v>385</v>
      </c>
      <c r="G389" s="15" t="s">
        <v>386</v>
      </c>
      <c r="H389" s="14" t="s">
        <v>66</v>
      </c>
      <c r="I389" s="16">
        <v>3</v>
      </c>
      <c r="J389" s="17">
        <v>3</v>
      </c>
      <c r="K389" s="14" t="s">
        <v>157</v>
      </c>
      <c r="L389" s="14" t="s">
        <v>68</v>
      </c>
      <c r="M389" s="14"/>
      <c r="N389" s="14"/>
      <c r="O389" s="15"/>
      <c r="P389" s="19">
        <v>0</v>
      </c>
      <c r="Q389" s="24">
        <v>3</v>
      </c>
      <c r="R389" s="19">
        <v>0</v>
      </c>
      <c r="S389" s="19">
        <v>0</v>
      </c>
      <c r="T389" s="19">
        <v>0</v>
      </c>
      <c r="U389" s="14" t="s">
        <v>69</v>
      </c>
      <c r="V389" s="14" t="s">
        <v>69</v>
      </c>
      <c r="W389" s="14" t="s">
        <v>69</v>
      </c>
      <c r="X389" s="14" t="s">
        <v>69</v>
      </c>
      <c r="Y389" s="14" t="s">
        <v>69</v>
      </c>
      <c r="AM389">
        <f>COUNTIF(P389:T389,"&gt;0")</f>
      </c>
      <c r="AN389">
        <f>COUNTIF(P389,"&gt;0")</f>
      </c>
      <c r="AO389">
        <f>COUNTIF(Q389,"&gt;0")</f>
      </c>
      <c r="AP389">
        <f>COUNTIF(R389,"&gt;0")</f>
      </c>
      <c r="AQ389">
        <f>COUNTIF(S389,"&gt;0")</f>
      </c>
      <c r="AR389">
        <f>COUNTIF(T389,"&gt;0")</f>
      </c>
      <c r="AX389" t="s">
        <v>458</v>
      </c>
      <c r="AY389" t="s">
        <v>469</v>
      </c>
    </row>
    <row r="390" ht="18" customHeight="1" spans="1:51" x14ac:dyDescent="0.25">
      <c r="A390" s="14"/>
      <c r="B390" s="14"/>
      <c r="C390" s="14"/>
      <c r="D390" s="14"/>
      <c r="E390" s="14"/>
      <c r="F390" s="15"/>
      <c r="G390" s="15"/>
      <c r="H390" s="14" t="s">
        <v>71</v>
      </c>
      <c r="I390" s="16"/>
      <c r="J390" s="17"/>
      <c r="K390" s="14"/>
      <c r="L390" s="14"/>
      <c r="M390" s="14"/>
      <c r="N390" s="14"/>
      <c r="O390" s="15"/>
      <c r="P390" s="20">
        <v>0</v>
      </c>
      <c r="Q390" s="20">
        <v>0</v>
      </c>
      <c r="R390" s="20">
        <v>0</v>
      </c>
      <c r="S390" s="20">
        <v>0</v>
      </c>
      <c r="T390" s="20">
        <v>0</v>
      </c>
      <c r="U390" s="21" t="s">
        <v>69</v>
      </c>
      <c r="V390" s="21" t="s">
        <v>69</v>
      </c>
      <c r="W390" s="21" t="s">
        <v>69</v>
      </c>
      <c r="X390" s="21" t="s">
        <v>69</v>
      </c>
      <c r="Y390" s="21" t="s">
        <v>69</v>
      </c>
      <c r="AL390">
        <f>COUNTIF(P390:T390,"&gt;0")</f>
      </c>
      <c r="AS390">
        <f>COUNTIF(P390,"&gt;0")</f>
      </c>
      <c r="AT390">
        <f>COUNTIF(Q390,"&gt;0")</f>
      </c>
      <c r="AU390">
        <f>COUNTIF(R390,"&gt;0")</f>
      </c>
      <c r="AV390">
        <f>COUNTIF(S390,"&gt;0")</f>
      </c>
      <c r="AW390">
        <f>COUNTIF(T390,"&gt;0")</f>
      </c>
      <c r="AX390" t="s">
        <v>458</v>
      </c>
      <c r="AY390" t="s">
        <v>469</v>
      </c>
    </row>
    <row r="391" ht="28" customHeight="1" spans="1:51" x14ac:dyDescent="0.25">
      <c r="A391" s="14"/>
      <c r="B391" s="14"/>
      <c r="C391" s="14"/>
      <c r="D391" s="14"/>
      <c r="E391" s="14"/>
      <c r="F391" s="15" t="s">
        <v>385</v>
      </c>
      <c r="G391" s="15" t="s">
        <v>388</v>
      </c>
      <c r="H391" s="14" t="s">
        <v>66</v>
      </c>
      <c r="I391" s="16">
        <v>3</v>
      </c>
      <c r="J391" s="17">
        <v>3</v>
      </c>
      <c r="K391" s="14" t="s">
        <v>157</v>
      </c>
      <c r="L391" s="14" t="s">
        <v>68</v>
      </c>
      <c r="M391" s="14"/>
      <c r="N391" s="14"/>
      <c r="O391" s="15"/>
      <c r="P391" s="19">
        <v>0</v>
      </c>
      <c r="Q391" s="19">
        <v>0</v>
      </c>
      <c r="R391" s="19">
        <v>0</v>
      </c>
      <c r="S391" s="19">
        <v>0</v>
      </c>
      <c r="T391" s="19">
        <v>0</v>
      </c>
      <c r="U391" s="14" t="s">
        <v>69</v>
      </c>
      <c r="V391" s="14" t="s">
        <v>69</v>
      </c>
      <c r="W391" s="14" t="s">
        <v>69</v>
      </c>
      <c r="X391" s="14" t="s">
        <v>69</v>
      </c>
      <c r="Y391" s="14" t="s">
        <v>69</v>
      </c>
      <c r="AM391">
        <f>COUNTIF(P391:T391,"&gt;0")</f>
      </c>
      <c r="AN391">
        <f>COUNTIF(P391,"&gt;0")</f>
      </c>
      <c r="AO391">
        <f>COUNTIF(Q391,"&gt;0")</f>
      </c>
      <c r="AP391">
        <f>COUNTIF(R391,"&gt;0")</f>
      </c>
      <c r="AQ391">
        <f>COUNTIF(S391,"&gt;0")</f>
      </c>
      <c r="AR391">
        <f>COUNTIF(T391,"&gt;0")</f>
      </c>
      <c r="AX391" t="s">
        <v>458</v>
      </c>
      <c r="AY391" t="s">
        <v>470</v>
      </c>
    </row>
    <row r="392" ht="18" customHeight="1" spans="1:51" x14ac:dyDescent="0.25">
      <c r="A392" s="14"/>
      <c r="B392" s="14"/>
      <c r="C392" s="14"/>
      <c r="D392" s="14"/>
      <c r="E392" s="14"/>
      <c r="F392" s="15"/>
      <c r="G392" s="15"/>
      <c r="H392" s="14" t="s">
        <v>71</v>
      </c>
      <c r="I392" s="16"/>
      <c r="J392" s="17"/>
      <c r="K392" s="14"/>
      <c r="L392" s="14"/>
      <c r="M392" s="14"/>
      <c r="N392" s="14"/>
      <c r="O392" s="15"/>
      <c r="P392" s="20">
        <v>0</v>
      </c>
      <c r="Q392" s="20">
        <v>0</v>
      </c>
      <c r="R392" s="20">
        <v>0</v>
      </c>
      <c r="S392" s="20">
        <v>0</v>
      </c>
      <c r="T392" s="20">
        <v>0</v>
      </c>
      <c r="U392" s="21" t="s">
        <v>69</v>
      </c>
      <c r="V392" s="21" t="s">
        <v>69</v>
      </c>
      <c r="W392" s="21" t="s">
        <v>69</v>
      </c>
      <c r="X392" s="21" t="s">
        <v>69</v>
      </c>
      <c r="Y392" s="21" t="s">
        <v>69</v>
      </c>
      <c r="AL392">
        <f>COUNTIF(P392:T392,"&gt;0")</f>
      </c>
      <c r="AS392">
        <f>COUNTIF(P392,"&gt;0")</f>
      </c>
      <c r="AT392">
        <f>COUNTIF(Q392,"&gt;0")</f>
      </c>
      <c r="AU392">
        <f>COUNTIF(R392,"&gt;0")</f>
      </c>
      <c r="AV392">
        <f>COUNTIF(S392,"&gt;0")</f>
      </c>
      <c r="AW392">
        <f>COUNTIF(T392,"&gt;0")</f>
      </c>
      <c r="AX392" t="s">
        <v>458</v>
      </c>
      <c r="AY392" t="s">
        <v>470</v>
      </c>
    </row>
    <row r="393" ht="28" customHeight="1" spans="1:51" x14ac:dyDescent="0.25">
      <c r="A393" s="14"/>
      <c r="B393" s="14"/>
      <c r="C393" s="14"/>
      <c r="D393" s="14"/>
      <c r="E393" s="14"/>
      <c r="F393" s="15" t="s">
        <v>328</v>
      </c>
      <c r="G393" s="15" t="s">
        <v>390</v>
      </c>
      <c r="H393" s="14" t="s">
        <v>66</v>
      </c>
      <c r="I393" s="16">
        <v>3</v>
      </c>
      <c r="J393" s="17">
        <v>3</v>
      </c>
      <c r="K393" s="14" t="s">
        <v>157</v>
      </c>
      <c r="L393" s="14" t="s">
        <v>68</v>
      </c>
      <c r="M393" s="14"/>
      <c r="N393" s="14"/>
      <c r="O393" s="15"/>
      <c r="P393" s="19">
        <v>0</v>
      </c>
      <c r="Q393" s="19">
        <v>0</v>
      </c>
      <c r="R393" s="19">
        <v>0</v>
      </c>
      <c r="S393" s="19">
        <v>0</v>
      </c>
      <c r="T393" s="19">
        <v>0</v>
      </c>
      <c r="U393" s="14" t="s">
        <v>69</v>
      </c>
      <c r="V393" s="14" t="s">
        <v>69</v>
      </c>
      <c r="W393" s="14" t="s">
        <v>69</v>
      </c>
      <c r="X393" s="14" t="s">
        <v>69</v>
      </c>
      <c r="Y393" s="14" t="s">
        <v>69</v>
      </c>
      <c r="AM393">
        <f>COUNTIF(P393:T393,"&gt;0")</f>
      </c>
      <c r="AN393">
        <f>COUNTIF(P393,"&gt;0")</f>
      </c>
      <c r="AO393">
        <f>COUNTIF(Q393,"&gt;0")</f>
      </c>
      <c r="AP393">
        <f>COUNTIF(R393,"&gt;0")</f>
      </c>
      <c r="AQ393">
        <f>COUNTIF(S393,"&gt;0")</f>
      </c>
      <c r="AR393">
        <f>COUNTIF(T393,"&gt;0")</f>
      </c>
      <c r="AX393" t="s">
        <v>458</v>
      </c>
      <c r="AY393" t="s">
        <v>471</v>
      </c>
    </row>
    <row r="394" ht="18" customHeight="1" spans="1:51" x14ac:dyDescent="0.25">
      <c r="A394" s="14"/>
      <c r="B394" s="14"/>
      <c r="C394" s="14"/>
      <c r="D394" s="14"/>
      <c r="E394" s="14"/>
      <c r="F394" s="15"/>
      <c r="G394" s="15"/>
      <c r="H394" s="14" t="s">
        <v>71</v>
      </c>
      <c r="I394" s="16"/>
      <c r="J394" s="17"/>
      <c r="K394" s="14"/>
      <c r="L394" s="14"/>
      <c r="M394" s="14"/>
      <c r="N394" s="14"/>
      <c r="O394" s="15"/>
      <c r="P394" s="20">
        <v>0</v>
      </c>
      <c r="Q394" s="20">
        <v>0</v>
      </c>
      <c r="R394" s="20">
        <v>0</v>
      </c>
      <c r="S394" s="20">
        <v>0</v>
      </c>
      <c r="T394" s="20">
        <v>0</v>
      </c>
      <c r="U394" s="21" t="s">
        <v>69</v>
      </c>
      <c r="V394" s="21" t="s">
        <v>69</v>
      </c>
      <c r="W394" s="21" t="s">
        <v>69</v>
      </c>
      <c r="X394" s="21" t="s">
        <v>69</v>
      </c>
      <c r="Y394" s="21" t="s">
        <v>69</v>
      </c>
      <c r="AL394">
        <f>COUNTIF(P394:T394,"&gt;0")</f>
      </c>
      <c r="AS394">
        <f>COUNTIF(P394,"&gt;0")</f>
      </c>
      <c r="AT394">
        <f>COUNTIF(Q394,"&gt;0")</f>
      </c>
      <c r="AU394">
        <f>COUNTIF(R394,"&gt;0")</f>
      </c>
      <c r="AV394">
        <f>COUNTIF(S394,"&gt;0")</f>
      </c>
      <c r="AW394">
        <f>COUNTIF(T394,"&gt;0")</f>
      </c>
      <c r="AX394" t="s">
        <v>458</v>
      </c>
      <c r="AY394" t="s">
        <v>471</v>
      </c>
    </row>
    <row r="395" ht="28" customHeight="1" spans="1:51" x14ac:dyDescent="0.25">
      <c r="A395" s="14"/>
      <c r="B395" s="14"/>
      <c r="C395" s="14"/>
      <c r="D395" s="14"/>
      <c r="E395" s="14"/>
      <c r="F395" s="15" t="s">
        <v>392</v>
      </c>
      <c r="G395" s="15" t="s">
        <v>393</v>
      </c>
      <c r="H395" s="14" t="s">
        <v>66</v>
      </c>
      <c r="I395" s="16">
        <v>3</v>
      </c>
      <c r="J395" s="17">
        <v>3</v>
      </c>
      <c r="K395" s="14" t="s">
        <v>157</v>
      </c>
      <c r="L395" s="14" t="s">
        <v>68</v>
      </c>
      <c r="M395" s="14"/>
      <c r="N395" s="14"/>
      <c r="O395" s="15"/>
      <c r="P395" s="19">
        <v>0</v>
      </c>
      <c r="Q395" s="19">
        <v>0</v>
      </c>
      <c r="R395" s="24">
        <v>3</v>
      </c>
      <c r="S395" s="19">
        <v>0</v>
      </c>
      <c r="T395" s="19">
        <v>0</v>
      </c>
      <c r="U395" s="14" t="s">
        <v>69</v>
      </c>
      <c r="V395" s="14" t="s">
        <v>69</v>
      </c>
      <c r="W395" s="14" t="s">
        <v>69</v>
      </c>
      <c r="X395" s="14" t="s">
        <v>69</v>
      </c>
      <c r="Y395" s="14" t="s">
        <v>69</v>
      </c>
      <c r="AM395">
        <f>COUNTIF(P395:T395,"&gt;0")</f>
      </c>
      <c r="AN395">
        <f>COUNTIF(P395,"&gt;0")</f>
      </c>
      <c r="AO395">
        <f>COUNTIF(Q395,"&gt;0")</f>
      </c>
      <c r="AP395">
        <f>COUNTIF(R395,"&gt;0")</f>
      </c>
      <c r="AQ395">
        <f>COUNTIF(S395,"&gt;0")</f>
      </c>
      <c r="AR395">
        <f>COUNTIF(T395,"&gt;0")</f>
      </c>
      <c r="AX395" t="s">
        <v>458</v>
      </c>
      <c r="AY395" t="s">
        <v>472</v>
      </c>
    </row>
    <row r="396" ht="18" customHeight="1" spans="1:51" x14ac:dyDescent="0.25">
      <c r="A396" s="14"/>
      <c r="B396" s="14"/>
      <c r="C396" s="14"/>
      <c r="D396" s="14"/>
      <c r="E396" s="14"/>
      <c r="F396" s="15"/>
      <c r="G396" s="15"/>
      <c r="H396" s="14" t="s">
        <v>71</v>
      </c>
      <c r="I396" s="16"/>
      <c r="J396" s="17"/>
      <c r="K396" s="14"/>
      <c r="L396" s="14"/>
      <c r="M396" s="14"/>
      <c r="N396" s="14"/>
      <c r="O396" s="15"/>
      <c r="P396" s="20">
        <v>0</v>
      </c>
      <c r="Q396" s="20">
        <v>0</v>
      </c>
      <c r="R396" s="20">
        <v>0</v>
      </c>
      <c r="S396" s="20">
        <v>0</v>
      </c>
      <c r="T396" s="20">
        <v>0</v>
      </c>
      <c r="U396" s="21" t="s">
        <v>69</v>
      </c>
      <c r="V396" s="21" t="s">
        <v>69</v>
      </c>
      <c r="W396" s="21" t="s">
        <v>69</v>
      </c>
      <c r="X396" s="21" t="s">
        <v>69</v>
      </c>
      <c r="Y396" s="21" t="s">
        <v>69</v>
      </c>
      <c r="AL396">
        <f>COUNTIF(P396:T396,"&gt;0")</f>
      </c>
      <c r="AS396">
        <f>COUNTIF(P396,"&gt;0")</f>
      </c>
      <c r="AT396">
        <f>COUNTIF(Q396,"&gt;0")</f>
      </c>
      <c r="AU396">
        <f>COUNTIF(R396,"&gt;0")</f>
      </c>
      <c r="AV396">
        <f>COUNTIF(S396,"&gt;0")</f>
      </c>
      <c r="AW396">
        <f>COUNTIF(T396,"&gt;0")</f>
      </c>
      <c r="AX396" t="s">
        <v>458</v>
      </c>
      <c r="AY396" t="s">
        <v>472</v>
      </c>
    </row>
    <row r="397" ht="28" customHeight="1" spans="1:51" x14ac:dyDescent="0.25">
      <c r="A397" s="14"/>
      <c r="B397" s="14"/>
      <c r="C397" s="14"/>
      <c r="D397" s="14"/>
      <c r="E397" s="14"/>
      <c r="F397" s="15" t="s">
        <v>395</v>
      </c>
      <c r="G397" s="15" t="s">
        <v>396</v>
      </c>
      <c r="H397" s="14" t="s">
        <v>66</v>
      </c>
      <c r="I397" s="16">
        <v>5</v>
      </c>
      <c r="J397" s="17">
        <v>12</v>
      </c>
      <c r="K397" s="14" t="s">
        <v>141</v>
      </c>
      <c r="L397" s="14" t="s">
        <v>68</v>
      </c>
      <c r="M397" s="14"/>
      <c r="N397" s="14"/>
      <c r="O397" s="15"/>
      <c r="P397" s="19">
        <v>0</v>
      </c>
      <c r="Q397" s="19">
        <v>0</v>
      </c>
      <c r="R397" s="19">
        <v>0</v>
      </c>
      <c r="S397" s="19">
        <v>0</v>
      </c>
      <c r="T397" s="19">
        <v>0</v>
      </c>
      <c r="U397" s="14" t="s">
        <v>69</v>
      </c>
      <c r="V397" s="14" t="s">
        <v>69</v>
      </c>
      <c r="W397" s="14" t="s">
        <v>69</v>
      </c>
      <c r="X397" s="14" t="s">
        <v>69</v>
      </c>
      <c r="Y397" s="14" t="s">
        <v>69</v>
      </c>
      <c r="AM397">
        <f>COUNTIF(P397:T397,"&gt;0")</f>
      </c>
      <c r="AN397">
        <f>COUNTIF(P397,"&gt;0")</f>
      </c>
      <c r="AO397">
        <f>COUNTIF(Q397,"&gt;0")</f>
      </c>
      <c r="AP397">
        <f>COUNTIF(R397,"&gt;0")</f>
      </c>
      <c r="AQ397">
        <f>COUNTIF(S397,"&gt;0")</f>
      </c>
      <c r="AR397">
        <f>COUNTIF(T397,"&gt;0")</f>
      </c>
      <c r="AX397" t="s">
        <v>458</v>
      </c>
      <c r="AY397" t="s">
        <v>473</v>
      </c>
    </row>
    <row r="398" ht="18" customHeight="1" spans="1:51" x14ac:dyDescent="0.25">
      <c r="A398" s="14"/>
      <c r="B398" s="14"/>
      <c r="C398" s="14"/>
      <c r="D398" s="14"/>
      <c r="E398" s="14"/>
      <c r="F398" s="15"/>
      <c r="G398" s="15"/>
      <c r="H398" s="14" t="s">
        <v>71</v>
      </c>
      <c r="I398" s="16"/>
      <c r="J398" s="17"/>
      <c r="K398" s="14"/>
      <c r="L398" s="14"/>
      <c r="M398" s="14"/>
      <c r="N398" s="14"/>
      <c r="O398" s="15"/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1" t="s">
        <v>69</v>
      </c>
      <c r="V398" s="21" t="s">
        <v>69</v>
      </c>
      <c r="W398" s="21" t="s">
        <v>69</v>
      </c>
      <c r="X398" s="21" t="s">
        <v>69</v>
      </c>
      <c r="Y398" s="21" t="s">
        <v>69</v>
      </c>
      <c r="AL398">
        <f>COUNTIF(P398:T398,"&gt;0")</f>
      </c>
      <c r="AS398">
        <f>COUNTIF(P398,"&gt;0")</f>
      </c>
      <c r="AT398">
        <f>COUNTIF(Q398,"&gt;0")</f>
      </c>
      <c r="AU398">
        <f>COUNTIF(R398,"&gt;0")</f>
      </c>
      <c r="AV398">
        <f>COUNTIF(S398,"&gt;0")</f>
      </c>
      <c r="AW398">
        <f>COUNTIF(T398,"&gt;0")</f>
      </c>
      <c r="AX398" t="s">
        <v>458</v>
      </c>
      <c r="AY398" t="s">
        <v>473</v>
      </c>
    </row>
    <row r="399" ht="28" customHeight="1" spans="1:51" x14ac:dyDescent="0.25">
      <c r="A399" s="14"/>
      <c r="B399" s="14"/>
      <c r="C399" s="14"/>
      <c r="D399" s="14"/>
      <c r="E399" s="14"/>
      <c r="F399" s="15" t="s">
        <v>398</v>
      </c>
      <c r="G399" s="15" t="s">
        <v>399</v>
      </c>
      <c r="H399" s="14" t="s">
        <v>66</v>
      </c>
      <c r="I399" s="16">
        <v>5</v>
      </c>
      <c r="J399" s="17">
        <v>12</v>
      </c>
      <c r="K399" s="14" t="s">
        <v>141</v>
      </c>
      <c r="L399" s="14" t="s">
        <v>68</v>
      </c>
      <c r="M399" s="14"/>
      <c r="N399" s="14"/>
      <c r="O399" s="15"/>
      <c r="P399" s="19">
        <v>0</v>
      </c>
      <c r="Q399" s="19">
        <v>0</v>
      </c>
      <c r="R399" s="19">
        <v>0</v>
      </c>
      <c r="S399" s="19">
        <v>0</v>
      </c>
      <c r="T399" s="19">
        <v>0</v>
      </c>
      <c r="U399" s="14" t="s">
        <v>69</v>
      </c>
      <c r="V399" s="14" t="s">
        <v>69</v>
      </c>
      <c r="W399" s="14" t="s">
        <v>69</v>
      </c>
      <c r="X399" s="14" t="s">
        <v>69</v>
      </c>
      <c r="Y399" s="14" t="s">
        <v>69</v>
      </c>
      <c r="AM399">
        <f>COUNTIF(P399:T399,"&gt;0")</f>
      </c>
      <c r="AN399">
        <f>COUNTIF(P399,"&gt;0")</f>
      </c>
      <c r="AO399">
        <f>COUNTIF(Q399,"&gt;0")</f>
      </c>
      <c r="AP399">
        <f>COUNTIF(R399,"&gt;0")</f>
      </c>
      <c r="AQ399">
        <f>COUNTIF(S399,"&gt;0")</f>
      </c>
      <c r="AR399">
        <f>COUNTIF(T399,"&gt;0")</f>
      </c>
      <c r="AX399" t="s">
        <v>458</v>
      </c>
      <c r="AY399" t="s">
        <v>474</v>
      </c>
    </row>
    <row r="400" ht="18" customHeight="1" spans="1:51" x14ac:dyDescent="0.25">
      <c r="A400" s="14"/>
      <c r="B400" s="14"/>
      <c r="C400" s="14"/>
      <c r="D400" s="14"/>
      <c r="E400" s="14"/>
      <c r="F400" s="15"/>
      <c r="G400" s="15"/>
      <c r="H400" s="14" t="s">
        <v>71</v>
      </c>
      <c r="I400" s="16"/>
      <c r="J400" s="17"/>
      <c r="K400" s="14"/>
      <c r="L400" s="14"/>
      <c r="M400" s="14"/>
      <c r="N400" s="14"/>
      <c r="O400" s="15"/>
      <c r="P400" s="20">
        <v>0</v>
      </c>
      <c r="Q400" s="20">
        <v>0</v>
      </c>
      <c r="R400" s="20">
        <v>0</v>
      </c>
      <c r="S400" s="20">
        <v>0</v>
      </c>
      <c r="T400" s="20">
        <v>0</v>
      </c>
      <c r="U400" s="21" t="s">
        <v>69</v>
      </c>
      <c r="V400" s="21" t="s">
        <v>69</v>
      </c>
      <c r="W400" s="21" t="s">
        <v>69</v>
      </c>
      <c r="X400" s="21" t="s">
        <v>69</v>
      </c>
      <c r="Y400" s="21" t="s">
        <v>69</v>
      </c>
      <c r="AL400">
        <f>COUNTIF(P400:T400,"&gt;0")</f>
      </c>
      <c r="AS400">
        <f>COUNTIF(P400,"&gt;0")</f>
      </c>
      <c r="AT400">
        <f>COUNTIF(Q400,"&gt;0")</f>
      </c>
      <c r="AU400">
        <f>COUNTIF(R400,"&gt;0")</f>
      </c>
      <c r="AV400">
        <f>COUNTIF(S400,"&gt;0")</f>
      </c>
      <c r="AW400">
        <f>COUNTIF(T400,"&gt;0")</f>
      </c>
      <c r="AX400" t="s">
        <v>458</v>
      </c>
      <c r="AY400" t="s">
        <v>474</v>
      </c>
    </row>
    <row r="401" ht="28" customHeight="1" spans="1:51" x14ac:dyDescent="0.25">
      <c r="A401" s="14"/>
      <c r="B401" s="14"/>
      <c r="C401" s="14"/>
      <c r="D401" s="14"/>
      <c r="E401" s="14"/>
      <c r="F401" s="15" t="s">
        <v>401</v>
      </c>
      <c r="G401" s="15" t="s">
        <v>402</v>
      </c>
      <c r="H401" s="14" t="s">
        <v>66</v>
      </c>
      <c r="I401" s="16">
        <v>5</v>
      </c>
      <c r="J401" s="17">
        <v>12</v>
      </c>
      <c r="K401" s="14" t="s">
        <v>141</v>
      </c>
      <c r="L401" s="14" t="s">
        <v>68</v>
      </c>
      <c r="M401" s="14"/>
      <c r="N401" s="14"/>
      <c r="O401" s="15"/>
      <c r="P401" s="19">
        <v>0</v>
      </c>
      <c r="Q401" s="19">
        <v>0</v>
      </c>
      <c r="R401" s="19">
        <v>0</v>
      </c>
      <c r="S401" s="19">
        <v>0</v>
      </c>
      <c r="T401" s="19">
        <v>0</v>
      </c>
      <c r="U401" s="14" t="s">
        <v>69</v>
      </c>
      <c r="V401" s="14" t="s">
        <v>69</v>
      </c>
      <c r="W401" s="14" t="s">
        <v>69</v>
      </c>
      <c r="X401" s="14" t="s">
        <v>69</v>
      </c>
      <c r="Y401" s="14" t="s">
        <v>69</v>
      </c>
      <c r="AM401">
        <f>COUNTIF(P401:T401,"&gt;0")</f>
      </c>
      <c r="AN401">
        <f>COUNTIF(P401,"&gt;0")</f>
      </c>
      <c r="AO401">
        <f>COUNTIF(Q401,"&gt;0")</f>
      </c>
      <c r="AP401">
        <f>COUNTIF(R401,"&gt;0")</f>
      </c>
      <c r="AQ401">
        <f>COUNTIF(S401,"&gt;0")</f>
      </c>
      <c r="AR401">
        <f>COUNTIF(T401,"&gt;0")</f>
      </c>
      <c r="AX401" t="s">
        <v>458</v>
      </c>
      <c r="AY401" t="s">
        <v>475</v>
      </c>
    </row>
    <row r="402" ht="18" customHeight="1" spans="1:51" x14ac:dyDescent="0.25">
      <c r="A402" s="14"/>
      <c r="B402" s="14"/>
      <c r="C402" s="14"/>
      <c r="D402" s="14"/>
      <c r="E402" s="14"/>
      <c r="F402" s="15"/>
      <c r="G402" s="15"/>
      <c r="H402" s="14" t="s">
        <v>71</v>
      </c>
      <c r="I402" s="16"/>
      <c r="J402" s="17"/>
      <c r="K402" s="14"/>
      <c r="L402" s="14"/>
      <c r="M402" s="14"/>
      <c r="N402" s="14"/>
      <c r="O402" s="15"/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1" t="s">
        <v>69</v>
      </c>
      <c r="V402" s="21" t="s">
        <v>69</v>
      </c>
      <c r="W402" s="21" t="s">
        <v>69</v>
      </c>
      <c r="X402" s="21" t="s">
        <v>69</v>
      </c>
      <c r="Y402" s="21" t="s">
        <v>69</v>
      </c>
      <c r="AL402">
        <f>COUNTIF(P402:T402,"&gt;0")</f>
      </c>
      <c r="AS402">
        <f>COUNTIF(P402,"&gt;0")</f>
      </c>
      <c r="AT402">
        <f>COUNTIF(Q402,"&gt;0")</f>
      </c>
      <c r="AU402">
        <f>COUNTIF(R402,"&gt;0")</f>
      </c>
      <c r="AV402">
        <f>COUNTIF(S402,"&gt;0")</f>
      </c>
      <c r="AW402">
        <f>COUNTIF(T402,"&gt;0")</f>
      </c>
      <c r="AX402" t="s">
        <v>458</v>
      </c>
      <c r="AY402" t="s">
        <v>475</v>
      </c>
    </row>
    <row r="403" ht="28" customHeight="1" spans="1:51" x14ac:dyDescent="0.25">
      <c r="A403" s="14"/>
      <c r="B403" s="14" t="s">
        <v>476</v>
      </c>
      <c r="C403" s="14" t="s">
        <v>477</v>
      </c>
      <c r="D403" s="14" t="s">
        <v>478</v>
      </c>
      <c r="E403" s="14" t="s">
        <v>118</v>
      </c>
      <c r="F403" s="15" t="s">
        <v>362</v>
      </c>
      <c r="G403" s="15" t="s">
        <v>363</v>
      </c>
      <c r="H403" s="14" t="s">
        <v>66</v>
      </c>
      <c r="I403" s="16">
        <v>2</v>
      </c>
      <c r="J403" s="17">
        <v>1</v>
      </c>
      <c r="K403" s="14" t="s">
        <v>67</v>
      </c>
      <c r="L403" s="14" t="s">
        <v>68</v>
      </c>
      <c r="M403" s="14"/>
      <c r="N403" s="14"/>
      <c r="O403" s="15"/>
      <c r="P403" s="19">
        <v>0</v>
      </c>
      <c r="Q403" s="19">
        <v>0</v>
      </c>
      <c r="R403" s="19">
        <v>0</v>
      </c>
      <c r="S403" s="19">
        <v>0</v>
      </c>
      <c r="T403" s="18">
        <v>2</v>
      </c>
      <c r="U403" s="14" t="s">
        <v>69</v>
      </c>
      <c r="V403" s="14" t="s">
        <v>69</v>
      </c>
      <c r="W403" s="14" t="s">
        <v>69</v>
      </c>
      <c r="X403" s="14" t="s">
        <v>69</v>
      </c>
      <c r="Y403" s="14" t="s">
        <v>69</v>
      </c>
      <c r="AM403">
        <f>COUNTIF(P403:T403,"&gt;0")</f>
      </c>
      <c r="AN403">
        <f>COUNTIF(P403,"&gt;0")</f>
      </c>
      <c r="AO403">
        <f>COUNTIF(Q403,"&gt;0")</f>
      </c>
      <c r="AP403">
        <f>COUNTIF(R403,"&gt;0")</f>
      </c>
      <c r="AQ403">
        <f>COUNTIF(S403,"&gt;0")</f>
      </c>
      <c r="AR403">
        <f>COUNTIF(T403,"&gt;0")</f>
      </c>
      <c r="AX403" t="s">
        <v>476</v>
      </c>
      <c r="AY403" t="s">
        <v>479</v>
      </c>
    </row>
    <row r="404" ht="18" customHeight="1" spans="1:51" x14ac:dyDescent="0.25">
      <c r="A404" s="14"/>
      <c r="B404" s="14"/>
      <c r="C404" s="14"/>
      <c r="D404" s="14"/>
      <c r="E404" s="14"/>
      <c r="F404" s="15"/>
      <c r="G404" s="15"/>
      <c r="H404" s="14" t="s">
        <v>71</v>
      </c>
      <c r="I404" s="16"/>
      <c r="J404" s="17"/>
      <c r="K404" s="14"/>
      <c r="L404" s="14"/>
      <c r="M404" s="14"/>
      <c r="N404" s="14"/>
      <c r="O404" s="15"/>
      <c r="P404" s="20">
        <v>0</v>
      </c>
      <c r="Q404" s="20">
        <v>0</v>
      </c>
      <c r="R404" s="20">
        <v>0</v>
      </c>
      <c r="S404" s="20">
        <v>0</v>
      </c>
      <c r="T404" s="20">
        <v>0</v>
      </c>
      <c r="U404" s="21" t="s">
        <v>69</v>
      </c>
      <c r="V404" s="21" t="s">
        <v>69</v>
      </c>
      <c r="W404" s="21" t="s">
        <v>69</v>
      </c>
      <c r="X404" s="21" t="s">
        <v>69</v>
      </c>
      <c r="Y404" s="21" t="s">
        <v>69</v>
      </c>
      <c r="AL404">
        <f>COUNTIF(P404:T404,"&gt;0")</f>
      </c>
      <c r="AS404">
        <f>COUNTIF(P404,"&gt;0")</f>
      </c>
      <c r="AT404">
        <f>COUNTIF(Q404,"&gt;0")</f>
      </c>
      <c r="AU404">
        <f>COUNTIF(R404,"&gt;0")</f>
      </c>
      <c r="AV404">
        <f>COUNTIF(S404,"&gt;0")</f>
      </c>
      <c r="AW404">
        <f>COUNTIF(T404,"&gt;0")</f>
      </c>
      <c r="AX404" t="s">
        <v>476</v>
      </c>
      <c r="AY404" t="s">
        <v>479</v>
      </c>
    </row>
    <row r="405" ht="28" customHeight="1" spans="1:51" x14ac:dyDescent="0.25">
      <c r="A405" s="14"/>
      <c r="B405" s="14"/>
      <c r="C405" s="14"/>
      <c r="D405" s="14"/>
      <c r="E405" s="14"/>
      <c r="F405" s="15" t="s">
        <v>365</v>
      </c>
      <c r="G405" s="15" t="s">
        <v>366</v>
      </c>
      <c r="H405" s="14" t="s">
        <v>66</v>
      </c>
      <c r="I405" s="16">
        <v>2</v>
      </c>
      <c r="J405" s="17">
        <v>1</v>
      </c>
      <c r="K405" s="14" t="s">
        <v>67</v>
      </c>
      <c r="L405" s="14" t="s">
        <v>68</v>
      </c>
      <c r="M405" s="14"/>
      <c r="N405" s="14"/>
      <c r="O405" s="15"/>
      <c r="P405" s="18">
        <v>2</v>
      </c>
      <c r="Q405" s="19">
        <v>0</v>
      </c>
      <c r="R405" s="19">
        <v>0</v>
      </c>
      <c r="S405" s="19">
        <v>0</v>
      </c>
      <c r="T405" s="19">
        <v>0</v>
      </c>
      <c r="U405" s="14" t="s">
        <v>69</v>
      </c>
      <c r="V405" s="14" t="s">
        <v>69</v>
      </c>
      <c r="W405" s="14" t="s">
        <v>69</v>
      </c>
      <c r="X405" s="14" t="s">
        <v>69</v>
      </c>
      <c r="Y405" s="14" t="s">
        <v>69</v>
      </c>
      <c r="AM405">
        <f>COUNTIF(P405:T405,"&gt;0")</f>
      </c>
      <c r="AN405">
        <f>COUNTIF(P405,"&gt;0")</f>
      </c>
      <c r="AO405">
        <f>COUNTIF(Q405,"&gt;0")</f>
      </c>
      <c r="AP405">
        <f>COUNTIF(R405,"&gt;0")</f>
      </c>
      <c r="AQ405">
        <f>COUNTIF(S405,"&gt;0")</f>
      </c>
      <c r="AR405">
        <f>COUNTIF(T405,"&gt;0")</f>
      </c>
      <c r="AX405" t="s">
        <v>476</v>
      </c>
      <c r="AY405" t="s">
        <v>480</v>
      </c>
    </row>
    <row r="406" ht="18" customHeight="1" spans="1:51" x14ac:dyDescent="0.25">
      <c r="A406" s="14"/>
      <c r="B406" s="14"/>
      <c r="C406" s="14"/>
      <c r="D406" s="14"/>
      <c r="E406" s="14"/>
      <c r="F406" s="15"/>
      <c r="G406" s="15"/>
      <c r="H406" s="14" t="s">
        <v>71</v>
      </c>
      <c r="I406" s="16"/>
      <c r="J406" s="17"/>
      <c r="K406" s="14"/>
      <c r="L406" s="14"/>
      <c r="M406" s="14"/>
      <c r="N406" s="14"/>
      <c r="O406" s="15"/>
      <c r="P406" s="20">
        <v>0</v>
      </c>
      <c r="Q406" s="20">
        <v>0</v>
      </c>
      <c r="R406" s="20">
        <v>0</v>
      </c>
      <c r="S406" s="20">
        <v>0</v>
      </c>
      <c r="T406" s="20">
        <v>0</v>
      </c>
      <c r="U406" s="21" t="s">
        <v>69</v>
      </c>
      <c r="V406" s="21" t="s">
        <v>69</v>
      </c>
      <c r="W406" s="21" t="s">
        <v>69</v>
      </c>
      <c r="X406" s="21" t="s">
        <v>69</v>
      </c>
      <c r="Y406" s="21" t="s">
        <v>69</v>
      </c>
      <c r="AL406">
        <f>COUNTIF(P406:T406,"&gt;0")</f>
      </c>
      <c r="AS406">
        <f>COUNTIF(P406,"&gt;0")</f>
      </c>
      <c r="AT406">
        <f>COUNTIF(Q406,"&gt;0")</f>
      </c>
      <c r="AU406">
        <f>COUNTIF(R406,"&gt;0")</f>
      </c>
      <c r="AV406">
        <f>COUNTIF(S406,"&gt;0")</f>
      </c>
      <c r="AW406">
        <f>COUNTIF(T406,"&gt;0")</f>
      </c>
      <c r="AX406" t="s">
        <v>476</v>
      </c>
      <c r="AY406" t="s">
        <v>480</v>
      </c>
    </row>
    <row r="407" ht="28" customHeight="1" spans="1:51" x14ac:dyDescent="0.25">
      <c r="A407" s="14"/>
      <c r="B407" s="14"/>
      <c r="C407" s="14"/>
      <c r="D407" s="14"/>
      <c r="E407" s="14"/>
      <c r="F407" s="15" t="s">
        <v>365</v>
      </c>
      <c r="G407" s="15" t="s">
        <v>368</v>
      </c>
      <c r="H407" s="14" t="s">
        <v>66</v>
      </c>
      <c r="I407" s="16">
        <v>2</v>
      </c>
      <c r="J407" s="17">
        <v>1</v>
      </c>
      <c r="K407" s="14" t="s">
        <v>67</v>
      </c>
      <c r="L407" s="14" t="s">
        <v>68</v>
      </c>
      <c r="M407" s="14"/>
      <c r="N407" s="14"/>
      <c r="O407" s="15"/>
      <c r="P407" s="19">
        <v>0</v>
      </c>
      <c r="Q407" s="18">
        <v>2</v>
      </c>
      <c r="R407" s="19">
        <v>0</v>
      </c>
      <c r="S407" s="19">
        <v>0</v>
      </c>
      <c r="T407" s="19">
        <v>0</v>
      </c>
      <c r="U407" s="14" t="s">
        <v>69</v>
      </c>
      <c r="V407" s="14" t="s">
        <v>69</v>
      </c>
      <c r="W407" s="14" t="s">
        <v>69</v>
      </c>
      <c r="X407" s="14" t="s">
        <v>69</v>
      </c>
      <c r="Y407" s="14" t="s">
        <v>69</v>
      </c>
      <c r="AM407">
        <f>COUNTIF(P407:T407,"&gt;0")</f>
      </c>
      <c r="AN407">
        <f>COUNTIF(P407,"&gt;0")</f>
      </c>
      <c r="AO407">
        <f>COUNTIF(Q407,"&gt;0")</f>
      </c>
      <c r="AP407">
        <f>COUNTIF(R407,"&gt;0")</f>
      </c>
      <c r="AQ407">
        <f>COUNTIF(S407,"&gt;0")</f>
      </c>
      <c r="AR407">
        <f>COUNTIF(T407,"&gt;0")</f>
      </c>
      <c r="AX407" t="s">
        <v>476</v>
      </c>
      <c r="AY407" t="s">
        <v>481</v>
      </c>
    </row>
    <row r="408" ht="18" customHeight="1" spans="1:51" x14ac:dyDescent="0.25">
      <c r="A408" s="14"/>
      <c r="B408" s="14"/>
      <c r="C408" s="14"/>
      <c r="D408" s="14"/>
      <c r="E408" s="14"/>
      <c r="F408" s="15"/>
      <c r="G408" s="15"/>
      <c r="H408" s="14" t="s">
        <v>71</v>
      </c>
      <c r="I408" s="16"/>
      <c r="J408" s="17"/>
      <c r="K408" s="14"/>
      <c r="L408" s="14"/>
      <c r="M408" s="14"/>
      <c r="N408" s="14"/>
      <c r="O408" s="15"/>
      <c r="P408" s="20">
        <v>0</v>
      </c>
      <c r="Q408" s="20">
        <v>0</v>
      </c>
      <c r="R408" s="20">
        <v>0</v>
      </c>
      <c r="S408" s="20">
        <v>0</v>
      </c>
      <c r="T408" s="20">
        <v>0</v>
      </c>
      <c r="U408" s="21" t="s">
        <v>69</v>
      </c>
      <c r="V408" s="21" t="s">
        <v>69</v>
      </c>
      <c r="W408" s="21" t="s">
        <v>69</v>
      </c>
      <c r="X408" s="21" t="s">
        <v>69</v>
      </c>
      <c r="Y408" s="21" t="s">
        <v>69</v>
      </c>
      <c r="AL408">
        <f>COUNTIF(P408:T408,"&gt;0")</f>
      </c>
      <c r="AS408">
        <f>COUNTIF(P408,"&gt;0")</f>
      </c>
      <c r="AT408">
        <f>COUNTIF(Q408,"&gt;0")</f>
      </c>
      <c r="AU408">
        <f>COUNTIF(R408,"&gt;0")</f>
      </c>
      <c r="AV408">
        <f>COUNTIF(S408,"&gt;0")</f>
      </c>
      <c r="AW408">
        <f>COUNTIF(T408,"&gt;0")</f>
      </c>
      <c r="AX408" t="s">
        <v>476</v>
      </c>
      <c r="AY408" t="s">
        <v>481</v>
      </c>
    </row>
    <row r="409" ht="28" customHeight="1" spans="1:51" x14ac:dyDescent="0.25">
      <c r="A409" s="14"/>
      <c r="B409" s="14"/>
      <c r="C409" s="14"/>
      <c r="D409" s="14"/>
      <c r="E409" s="14"/>
      <c r="F409" s="15" t="s">
        <v>370</v>
      </c>
      <c r="G409" s="15" t="s">
        <v>371</v>
      </c>
      <c r="H409" s="14" t="s">
        <v>66</v>
      </c>
      <c r="I409" s="16">
        <v>2</v>
      </c>
      <c r="J409" s="17">
        <v>1</v>
      </c>
      <c r="K409" s="14" t="s">
        <v>67</v>
      </c>
      <c r="L409" s="14" t="s">
        <v>68</v>
      </c>
      <c r="M409" s="14"/>
      <c r="N409" s="14"/>
      <c r="O409" s="15"/>
      <c r="P409" s="19">
        <v>0</v>
      </c>
      <c r="Q409" s="19">
        <v>0</v>
      </c>
      <c r="R409" s="18">
        <v>2</v>
      </c>
      <c r="S409" s="19">
        <v>0</v>
      </c>
      <c r="T409" s="19">
        <v>0</v>
      </c>
      <c r="U409" s="14" t="s">
        <v>69</v>
      </c>
      <c r="V409" s="14" t="s">
        <v>69</v>
      </c>
      <c r="W409" s="14" t="s">
        <v>69</v>
      </c>
      <c r="X409" s="14" t="s">
        <v>69</v>
      </c>
      <c r="Y409" s="14" t="s">
        <v>69</v>
      </c>
      <c r="AM409">
        <f>COUNTIF(P409:T409,"&gt;0")</f>
      </c>
      <c r="AN409">
        <f>COUNTIF(P409,"&gt;0")</f>
      </c>
      <c r="AO409">
        <f>COUNTIF(Q409,"&gt;0")</f>
      </c>
      <c r="AP409">
        <f>COUNTIF(R409,"&gt;0")</f>
      </c>
      <c r="AQ409">
        <f>COUNTIF(S409,"&gt;0")</f>
      </c>
      <c r="AR409">
        <f>COUNTIF(T409,"&gt;0")</f>
      </c>
      <c r="AX409" t="s">
        <v>476</v>
      </c>
      <c r="AY409" t="s">
        <v>482</v>
      </c>
    </row>
    <row r="410" ht="18" customHeight="1" spans="1:51" x14ac:dyDescent="0.25">
      <c r="A410" s="14"/>
      <c r="B410" s="14"/>
      <c r="C410" s="14"/>
      <c r="D410" s="14"/>
      <c r="E410" s="14"/>
      <c r="F410" s="15"/>
      <c r="G410" s="15"/>
      <c r="H410" s="14" t="s">
        <v>71</v>
      </c>
      <c r="I410" s="16"/>
      <c r="J410" s="17"/>
      <c r="K410" s="14"/>
      <c r="L410" s="14"/>
      <c r="M410" s="14"/>
      <c r="N410" s="14"/>
      <c r="O410" s="15"/>
      <c r="P410" s="20">
        <v>0</v>
      </c>
      <c r="Q410" s="20">
        <v>0</v>
      </c>
      <c r="R410" s="20">
        <v>0</v>
      </c>
      <c r="S410" s="20">
        <v>0</v>
      </c>
      <c r="T410" s="20">
        <v>0</v>
      </c>
      <c r="U410" s="21" t="s">
        <v>69</v>
      </c>
      <c r="V410" s="21" t="s">
        <v>69</v>
      </c>
      <c r="W410" s="21" t="s">
        <v>69</v>
      </c>
      <c r="X410" s="21" t="s">
        <v>69</v>
      </c>
      <c r="Y410" s="21" t="s">
        <v>69</v>
      </c>
      <c r="AL410">
        <f>COUNTIF(P410:T410,"&gt;0")</f>
      </c>
      <c r="AS410">
        <f>COUNTIF(P410,"&gt;0")</f>
      </c>
      <c r="AT410">
        <f>COUNTIF(Q410,"&gt;0")</f>
      </c>
      <c r="AU410">
        <f>COUNTIF(R410,"&gt;0")</f>
      </c>
      <c r="AV410">
        <f>COUNTIF(S410,"&gt;0")</f>
      </c>
      <c r="AW410">
        <f>COUNTIF(T410,"&gt;0")</f>
      </c>
      <c r="AX410" t="s">
        <v>476</v>
      </c>
      <c r="AY410" t="s">
        <v>482</v>
      </c>
    </row>
    <row r="411" ht="28" customHeight="1" spans="1:51" x14ac:dyDescent="0.25">
      <c r="A411" s="14"/>
      <c r="B411" s="14"/>
      <c r="C411" s="14"/>
      <c r="D411" s="14"/>
      <c r="E411" s="14"/>
      <c r="F411" s="15" t="s">
        <v>373</v>
      </c>
      <c r="G411" s="15" t="s">
        <v>374</v>
      </c>
      <c r="H411" s="14" t="s">
        <v>66</v>
      </c>
      <c r="I411" s="16">
        <v>2</v>
      </c>
      <c r="J411" s="17">
        <v>1</v>
      </c>
      <c r="K411" s="14" t="s">
        <v>67</v>
      </c>
      <c r="L411" s="14" t="s">
        <v>68</v>
      </c>
      <c r="M411" s="14"/>
      <c r="N411" s="14"/>
      <c r="O411" s="15"/>
      <c r="P411" s="19">
        <v>0</v>
      </c>
      <c r="Q411" s="19">
        <v>0</v>
      </c>
      <c r="R411" s="19">
        <v>0</v>
      </c>
      <c r="S411" s="18">
        <v>2</v>
      </c>
      <c r="T411" s="19">
        <v>0</v>
      </c>
      <c r="U411" s="14" t="s">
        <v>69</v>
      </c>
      <c r="V411" s="14" t="s">
        <v>69</v>
      </c>
      <c r="W411" s="14" t="s">
        <v>69</v>
      </c>
      <c r="X411" s="14" t="s">
        <v>69</v>
      </c>
      <c r="Y411" s="14" t="s">
        <v>69</v>
      </c>
      <c r="AM411">
        <f>COUNTIF(P411:T411,"&gt;0")</f>
      </c>
      <c r="AN411">
        <f>COUNTIF(P411,"&gt;0")</f>
      </c>
      <c r="AO411">
        <f>COUNTIF(Q411,"&gt;0")</f>
      </c>
      <c r="AP411">
        <f>COUNTIF(R411,"&gt;0")</f>
      </c>
      <c r="AQ411">
        <f>COUNTIF(S411,"&gt;0")</f>
      </c>
      <c r="AR411">
        <f>COUNTIF(T411,"&gt;0")</f>
      </c>
      <c r="AX411" t="s">
        <v>476</v>
      </c>
      <c r="AY411" t="s">
        <v>483</v>
      </c>
    </row>
    <row r="412" ht="18" customHeight="1" spans="1:51" x14ac:dyDescent="0.25">
      <c r="A412" s="14"/>
      <c r="B412" s="14"/>
      <c r="C412" s="14"/>
      <c r="D412" s="14"/>
      <c r="E412" s="14"/>
      <c r="F412" s="15"/>
      <c r="G412" s="15"/>
      <c r="H412" s="14" t="s">
        <v>71</v>
      </c>
      <c r="I412" s="16"/>
      <c r="J412" s="17"/>
      <c r="K412" s="14"/>
      <c r="L412" s="14"/>
      <c r="M412" s="14"/>
      <c r="N412" s="14"/>
      <c r="O412" s="15"/>
      <c r="P412" s="20">
        <v>0</v>
      </c>
      <c r="Q412" s="20">
        <v>0</v>
      </c>
      <c r="R412" s="20">
        <v>0</v>
      </c>
      <c r="S412" s="20">
        <v>0</v>
      </c>
      <c r="T412" s="20">
        <v>0</v>
      </c>
      <c r="U412" s="21" t="s">
        <v>69</v>
      </c>
      <c r="V412" s="21" t="s">
        <v>69</v>
      </c>
      <c r="W412" s="21" t="s">
        <v>69</v>
      </c>
      <c r="X412" s="21" t="s">
        <v>69</v>
      </c>
      <c r="Y412" s="21" t="s">
        <v>69</v>
      </c>
      <c r="AL412">
        <f>COUNTIF(P412:T412,"&gt;0")</f>
      </c>
      <c r="AS412">
        <f>COUNTIF(P412,"&gt;0")</f>
      </c>
      <c r="AT412">
        <f>COUNTIF(Q412,"&gt;0")</f>
      </c>
      <c r="AU412">
        <f>COUNTIF(R412,"&gt;0")</f>
      </c>
      <c r="AV412">
        <f>COUNTIF(S412,"&gt;0")</f>
      </c>
      <c r="AW412">
        <f>COUNTIF(T412,"&gt;0")</f>
      </c>
      <c r="AX412" t="s">
        <v>476</v>
      </c>
      <c r="AY412" t="s">
        <v>483</v>
      </c>
    </row>
    <row r="413" ht="28" customHeight="1" spans="1:51" x14ac:dyDescent="0.25">
      <c r="A413" s="14"/>
      <c r="B413" s="14"/>
      <c r="C413" s="14"/>
      <c r="D413" s="14"/>
      <c r="E413" s="14"/>
      <c r="F413" s="15" t="s">
        <v>376</v>
      </c>
      <c r="G413" s="15" t="s">
        <v>377</v>
      </c>
      <c r="H413" s="14" t="s">
        <v>66</v>
      </c>
      <c r="I413" s="16">
        <v>2</v>
      </c>
      <c r="J413" s="17">
        <v>1</v>
      </c>
      <c r="K413" s="14" t="s">
        <v>67</v>
      </c>
      <c r="L413" s="14" t="s">
        <v>68</v>
      </c>
      <c r="M413" s="14"/>
      <c r="N413" s="14"/>
      <c r="O413" s="15"/>
      <c r="P413" s="19">
        <v>0</v>
      </c>
      <c r="Q413" s="19">
        <v>0</v>
      </c>
      <c r="R413" s="19">
        <v>0</v>
      </c>
      <c r="S413" s="19">
        <v>0</v>
      </c>
      <c r="T413" s="18">
        <v>2</v>
      </c>
      <c r="U413" s="14" t="s">
        <v>69</v>
      </c>
      <c r="V413" s="14" t="s">
        <v>69</v>
      </c>
      <c r="W413" s="14" t="s">
        <v>69</v>
      </c>
      <c r="X413" s="14" t="s">
        <v>69</v>
      </c>
      <c r="Y413" s="14" t="s">
        <v>69</v>
      </c>
      <c r="AM413">
        <f>COUNTIF(P413:T413,"&gt;0")</f>
      </c>
      <c r="AN413">
        <f>COUNTIF(P413,"&gt;0")</f>
      </c>
      <c r="AO413">
        <f>COUNTIF(Q413,"&gt;0")</f>
      </c>
      <c r="AP413">
        <f>COUNTIF(R413,"&gt;0")</f>
      </c>
      <c r="AQ413">
        <f>COUNTIF(S413,"&gt;0")</f>
      </c>
      <c r="AR413">
        <f>COUNTIF(T413,"&gt;0")</f>
      </c>
      <c r="AX413" t="s">
        <v>476</v>
      </c>
      <c r="AY413" t="s">
        <v>484</v>
      </c>
    </row>
    <row r="414" ht="18" customHeight="1" spans="1:51" x14ac:dyDescent="0.25">
      <c r="A414" s="14"/>
      <c r="B414" s="14"/>
      <c r="C414" s="14"/>
      <c r="D414" s="14"/>
      <c r="E414" s="14"/>
      <c r="F414" s="15"/>
      <c r="G414" s="15"/>
      <c r="H414" s="14" t="s">
        <v>71</v>
      </c>
      <c r="I414" s="16"/>
      <c r="J414" s="17"/>
      <c r="K414" s="14"/>
      <c r="L414" s="14"/>
      <c r="M414" s="14"/>
      <c r="N414" s="14"/>
      <c r="O414" s="15"/>
      <c r="P414" s="20">
        <v>0</v>
      </c>
      <c r="Q414" s="20">
        <v>0</v>
      </c>
      <c r="R414" s="20">
        <v>0</v>
      </c>
      <c r="S414" s="20">
        <v>0</v>
      </c>
      <c r="T414" s="20">
        <v>0</v>
      </c>
      <c r="U414" s="21" t="s">
        <v>69</v>
      </c>
      <c r="V414" s="21" t="s">
        <v>69</v>
      </c>
      <c r="W414" s="21" t="s">
        <v>69</v>
      </c>
      <c r="X414" s="21" t="s">
        <v>69</v>
      </c>
      <c r="Y414" s="21" t="s">
        <v>69</v>
      </c>
      <c r="AL414">
        <f>COUNTIF(P414:T414,"&gt;0")</f>
      </c>
      <c r="AS414">
        <f>COUNTIF(P414,"&gt;0")</f>
      </c>
      <c r="AT414">
        <f>COUNTIF(Q414,"&gt;0")</f>
      </c>
      <c r="AU414">
        <f>COUNTIF(R414,"&gt;0")</f>
      </c>
      <c r="AV414">
        <f>COUNTIF(S414,"&gt;0")</f>
      </c>
      <c r="AW414">
        <f>COUNTIF(T414,"&gt;0")</f>
      </c>
      <c r="AX414" t="s">
        <v>476</v>
      </c>
      <c r="AY414" t="s">
        <v>484</v>
      </c>
    </row>
    <row r="415" ht="28" customHeight="1" spans="1:51" x14ac:dyDescent="0.25">
      <c r="A415" s="14"/>
      <c r="B415" s="14"/>
      <c r="C415" s="14"/>
      <c r="D415" s="14"/>
      <c r="E415" s="14"/>
      <c r="F415" s="15" t="s">
        <v>379</v>
      </c>
      <c r="G415" s="15" t="s">
        <v>380</v>
      </c>
      <c r="H415" s="14" t="s">
        <v>66</v>
      </c>
      <c r="I415" s="16">
        <v>2</v>
      </c>
      <c r="J415" s="17">
        <v>1</v>
      </c>
      <c r="K415" s="14" t="s">
        <v>67</v>
      </c>
      <c r="L415" s="14" t="s">
        <v>68</v>
      </c>
      <c r="M415" s="14"/>
      <c r="N415" s="14"/>
      <c r="O415" s="15"/>
      <c r="P415" s="18">
        <v>2</v>
      </c>
      <c r="Q415" s="19">
        <v>0</v>
      </c>
      <c r="R415" s="19">
        <v>0</v>
      </c>
      <c r="S415" s="19">
        <v>0</v>
      </c>
      <c r="T415" s="19">
        <v>0</v>
      </c>
      <c r="U415" s="14" t="s">
        <v>69</v>
      </c>
      <c r="V415" s="14" t="s">
        <v>69</v>
      </c>
      <c r="W415" s="14" t="s">
        <v>69</v>
      </c>
      <c r="X415" s="14" t="s">
        <v>69</v>
      </c>
      <c r="Y415" s="14" t="s">
        <v>69</v>
      </c>
      <c r="AM415">
        <f>COUNTIF(P415:T415,"&gt;0")</f>
      </c>
      <c r="AN415">
        <f>COUNTIF(P415,"&gt;0")</f>
      </c>
      <c r="AO415">
        <f>COUNTIF(Q415,"&gt;0")</f>
      </c>
      <c r="AP415">
        <f>COUNTIF(R415,"&gt;0")</f>
      </c>
      <c r="AQ415">
        <f>COUNTIF(S415,"&gt;0")</f>
      </c>
      <c r="AR415">
        <f>COUNTIF(T415,"&gt;0")</f>
      </c>
      <c r="AX415" t="s">
        <v>476</v>
      </c>
      <c r="AY415" t="s">
        <v>485</v>
      </c>
    </row>
    <row r="416" ht="18" customHeight="1" spans="1:51" x14ac:dyDescent="0.25">
      <c r="A416" s="14"/>
      <c r="B416" s="14"/>
      <c r="C416" s="14"/>
      <c r="D416" s="14"/>
      <c r="E416" s="14"/>
      <c r="F416" s="15"/>
      <c r="G416" s="15"/>
      <c r="H416" s="14" t="s">
        <v>71</v>
      </c>
      <c r="I416" s="16"/>
      <c r="J416" s="17"/>
      <c r="K416" s="14"/>
      <c r="L416" s="14"/>
      <c r="M416" s="14"/>
      <c r="N416" s="14"/>
      <c r="O416" s="15"/>
      <c r="P416" s="20">
        <v>0</v>
      </c>
      <c r="Q416" s="20">
        <v>0</v>
      </c>
      <c r="R416" s="20">
        <v>0</v>
      </c>
      <c r="S416" s="20">
        <v>0</v>
      </c>
      <c r="T416" s="20">
        <v>0</v>
      </c>
      <c r="U416" s="21" t="s">
        <v>69</v>
      </c>
      <c r="V416" s="21" t="s">
        <v>69</v>
      </c>
      <c r="W416" s="21" t="s">
        <v>69</v>
      </c>
      <c r="X416" s="21" t="s">
        <v>69</v>
      </c>
      <c r="Y416" s="21" t="s">
        <v>69</v>
      </c>
      <c r="AL416">
        <f>COUNTIF(P416:T416,"&gt;0")</f>
      </c>
      <c r="AS416">
        <f>COUNTIF(P416,"&gt;0")</f>
      </c>
      <c r="AT416">
        <f>COUNTIF(Q416,"&gt;0")</f>
      </c>
      <c r="AU416">
        <f>COUNTIF(R416,"&gt;0")</f>
      </c>
      <c r="AV416">
        <f>COUNTIF(S416,"&gt;0")</f>
      </c>
      <c r="AW416">
        <f>COUNTIF(T416,"&gt;0")</f>
      </c>
      <c r="AX416" t="s">
        <v>476</v>
      </c>
      <c r="AY416" t="s">
        <v>485</v>
      </c>
    </row>
    <row r="417" ht="28" customHeight="1" spans="1:51" x14ac:dyDescent="0.25">
      <c r="A417" s="14"/>
      <c r="B417" s="14"/>
      <c r="C417" s="14"/>
      <c r="D417" s="14"/>
      <c r="E417" s="14"/>
      <c r="F417" s="15" t="s">
        <v>382</v>
      </c>
      <c r="G417" s="15" t="s">
        <v>383</v>
      </c>
      <c r="H417" s="14" t="s">
        <v>66</v>
      </c>
      <c r="I417" s="16">
        <v>3</v>
      </c>
      <c r="J417" s="17">
        <v>3</v>
      </c>
      <c r="K417" s="14" t="s">
        <v>157</v>
      </c>
      <c r="L417" s="14" t="s">
        <v>68</v>
      </c>
      <c r="M417" s="14"/>
      <c r="N417" s="14"/>
      <c r="O417" s="15"/>
      <c r="P417" s="19">
        <v>0</v>
      </c>
      <c r="Q417" s="19">
        <v>0</v>
      </c>
      <c r="R417" s="19">
        <v>0</v>
      </c>
      <c r="S417" s="19">
        <v>0</v>
      </c>
      <c r="T417" s="19">
        <v>0</v>
      </c>
      <c r="U417" s="14" t="s">
        <v>69</v>
      </c>
      <c r="V417" s="14" t="s">
        <v>69</v>
      </c>
      <c r="W417" s="14" t="s">
        <v>69</v>
      </c>
      <c r="X417" s="14" t="s">
        <v>69</v>
      </c>
      <c r="Y417" s="14" t="s">
        <v>69</v>
      </c>
      <c r="AM417">
        <f>COUNTIF(P417:T417,"&gt;0")</f>
      </c>
      <c r="AN417">
        <f>COUNTIF(P417,"&gt;0")</f>
      </c>
      <c r="AO417">
        <f>COUNTIF(Q417,"&gt;0")</f>
      </c>
      <c r="AP417">
        <f>COUNTIF(R417,"&gt;0")</f>
      </c>
      <c r="AQ417">
        <f>COUNTIF(S417,"&gt;0")</f>
      </c>
      <c r="AR417">
        <f>COUNTIF(T417,"&gt;0")</f>
      </c>
      <c r="AX417" t="s">
        <v>476</v>
      </c>
      <c r="AY417" t="s">
        <v>486</v>
      </c>
    </row>
    <row r="418" ht="18" customHeight="1" spans="1:51" x14ac:dyDescent="0.25">
      <c r="A418" s="14"/>
      <c r="B418" s="14"/>
      <c r="C418" s="14"/>
      <c r="D418" s="14"/>
      <c r="E418" s="14"/>
      <c r="F418" s="15"/>
      <c r="G418" s="15"/>
      <c r="H418" s="14" t="s">
        <v>71</v>
      </c>
      <c r="I418" s="16"/>
      <c r="J418" s="17"/>
      <c r="K418" s="14"/>
      <c r="L418" s="14"/>
      <c r="M418" s="14"/>
      <c r="N418" s="14"/>
      <c r="O418" s="15"/>
      <c r="P418" s="20">
        <v>0</v>
      </c>
      <c r="Q418" s="20">
        <v>0</v>
      </c>
      <c r="R418" s="20">
        <v>0</v>
      </c>
      <c r="S418" s="20">
        <v>0</v>
      </c>
      <c r="T418" s="20">
        <v>0</v>
      </c>
      <c r="U418" s="21" t="s">
        <v>69</v>
      </c>
      <c r="V418" s="21" t="s">
        <v>69</v>
      </c>
      <c r="W418" s="21" t="s">
        <v>69</v>
      </c>
      <c r="X418" s="21" t="s">
        <v>69</v>
      </c>
      <c r="Y418" s="21" t="s">
        <v>69</v>
      </c>
      <c r="AL418">
        <f>COUNTIF(P418:T418,"&gt;0")</f>
      </c>
      <c r="AS418">
        <f>COUNTIF(P418,"&gt;0")</f>
      </c>
      <c r="AT418">
        <f>COUNTIF(Q418,"&gt;0")</f>
      </c>
      <c r="AU418">
        <f>COUNTIF(R418,"&gt;0")</f>
      </c>
      <c r="AV418">
        <f>COUNTIF(S418,"&gt;0")</f>
      </c>
      <c r="AW418">
        <f>COUNTIF(T418,"&gt;0")</f>
      </c>
      <c r="AX418" t="s">
        <v>476</v>
      </c>
      <c r="AY418" t="s">
        <v>486</v>
      </c>
    </row>
    <row r="419" ht="28" customHeight="1" spans="1:51" x14ac:dyDescent="0.25">
      <c r="A419" s="14"/>
      <c r="B419" s="14"/>
      <c r="C419" s="14"/>
      <c r="D419" s="14"/>
      <c r="E419" s="14"/>
      <c r="F419" s="15" t="s">
        <v>385</v>
      </c>
      <c r="G419" s="15" t="s">
        <v>386</v>
      </c>
      <c r="H419" s="14" t="s">
        <v>66</v>
      </c>
      <c r="I419" s="16">
        <v>3</v>
      </c>
      <c r="J419" s="17">
        <v>3</v>
      </c>
      <c r="K419" s="14" t="s">
        <v>157</v>
      </c>
      <c r="L419" s="14" t="s">
        <v>68</v>
      </c>
      <c r="M419" s="14"/>
      <c r="N419" s="14"/>
      <c r="O419" s="15"/>
      <c r="P419" s="19">
        <v>0</v>
      </c>
      <c r="Q419" s="19">
        <v>0</v>
      </c>
      <c r="R419" s="19">
        <v>0</v>
      </c>
      <c r="S419" s="19">
        <v>0</v>
      </c>
      <c r="T419" s="19">
        <v>0</v>
      </c>
      <c r="U419" s="14" t="s">
        <v>69</v>
      </c>
      <c r="V419" s="14" t="s">
        <v>69</v>
      </c>
      <c r="W419" s="14" t="s">
        <v>69</v>
      </c>
      <c r="X419" s="14" t="s">
        <v>69</v>
      </c>
      <c r="Y419" s="14" t="s">
        <v>69</v>
      </c>
      <c r="AM419">
        <f>COUNTIF(P419:T419,"&gt;0")</f>
      </c>
      <c r="AN419">
        <f>COUNTIF(P419,"&gt;0")</f>
      </c>
      <c r="AO419">
        <f>COUNTIF(Q419,"&gt;0")</f>
      </c>
      <c r="AP419">
        <f>COUNTIF(R419,"&gt;0")</f>
      </c>
      <c r="AQ419">
        <f>COUNTIF(S419,"&gt;0")</f>
      </c>
      <c r="AR419">
        <f>COUNTIF(T419,"&gt;0")</f>
      </c>
      <c r="AX419" t="s">
        <v>476</v>
      </c>
      <c r="AY419" t="s">
        <v>487</v>
      </c>
    </row>
    <row r="420" ht="18" customHeight="1" spans="1:51" x14ac:dyDescent="0.25">
      <c r="A420" s="14"/>
      <c r="B420" s="14"/>
      <c r="C420" s="14"/>
      <c r="D420" s="14"/>
      <c r="E420" s="14"/>
      <c r="F420" s="15"/>
      <c r="G420" s="15"/>
      <c r="H420" s="14" t="s">
        <v>71</v>
      </c>
      <c r="I420" s="16"/>
      <c r="J420" s="17"/>
      <c r="K420" s="14"/>
      <c r="L420" s="14"/>
      <c r="M420" s="14"/>
      <c r="N420" s="14"/>
      <c r="O420" s="15"/>
      <c r="P420" s="20">
        <v>0</v>
      </c>
      <c r="Q420" s="20">
        <v>0</v>
      </c>
      <c r="R420" s="20">
        <v>0</v>
      </c>
      <c r="S420" s="20">
        <v>0</v>
      </c>
      <c r="T420" s="20">
        <v>0</v>
      </c>
      <c r="U420" s="21" t="s">
        <v>69</v>
      </c>
      <c r="V420" s="21" t="s">
        <v>69</v>
      </c>
      <c r="W420" s="21" t="s">
        <v>69</v>
      </c>
      <c r="X420" s="21" t="s">
        <v>69</v>
      </c>
      <c r="Y420" s="21" t="s">
        <v>69</v>
      </c>
      <c r="AL420">
        <f>COUNTIF(P420:T420,"&gt;0")</f>
      </c>
      <c r="AS420">
        <f>COUNTIF(P420,"&gt;0")</f>
      </c>
      <c r="AT420">
        <f>COUNTIF(Q420,"&gt;0")</f>
      </c>
      <c r="AU420">
        <f>COUNTIF(R420,"&gt;0")</f>
      </c>
      <c r="AV420">
        <f>COUNTIF(S420,"&gt;0")</f>
      </c>
      <c r="AW420">
        <f>COUNTIF(T420,"&gt;0")</f>
      </c>
      <c r="AX420" t="s">
        <v>476</v>
      </c>
      <c r="AY420" t="s">
        <v>487</v>
      </c>
    </row>
    <row r="421" ht="28" customHeight="1" spans="1:51" x14ac:dyDescent="0.25">
      <c r="A421" s="14"/>
      <c r="B421" s="14"/>
      <c r="C421" s="14"/>
      <c r="D421" s="14"/>
      <c r="E421" s="14"/>
      <c r="F421" s="15" t="s">
        <v>385</v>
      </c>
      <c r="G421" s="15" t="s">
        <v>388</v>
      </c>
      <c r="H421" s="14" t="s">
        <v>66</v>
      </c>
      <c r="I421" s="16">
        <v>3</v>
      </c>
      <c r="J421" s="17">
        <v>3</v>
      </c>
      <c r="K421" s="14" t="s">
        <v>157</v>
      </c>
      <c r="L421" s="14" t="s">
        <v>68</v>
      </c>
      <c r="M421" s="14"/>
      <c r="N421" s="14"/>
      <c r="O421" s="15"/>
      <c r="P421" s="19">
        <v>0</v>
      </c>
      <c r="Q421" s="19">
        <v>0</v>
      </c>
      <c r="R421" s="19">
        <v>0</v>
      </c>
      <c r="S421" s="24">
        <v>3</v>
      </c>
      <c r="T421" s="19">
        <v>0</v>
      </c>
      <c r="U421" s="14" t="s">
        <v>69</v>
      </c>
      <c r="V421" s="14" t="s">
        <v>69</v>
      </c>
      <c r="W421" s="14" t="s">
        <v>69</v>
      </c>
      <c r="X421" s="14" t="s">
        <v>69</v>
      </c>
      <c r="Y421" s="14" t="s">
        <v>69</v>
      </c>
      <c r="AM421">
        <f>COUNTIF(P421:T421,"&gt;0")</f>
      </c>
      <c r="AN421">
        <f>COUNTIF(P421,"&gt;0")</f>
      </c>
      <c r="AO421">
        <f>COUNTIF(Q421,"&gt;0")</f>
      </c>
      <c r="AP421">
        <f>COUNTIF(R421,"&gt;0")</f>
      </c>
      <c r="AQ421">
        <f>COUNTIF(S421,"&gt;0")</f>
      </c>
      <c r="AR421">
        <f>COUNTIF(T421,"&gt;0")</f>
      </c>
      <c r="AX421" t="s">
        <v>476</v>
      </c>
      <c r="AY421" t="s">
        <v>488</v>
      </c>
    </row>
    <row r="422" ht="18" customHeight="1" spans="1:51" x14ac:dyDescent="0.25">
      <c r="A422" s="14"/>
      <c r="B422" s="14"/>
      <c r="C422" s="14"/>
      <c r="D422" s="14"/>
      <c r="E422" s="14"/>
      <c r="F422" s="15"/>
      <c r="G422" s="15"/>
      <c r="H422" s="14" t="s">
        <v>71</v>
      </c>
      <c r="I422" s="16"/>
      <c r="J422" s="17"/>
      <c r="K422" s="14"/>
      <c r="L422" s="14"/>
      <c r="M422" s="14"/>
      <c r="N422" s="14"/>
      <c r="O422" s="15"/>
      <c r="P422" s="20">
        <v>0</v>
      </c>
      <c r="Q422" s="20">
        <v>0</v>
      </c>
      <c r="R422" s="20">
        <v>0</v>
      </c>
      <c r="S422" s="20">
        <v>0</v>
      </c>
      <c r="T422" s="20">
        <v>0</v>
      </c>
      <c r="U422" s="21" t="s">
        <v>69</v>
      </c>
      <c r="V422" s="21" t="s">
        <v>69</v>
      </c>
      <c r="W422" s="21" t="s">
        <v>69</v>
      </c>
      <c r="X422" s="21" t="s">
        <v>69</v>
      </c>
      <c r="Y422" s="21" t="s">
        <v>69</v>
      </c>
      <c r="AL422">
        <f>COUNTIF(P422:T422,"&gt;0")</f>
      </c>
      <c r="AS422">
        <f>COUNTIF(P422,"&gt;0")</f>
      </c>
      <c r="AT422">
        <f>COUNTIF(Q422,"&gt;0")</f>
      </c>
      <c r="AU422">
        <f>COUNTIF(R422,"&gt;0")</f>
      </c>
      <c r="AV422">
        <f>COUNTIF(S422,"&gt;0")</f>
      </c>
      <c r="AW422">
        <f>COUNTIF(T422,"&gt;0")</f>
      </c>
      <c r="AX422" t="s">
        <v>476</v>
      </c>
      <c r="AY422" t="s">
        <v>488</v>
      </c>
    </row>
    <row r="423" ht="28" customHeight="1" spans="1:51" x14ac:dyDescent="0.25">
      <c r="A423" s="14"/>
      <c r="B423" s="14"/>
      <c r="C423" s="14"/>
      <c r="D423" s="14"/>
      <c r="E423" s="14"/>
      <c r="F423" s="15" t="s">
        <v>328</v>
      </c>
      <c r="G423" s="15" t="s">
        <v>390</v>
      </c>
      <c r="H423" s="14" t="s">
        <v>66</v>
      </c>
      <c r="I423" s="16">
        <v>3</v>
      </c>
      <c r="J423" s="17">
        <v>3</v>
      </c>
      <c r="K423" s="14" t="s">
        <v>157</v>
      </c>
      <c r="L423" s="14" t="s">
        <v>68</v>
      </c>
      <c r="M423" s="14"/>
      <c r="N423" s="14"/>
      <c r="O423" s="15"/>
      <c r="P423" s="19">
        <v>0</v>
      </c>
      <c r="Q423" s="19">
        <v>0</v>
      </c>
      <c r="R423" s="19">
        <v>0</v>
      </c>
      <c r="S423" s="19">
        <v>0</v>
      </c>
      <c r="T423" s="19">
        <v>0</v>
      </c>
      <c r="U423" s="14" t="s">
        <v>69</v>
      </c>
      <c r="V423" s="14" t="s">
        <v>69</v>
      </c>
      <c r="W423" s="14" t="s">
        <v>69</v>
      </c>
      <c r="X423" s="14" t="s">
        <v>69</v>
      </c>
      <c r="Y423" s="14" t="s">
        <v>69</v>
      </c>
      <c r="AM423">
        <f>COUNTIF(P423:T423,"&gt;0")</f>
      </c>
      <c r="AN423">
        <f>COUNTIF(P423,"&gt;0")</f>
      </c>
      <c r="AO423">
        <f>COUNTIF(Q423,"&gt;0")</f>
      </c>
      <c r="AP423">
        <f>COUNTIF(R423,"&gt;0")</f>
      </c>
      <c r="AQ423">
        <f>COUNTIF(S423,"&gt;0")</f>
      </c>
      <c r="AR423">
        <f>COUNTIF(T423,"&gt;0")</f>
      </c>
      <c r="AX423" t="s">
        <v>476</v>
      </c>
      <c r="AY423" t="s">
        <v>489</v>
      </c>
    </row>
    <row r="424" ht="18" customHeight="1" spans="1:51" x14ac:dyDescent="0.25">
      <c r="A424" s="14"/>
      <c r="B424" s="14"/>
      <c r="C424" s="14"/>
      <c r="D424" s="14"/>
      <c r="E424" s="14"/>
      <c r="F424" s="15"/>
      <c r="G424" s="15"/>
      <c r="H424" s="14" t="s">
        <v>71</v>
      </c>
      <c r="I424" s="16"/>
      <c r="J424" s="17"/>
      <c r="K424" s="14"/>
      <c r="L424" s="14"/>
      <c r="M424" s="14"/>
      <c r="N424" s="14"/>
      <c r="O424" s="15"/>
      <c r="P424" s="20">
        <v>0</v>
      </c>
      <c r="Q424" s="20">
        <v>0</v>
      </c>
      <c r="R424" s="20">
        <v>0</v>
      </c>
      <c r="S424" s="20">
        <v>0</v>
      </c>
      <c r="T424" s="20">
        <v>0</v>
      </c>
      <c r="U424" s="21" t="s">
        <v>69</v>
      </c>
      <c r="V424" s="21" t="s">
        <v>69</v>
      </c>
      <c r="W424" s="21" t="s">
        <v>69</v>
      </c>
      <c r="X424" s="21" t="s">
        <v>69</v>
      </c>
      <c r="Y424" s="21" t="s">
        <v>69</v>
      </c>
      <c r="AL424">
        <f>COUNTIF(P424:T424,"&gt;0")</f>
      </c>
      <c r="AS424">
        <f>COUNTIF(P424,"&gt;0")</f>
      </c>
      <c r="AT424">
        <f>COUNTIF(Q424,"&gt;0")</f>
      </c>
      <c r="AU424">
        <f>COUNTIF(R424,"&gt;0")</f>
      </c>
      <c r="AV424">
        <f>COUNTIF(S424,"&gt;0")</f>
      </c>
      <c r="AW424">
        <f>COUNTIF(T424,"&gt;0")</f>
      </c>
      <c r="AX424" t="s">
        <v>476</v>
      </c>
      <c r="AY424" t="s">
        <v>489</v>
      </c>
    </row>
    <row r="425" ht="28" customHeight="1" spans="1:51" x14ac:dyDescent="0.25">
      <c r="A425" s="14"/>
      <c r="B425" s="14"/>
      <c r="C425" s="14"/>
      <c r="D425" s="14"/>
      <c r="E425" s="14"/>
      <c r="F425" s="15" t="s">
        <v>392</v>
      </c>
      <c r="G425" s="15" t="s">
        <v>393</v>
      </c>
      <c r="H425" s="14" t="s">
        <v>66</v>
      </c>
      <c r="I425" s="16">
        <v>3</v>
      </c>
      <c r="J425" s="17">
        <v>3</v>
      </c>
      <c r="K425" s="14" t="s">
        <v>157</v>
      </c>
      <c r="L425" s="14" t="s">
        <v>68</v>
      </c>
      <c r="M425" s="14"/>
      <c r="N425" s="14"/>
      <c r="O425" s="15"/>
      <c r="P425" s="19">
        <v>0</v>
      </c>
      <c r="Q425" s="19">
        <v>0</v>
      </c>
      <c r="R425" s="19">
        <v>0</v>
      </c>
      <c r="S425" s="19">
        <v>0</v>
      </c>
      <c r="T425" s="19">
        <v>0</v>
      </c>
      <c r="U425" s="14" t="s">
        <v>69</v>
      </c>
      <c r="V425" s="14" t="s">
        <v>69</v>
      </c>
      <c r="W425" s="14" t="s">
        <v>69</v>
      </c>
      <c r="X425" s="14" t="s">
        <v>69</v>
      </c>
      <c r="Y425" s="14" t="s">
        <v>69</v>
      </c>
      <c r="AM425">
        <f>COUNTIF(P425:T425,"&gt;0")</f>
      </c>
      <c r="AN425">
        <f>COUNTIF(P425,"&gt;0")</f>
      </c>
      <c r="AO425">
        <f>COUNTIF(Q425,"&gt;0")</f>
      </c>
      <c r="AP425">
        <f>COUNTIF(R425,"&gt;0")</f>
      </c>
      <c r="AQ425">
        <f>COUNTIF(S425,"&gt;0")</f>
      </c>
      <c r="AR425">
        <f>COUNTIF(T425,"&gt;0")</f>
      </c>
      <c r="AX425" t="s">
        <v>476</v>
      </c>
      <c r="AY425" t="s">
        <v>490</v>
      </c>
    </row>
    <row r="426" ht="18" customHeight="1" spans="1:51" x14ac:dyDescent="0.25">
      <c r="A426" s="14"/>
      <c r="B426" s="14"/>
      <c r="C426" s="14"/>
      <c r="D426" s="14"/>
      <c r="E426" s="14"/>
      <c r="F426" s="15"/>
      <c r="G426" s="15"/>
      <c r="H426" s="14" t="s">
        <v>71</v>
      </c>
      <c r="I426" s="16"/>
      <c r="J426" s="17"/>
      <c r="K426" s="14"/>
      <c r="L426" s="14"/>
      <c r="M426" s="14"/>
      <c r="N426" s="14"/>
      <c r="O426" s="15"/>
      <c r="P426" s="20">
        <v>0</v>
      </c>
      <c r="Q426" s="20">
        <v>0</v>
      </c>
      <c r="R426" s="20">
        <v>0</v>
      </c>
      <c r="S426" s="20">
        <v>0</v>
      </c>
      <c r="T426" s="20">
        <v>0</v>
      </c>
      <c r="U426" s="21" t="s">
        <v>69</v>
      </c>
      <c r="V426" s="21" t="s">
        <v>69</v>
      </c>
      <c r="W426" s="21" t="s">
        <v>69</v>
      </c>
      <c r="X426" s="21" t="s">
        <v>69</v>
      </c>
      <c r="Y426" s="21" t="s">
        <v>69</v>
      </c>
      <c r="AL426">
        <f>COUNTIF(P426:T426,"&gt;0")</f>
      </c>
      <c r="AS426">
        <f>COUNTIF(P426,"&gt;0")</f>
      </c>
      <c r="AT426">
        <f>COUNTIF(Q426,"&gt;0")</f>
      </c>
      <c r="AU426">
        <f>COUNTIF(R426,"&gt;0")</f>
      </c>
      <c r="AV426">
        <f>COUNTIF(S426,"&gt;0")</f>
      </c>
      <c r="AW426">
        <f>COUNTIF(T426,"&gt;0")</f>
      </c>
      <c r="AX426" t="s">
        <v>476</v>
      </c>
      <c r="AY426" t="s">
        <v>490</v>
      </c>
    </row>
    <row r="427" ht="28" customHeight="1" spans="1:51" x14ac:dyDescent="0.25">
      <c r="A427" s="14"/>
      <c r="B427" s="14"/>
      <c r="C427" s="14"/>
      <c r="D427" s="14"/>
      <c r="E427" s="14"/>
      <c r="F427" s="15" t="s">
        <v>395</v>
      </c>
      <c r="G427" s="15" t="s">
        <v>396</v>
      </c>
      <c r="H427" s="14" t="s">
        <v>66</v>
      </c>
      <c r="I427" s="16">
        <v>5</v>
      </c>
      <c r="J427" s="17">
        <v>12</v>
      </c>
      <c r="K427" s="14" t="s">
        <v>141</v>
      </c>
      <c r="L427" s="14" t="s">
        <v>68</v>
      </c>
      <c r="M427" s="14"/>
      <c r="N427" s="14"/>
      <c r="O427" s="15"/>
      <c r="P427" s="19">
        <v>0</v>
      </c>
      <c r="Q427" s="19">
        <v>0</v>
      </c>
      <c r="R427" s="19">
        <v>0</v>
      </c>
      <c r="S427" s="19">
        <v>0</v>
      </c>
      <c r="T427" s="19">
        <v>0</v>
      </c>
      <c r="U427" s="14" t="s">
        <v>69</v>
      </c>
      <c r="V427" s="14" t="s">
        <v>69</v>
      </c>
      <c r="W427" s="14" t="s">
        <v>69</v>
      </c>
      <c r="X427" s="14" t="s">
        <v>69</v>
      </c>
      <c r="Y427" s="14" t="s">
        <v>69</v>
      </c>
      <c r="AM427">
        <f>COUNTIF(P427:T427,"&gt;0")</f>
      </c>
      <c r="AN427">
        <f>COUNTIF(P427,"&gt;0")</f>
      </c>
      <c r="AO427">
        <f>COUNTIF(Q427,"&gt;0")</f>
      </c>
      <c r="AP427">
        <f>COUNTIF(R427,"&gt;0")</f>
      </c>
      <c r="AQ427">
        <f>COUNTIF(S427,"&gt;0")</f>
      </c>
      <c r="AR427">
        <f>COUNTIF(T427,"&gt;0")</f>
      </c>
      <c r="AX427" t="s">
        <v>476</v>
      </c>
      <c r="AY427" t="s">
        <v>491</v>
      </c>
    </row>
    <row r="428" ht="18" customHeight="1" spans="1:51" x14ac:dyDescent="0.25">
      <c r="A428" s="14"/>
      <c r="B428" s="14"/>
      <c r="C428" s="14"/>
      <c r="D428" s="14"/>
      <c r="E428" s="14"/>
      <c r="F428" s="15"/>
      <c r="G428" s="15"/>
      <c r="H428" s="14" t="s">
        <v>71</v>
      </c>
      <c r="I428" s="16"/>
      <c r="J428" s="17"/>
      <c r="K428" s="14"/>
      <c r="L428" s="14"/>
      <c r="M428" s="14"/>
      <c r="N428" s="14"/>
      <c r="O428" s="15"/>
      <c r="P428" s="20">
        <v>0</v>
      </c>
      <c r="Q428" s="20">
        <v>0</v>
      </c>
      <c r="R428" s="20">
        <v>0</v>
      </c>
      <c r="S428" s="20">
        <v>0</v>
      </c>
      <c r="T428" s="20">
        <v>0</v>
      </c>
      <c r="U428" s="21" t="s">
        <v>69</v>
      </c>
      <c r="V428" s="21" t="s">
        <v>69</v>
      </c>
      <c r="W428" s="21" t="s">
        <v>69</v>
      </c>
      <c r="X428" s="21" t="s">
        <v>69</v>
      </c>
      <c r="Y428" s="21" t="s">
        <v>69</v>
      </c>
      <c r="AL428">
        <f>COUNTIF(P428:T428,"&gt;0")</f>
      </c>
      <c r="AS428">
        <f>COUNTIF(P428,"&gt;0")</f>
      </c>
      <c r="AT428">
        <f>COUNTIF(Q428,"&gt;0")</f>
      </c>
      <c r="AU428">
        <f>COUNTIF(R428,"&gt;0")</f>
      </c>
      <c r="AV428">
        <f>COUNTIF(S428,"&gt;0")</f>
      </c>
      <c r="AW428">
        <f>COUNTIF(T428,"&gt;0")</f>
      </c>
      <c r="AX428" t="s">
        <v>476</v>
      </c>
      <c r="AY428" t="s">
        <v>491</v>
      </c>
    </row>
    <row r="429" ht="28" customHeight="1" spans="1:51" x14ac:dyDescent="0.25">
      <c r="A429" s="14"/>
      <c r="B429" s="14"/>
      <c r="C429" s="14"/>
      <c r="D429" s="14"/>
      <c r="E429" s="14"/>
      <c r="F429" s="15" t="s">
        <v>398</v>
      </c>
      <c r="G429" s="15" t="s">
        <v>399</v>
      </c>
      <c r="H429" s="14" t="s">
        <v>66</v>
      </c>
      <c r="I429" s="16">
        <v>5</v>
      </c>
      <c r="J429" s="17">
        <v>12</v>
      </c>
      <c r="K429" s="14" t="s">
        <v>141</v>
      </c>
      <c r="L429" s="14" t="s">
        <v>68</v>
      </c>
      <c r="M429" s="14"/>
      <c r="N429" s="14"/>
      <c r="O429" s="15"/>
      <c r="P429" s="19">
        <v>0</v>
      </c>
      <c r="Q429" s="19">
        <v>0</v>
      </c>
      <c r="R429" s="19">
        <v>0</v>
      </c>
      <c r="S429" s="19">
        <v>0</v>
      </c>
      <c r="T429" s="19">
        <v>0</v>
      </c>
      <c r="U429" s="14" t="s">
        <v>69</v>
      </c>
      <c r="V429" s="14" t="s">
        <v>69</v>
      </c>
      <c r="W429" s="14" t="s">
        <v>69</v>
      </c>
      <c r="X429" s="14" t="s">
        <v>69</v>
      </c>
      <c r="Y429" s="14" t="s">
        <v>69</v>
      </c>
      <c r="AM429">
        <f>COUNTIF(P429:T429,"&gt;0")</f>
      </c>
      <c r="AN429">
        <f>COUNTIF(P429,"&gt;0")</f>
      </c>
      <c r="AO429">
        <f>COUNTIF(Q429,"&gt;0")</f>
      </c>
      <c r="AP429">
        <f>COUNTIF(R429,"&gt;0")</f>
      </c>
      <c r="AQ429">
        <f>COUNTIF(S429,"&gt;0")</f>
      </c>
      <c r="AR429">
        <f>COUNTIF(T429,"&gt;0")</f>
      </c>
      <c r="AX429" t="s">
        <v>476</v>
      </c>
      <c r="AY429" t="s">
        <v>492</v>
      </c>
    </row>
    <row r="430" ht="18" customHeight="1" spans="1:51" x14ac:dyDescent="0.25">
      <c r="A430" s="14"/>
      <c r="B430" s="14"/>
      <c r="C430" s="14"/>
      <c r="D430" s="14"/>
      <c r="E430" s="14"/>
      <c r="F430" s="15"/>
      <c r="G430" s="15"/>
      <c r="H430" s="14" t="s">
        <v>71</v>
      </c>
      <c r="I430" s="16"/>
      <c r="J430" s="17"/>
      <c r="K430" s="14"/>
      <c r="L430" s="14"/>
      <c r="M430" s="14"/>
      <c r="N430" s="14"/>
      <c r="O430" s="15"/>
      <c r="P430" s="20">
        <v>0</v>
      </c>
      <c r="Q430" s="20">
        <v>0</v>
      </c>
      <c r="R430" s="20">
        <v>0</v>
      </c>
      <c r="S430" s="20">
        <v>0</v>
      </c>
      <c r="T430" s="20">
        <v>0</v>
      </c>
      <c r="U430" s="21" t="s">
        <v>69</v>
      </c>
      <c r="V430" s="21" t="s">
        <v>69</v>
      </c>
      <c r="W430" s="21" t="s">
        <v>69</v>
      </c>
      <c r="X430" s="21" t="s">
        <v>69</v>
      </c>
      <c r="Y430" s="21" t="s">
        <v>69</v>
      </c>
      <c r="AL430">
        <f>COUNTIF(P430:T430,"&gt;0")</f>
      </c>
      <c r="AS430">
        <f>COUNTIF(P430,"&gt;0")</f>
      </c>
      <c r="AT430">
        <f>COUNTIF(Q430,"&gt;0")</f>
      </c>
      <c r="AU430">
        <f>COUNTIF(R430,"&gt;0")</f>
      </c>
      <c r="AV430">
        <f>COUNTIF(S430,"&gt;0")</f>
      </c>
      <c r="AW430">
        <f>COUNTIF(T430,"&gt;0")</f>
      </c>
      <c r="AX430" t="s">
        <v>476</v>
      </c>
      <c r="AY430" t="s">
        <v>492</v>
      </c>
    </row>
    <row r="431" ht="28" customHeight="1" spans="1:51" x14ac:dyDescent="0.25">
      <c r="A431" s="14"/>
      <c r="B431" s="14"/>
      <c r="C431" s="14"/>
      <c r="D431" s="14"/>
      <c r="E431" s="14"/>
      <c r="F431" s="15" t="s">
        <v>401</v>
      </c>
      <c r="G431" s="15" t="s">
        <v>402</v>
      </c>
      <c r="H431" s="14" t="s">
        <v>66</v>
      </c>
      <c r="I431" s="16">
        <v>5</v>
      </c>
      <c r="J431" s="17">
        <v>12</v>
      </c>
      <c r="K431" s="14" t="s">
        <v>141</v>
      </c>
      <c r="L431" s="14" t="s">
        <v>68</v>
      </c>
      <c r="M431" s="14"/>
      <c r="N431" s="14"/>
      <c r="O431" s="15"/>
      <c r="P431" s="19">
        <v>0</v>
      </c>
      <c r="Q431" s="19">
        <v>0</v>
      </c>
      <c r="R431" s="19">
        <v>0</v>
      </c>
      <c r="S431" s="19">
        <v>0</v>
      </c>
      <c r="T431" s="19">
        <v>0</v>
      </c>
      <c r="U431" s="14" t="s">
        <v>69</v>
      </c>
      <c r="V431" s="14" t="s">
        <v>69</v>
      </c>
      <c r="W431" s="14" t="s">
        <v>69</v>
      </c>
      <c r="X431" s="14" t="s">
        <v>69</v>
      </c>
      <c r="Y431" s="14" t="s">
        <v>69</v>
      </c>
      <c r="AM431">
        <f>COUNTIF(P431:T431,"&gt;0")</f>
      </c>
      <c r="AN431">
        <f>COUNTIF(P431,"&gt;0")</f>
      </c>
      <c r="AO431">
        <f>COUNTIF(Q431,"&gt;0")</f>
      </c>
      <c r="AP431">
        <f>COUNTIF(R431,"&gt;0")</f>
      </c>
      <c r="AQ431">
        <f>COUNTIF(S431,"&gt;0")</f>
      </c>
      <c r="AR431">
        <f>COUNTIF(T431,"&gt;0")</f>
      </c>
      <c r="AX431" t="s">
        <v>476</v>
      </c>
      <c r="AY431" t="s">
        <v>493</v>
      </c>
    </row>
    <row r="432" ht="18" customHeight="1" spans="1:51" x14ac:dyDescent="0.25">
      <c r="A432" s="14"/>
      <c r="B432" s="14"/>
      <c r="C432" s="14"/>
      <c r="D432" s="14"/>
      <c r="E432" s="14"/>
      <c r="F432" s="15"/>
      <c r="G432" s="15"/>
      <c r="H432" s="14" t="s">
        <v>71</v>
      </c>
      <c r="I432" s="16"/>
      <c r="J432" s="17"/>
      <c r="K432" s="14"/>
      <c r="L432" s="14"/>
      <c r="M432" s="14"/>
      <c r="N432" s="14"/>
      <c r="O432" s="15"/>
      <c r="P432" s="20">
        <v>0</v>
      </c>
      <c r="Q432" s="20">
        <v>0</v>
      </c>
      <c r="R432" s="20">
        <v>0</v>
      </c>
      <c r="S432" s="20">
        <v>0</v>
      </c>
      <c r="T432" s="20">
        <v>0</v>
      </c>
      <c r="U432" s="21" t="s">
        <v>69</v>
      </c>
      <c r="V432" s="21" t="s">
        <v>69</v>
      </c>
      <c r="W432" s="21" t="s">
        <v>69</v>
      </c>
      <c r="X432" s="21" t="s">
        <v>69</v>
      </c>
      <c r="Y432" s="21" t="s">
        <v>69</v>
      </c>
      <c r="AL432">
        <f>COUNTIF(P432:T432,"&gt;0")</f>
      </c>
      <c r="AS432">
        <f>COUNTIF(P432,"&gt;0")</f>
      </c>
      <c r="AT432">
        <f>COUNTIF(Q432,"&gt;0")</f>
      </c>
      <c r="AU432">
        <f>COUNTIF(R432,"&gt;0")</f>
      </c>
      <c r="AV432">
        <f>COUNTIF(S432,"&gt;0")</f>
      </c>
      <c r="AW432">
        <f>COUNTIF(T432,"&gt;0")</f>
      </c>
      <c r="AX432" t="s">
        <v>476</v>
      </c>
      <c r="AY432" t="s">
        <v>493</v>
      </c>
    </row>
    <row r="433" ht="28" customHeight="1" spans="1:51" x14ac:dyDescent="0.25">
      <c r="A433" s="14"/>
      <c r="B433" s="14" t="s">
        <v>494</v>
      </c>
      <c r="C433" s="14" t="s">
        <v>495</v>
      </c>
      <c r="D433" s="14" t="s">
        <v>496</v>
      </c>
      <c r="E433" s="14" t="s">
        <v>497</v>
      </c>
      <c r="F433" s="15" t="s">
        <v>498</v>
      </c>
      <c r="G433" s="15" t="s">
        <v>499</v>
      </c>
      <c r="H433" s="14" t="s">
        <v>66</v>
      </c>
      <c r="I433" s="16">
        <v>2</v>
      </c>
      <c r="J433" s="17">
        <v>1</v>
      </c>
      <c r="K433" s="14" t="s">
        <v>67</v>
      </c>
      <c r="L433" s="14" t="s">
        <v>68</v>
      </c>
      <c r="M433" s="14"/>
      <c r="N433" s="14"/>
      <c r="O433" s="15"/>
      <c r="P433" s="19">
        <v>0</v>
      </c>
      <c r="Q433" s="18">
        <v>2</v>
      </c>
      <c r="R433" s="19">
        <v>0</v>
      </c>
      <c r="S433" s="19">
        <v>0</v>
      </c>
      <c r="T433" s="19">
        <v>0</v>
      </c>
      <c r="U433" s="14" t="s">
        <v>69</v>
      </c>
      <c r="V433" s="14" t="s">
        <v>69</v>
      </c>
      <c r="W433" s="14" t="s">
        <v>69</v>
      </c>
      <c r="X433" s="14" t="s">
        <v>69</v>
      </c>
      <c r="Y433" s="14" t="s">
        <v>69</v>
      </c>
      <c r="AM433">
        <f>COUNTIF(P433:T433,"&gt;0")</f>
      </c>
      <c r="AN433">
        <f>COUNTIF(P433,"&gt;0")</f>
      </c>
      <c r="AO433">
        <f>COUNTIF(Q433,"&gt;0")</f>
      </c>
      <c r="AP433">
        <f>COUNTIF(R433,"&gt;0")</f>
      </c>
      <c r="AQ433">
        <f>COUNTIF(S433,"&gt;0")</f>
      </c>
      <c r="AR433">
        <f>COUNTIF(T433,"&gt;0")</f>
      </c>
      <c r="AX433" t="s">
        <v>494</v>
      </c>
      <c r="AY433" t="s">
        <v>500</v>
      </c>
    </row>
    <row r="434" ht="18" customHeight="1" spans="1:51" x14ac:dyDescent="0.25">
      <c r="A434" s="14"/>
      <c r="B434" s="14"/>
      <c r="C434" s="14"/>
      <c r="D434" s="14"/>
      <c r="E434" s="14"/>
      <c r="F434" s="15"/>
      <c r="G434" s="15"/>
      <c r="H434" s="14" t="s">
        <v>71</v>
      </c>
      <c r="I434" s="16"/>
      <c r="J434" s="17"/>
      <c r="K434" s="14"/>
      <c r="L434" s="14"/>
      <c r="M434" s="14"/>
      <c r="N434" s="14"/>
      <c r="O434" s="15"/>
      <c r="P434" s="20">
        <v>0</v>
      </c>
      <c r="Q434" s="20">
        <v>0</v>
      </c>
      <c r="R434" s="20">
        <v>0</v>
      </c>
      <c r="S434" s="20">
        <v>0</v>
      </c>
      <c r="T434" s="20">
        <v>0</v>
      </c>
      <c r="U434" s="21" t="s">
        <v>69</v>
      </c>
      <c r="V434" s="21" t="s">
        <v>69</v>
      </c>
      <c r="W434" s="21" t="s">
        <v>69</v>
      </c>
      <c r="X434" s="21" t="s">
        <v>69</v>
      </c>
      <c r="Y434" s="21" t="s">
        <v>69</v>
      </c>
      <c r="AL434">
        <f>COUNTIF(P434:T434,"&gt;0")</f>
      </c>
      <c r="AS434">
        <f>COUNTIF(P434,"&gt;0")</f>
      </c>
      <c r="AT434">
        <f>COUNTIF(Q434,"&gt;0")</f>
      </c>
      <c r="AU434">
        <f>COUNTIF(R434,"&gt;0")</f>
      </c>
      <c r="AV434">
        <f>COUNTIF(S434,"&gt;0")</f>
      </c>
      <c r="AW434">
        <f>COUNTIF(T434,"&gt;0")</f>
      </c>
      <c r="AX434" t="s">
        <v>494</v>
      </c>
      <c r="AY434" t="s">
        <v>500</v>
      </c>
    </row>
    <row r="435" ht="28" customHeight="1" spans="1:51" x14ac:dyDescent="0.25">
      <c r="A435" s="14"/>
      <c r="B435" s="14"/>
      <c r="C435" s="14"/>
      <c r="D435" s="14"/>
      <c r="E435" s="14"/>
      <c r="F435" s="15" t="s">
        <v>498</v>
      </c>
      <c r="G435" s="15" t="s">
        <v>501</v>
      </c>
      <c r="H435" s="14" t="s">
        <v>66</v>
      </c>
      <c r="I435" s="16">
        <v>2</v>
      </c>
      <c r="J435" s="17">
        <v>1</v>
      </c>
      <c r="K435" s="14" t="s">
        <v>67</v>
      </c>
      <c r="L435" s="14" t="s">
        <v>68</v>
      </c>
      <c r="M435" s="14"/>
      <c r="N435" s="14"/>
      <c r="O435" s="15"/>
      <c r="P435" s="19">
        <v>0</v>
      </c>
      <c r="Q435" s="19">
        <v>0</v>
      </c>
      <c r="R435" s="18">
        <v>2</v>
      </c>
      <c r="S435" s="19">
        <v>0</v>
      </c>
      <c r="T435" s="19">
        <v>0</v>
      </c>
      <c r="U435" s="14" t="s">
        <v>69</v>
      </c>
      <c r="V435" s="14" t="s">
        <v>69</v>
      </c>
      <c r="W435" s="14" t="s">
        <v>69</v>
      </c>
      <c r="X435" s="14" t="s">
        <v>69</v>
      </c>
      <c r="Y435" s="14" t="s">
        <v>69</v>
      </c>
      <c r="AM435">
        <f>COUNTIF(P435:T435,"&gt;0")</f>
      </c>
      <c r="AN435">
        <f>COUNTIF(P435,"&gt;0")</f>
      </c>
      <c r="AO435">
        <f>COUNTIF(Q435,"&gt;0")</f>
      </c>
      <c r="AP435">
        <f>COUNTIF(R435,"&gt;0")</f>
      </c>
      <c r="AQ435">
        <f>COUNTIF(S435,"&gt;0")</f>
      </c>
      <c r="AR435">
        <f>COUNTIF(T435,"&gt;0")</f>
      </c>
      <c r="AX435" t="s">
        <v>494</v>
      </c>
      <c r="AY435" t="s">
        <v>502</v>
      </c>
    </row>
    <row r="436" ht="18" customHeight="1" spans="1:51" x14ac:dyDescent="0.25">
      <c r="A436" s="14"/>
      <c r="B436" s="14"/>
      <c r="C436" s="14"/>
      <c r="D436" s="14"/>
      <c r="E436" s="14"/>
      <c r="F436" s="15"/>
      <c r="G436" s="15"/>
      <c r="H436" s="14" t="s">
        <v>71</v>
      </c>
      <c r="I436" s="16"/>
      <c r="J436" s="17"/>
      <c r="K436" s="14"/>
      <c r="L436" s="14"/>
      <c r="M436" s="14"/>
      <c r="N436" s="14"/>
      <c r="O436" s="15"/>
      <c r="P436" s="20">
        <v>0</v>
      </c>
      <c r="Q436" s="20">
        <v>0</v>
      </c>
      <c r="R436" s="20">
        <v>0</v>
      </c>
      <c r="S436" s="20">
        <v>0</v>
      </c>
      <c r="T436" s="20">
        <v>0</v>
      </c>
      <c r="U436" s="21" t="s">
        <v>69</v>
      </c>
      <c r="V436" s="21" t="s">
        <v>69</v>
      </c>
      <c r="W436" s="21" t="s">
        <v>69</v>
      </c>
      <c r="X436" s="21" t="s">
        <v>69</v>
      </c>
      <c r="Y436" s="21" t="s">
        <v>69</v>
      </c>
      <c r="AL436">
        <f>COUNTIF(P436:T436,"&gt;0")</f>
      </c>
      <c r="AS436">
        <f>COUNTIF(P436,"&gt;0")</f>
      </c>
      <c r="AT436">
        <f>COUNTIF(Q436,"&gt;0")</f>
      </c>
      <c r="AU436">
        <f>COUNTIF(R436,"&gt;0")</f>
      </c>
      <c r="AV436">
        <f>COUNTIF(S436,"&gt;0")</f>
      </c>
      <c r="AW436">
        <f>COUNTIF(T436,"&gt;0")</f>
      </c>
      <c r="AX436" t="s">
        <v>494</v>
      </c>
      <c r="AY436" t="s">
        <v>502</v>
      </c>
    </row>
    <row r="437" ht="28" customHeight="1" spans="1:51" x14ac:dyDescent="0.25">
      <c r="A437" s="14"/>
      <c r="B437" s="14"/>
      <c r="C437" s="14"/>
      <c r="D437" s="14"/>
      <c r="E437" s="14"/>
      <c r="F437" s="15" t="s">
        <v>503</v>
      </c>
      <c r="G437" s="15" t="s">
        <v>504</v>
      </c>
      <c r="H437" s="14" t="s">
        <v>66</v>
      </c>
      <c r="I437" s="16">
        <v>2</v>
      </c>
      <c r="J437" s="17">
        <v>1</v>
      </c>
      <c r="K437" s="14" t="s">
        <v>67</v>
      </c>
      <c r="L437" s="14" t="s">
        <v>68</v>
      </c>
      <c r="M437" s="14"/>
      <c r="N437" s="14"/>
      <c r="O437" s="15"/>
      <c r="P437" s="19">
        <v>0</v>
      </c>
      <c r="Q437" s="19">
        <v>0</v>
      </c>
      <c r="R437" s="19">
        <v>0</v>
      </c>
      <c r="S437" s="18">
        <v>2</v>
      </c>
      <c r="T437" s="19">
        <v>0</v>
      </c>
      <c r="U437" s="14" t="s">
        <v>69</v>
      </c>
      <c r="V437" s="14" t="s">
        <v>69</v>
      </c>
      <c r="W437" s="14" t="s">
        <v>69</v>
      </c>
      <c r="X437" s="14" t="s">
        <v>69</v>
      </c>
      <c r="Y437" s="14" t="s">
        <v>69</v>
      </c>
      <c r="AM437">
        <f>COUNTIF(P437:T437,"&gt;0")</f>
      </c>
      <c r="AN437">
        <f>COUNTIF(P437,"&gt;0")</f>
      </c>
      <c r="AO437">
        <f>COUNTIF(Q437,"&gt;0")</f>
      </c>
      <c r="AP437">
        <f>COUNTIF(R437,"&gt;0")</f>
      </c>
      <c r="AQ437">
        <f>COUNTIF(S437,"&gt;0")</f>
      </c>
      <c r="AR437">
        <f>COUNTIF(T437,"&gt;0")</f>
      </c>
      <c r="AX437" t="s">
        <v>494</v>
      </c>
      <c r="AY437" t="s">
        <v>505</v>
      </c>
    </row>
    <row r="438" ht="18" customHeight="1" spans="1:51" x14ac:dyDescent="0.25">
      <c r="A438" s="14"/>
      <c r="B438" s="14"/>
      <c r="C438" s="14"/>
      <c r="D438" s="14"/>
      <c r="E438" s="14"/>
      <c r="F438" s="15"/>
      <c r="G438" s="15"/>
      <c r="H438" s="14" t="s">
        <v>71</v>
      </c>
      <c r="I438" s="16"/>
      <c r="J438" s="17"/>
      <c r="K438" s="14"/>
      <c r="L438" s="14"/>
      <c r="M438" s="14"/>
      <c r="N438" s="14"/>
      <c r="O438" s="15"/>
      <c r="P438" s="20">
        <v>0</v>
      </c>
      <c r="Q438" s="20">
        <v>0</v>
      </c>
      <c r="R438" s="20">
        <v>0</v>
      </c>
      <c r="S438" s="20">
        <v>0</v>
      </c>
      <c r="T438" s="20">
        <v>0</v>
      </c>
      <c r="U438" s="21" t="s">
        <v>69</v>
      </c>
      <c r="V438" s="21" t="s">
        <v>69</v>
      </c>
      <c r="W438" s="21" t="s">
        <v>69</v>
      </c>
      <c r="X438" s="21" t="s">
        <v>69</v>
      </c>
      <c r="Y438" s="21" t="s">
        <v>69</v>
      </c>
      <c r="AL438">
        <f>COUNTIF(P438:T438,"&gt;0")</f>
      </c>
      <c r="AS438">
        <f>COUNTIF(P438,"&gt;0")</f>
      </c>
      <c r="AT438">
        <f>COUNTIF(Q438,"&gt;0")</f>
      </c>
      <c r="AU438">
        <f>COUNTIF(R438,"&gt;0")</f>
      </c>
      <c r="AV438">
        <f>COUNTIF(S438,"&gt;0")</f>
      </c>
      <c r="AW438">
        <f>COUNTIF(T438,"&gt;0")</f>
      </c>
      <c r="AX438" t="s">
        <v>494</v>
      </c>
      <c r="AY438" t="s">
        <v>505</v>
      </c>
    </row>
    <row r="439" ht="28" customHeight="1" spans="1:51" x14ac:dyDescent="0.25">
      <c r="A439" s="14"/>
      <c r="B439" s="14"/>
      <c r="C439" s="14"/>
      <c r="D439" s="14"/>
      <c r="E439" s="14"/>
      <c r="F439" s="15" t="s">
        <v>506</v>
      </c>
      <c r="G439" s="15" t="s">
        <v>507</v>
      </c>
      <c r="H439" s="14" t="s">
        <v>66</v>
      </c>
      <c r="I439" s="16">
        <v>2</v>
      </c>
      <c r="J439" s="17">
        <v>1</v>
      </c>
      <c r="K439" s="14" t="s">
        <v>67</v>
      </c>
      <c r="L439" s="14" t="s">
        <v>68</v>
      </c>
      <c r="M439" s="14"/>
      <c r="N439" s="14"/>
      <c r="O439" s="15"/>
      <c r="P439" s="19">
        <v>0</v>
      </c>
      <c r="Q439" s="19">
        <v>0</v>
      </c>
      <c r="R439" s="19">
        <v>0</v>
      </c>
      <c r="S439" s="19">
        <v>0</v>
      </c>
      <c r="T439" s="18">
        <v>2</v>
      </c>
      <c r="U439" s="14" t="s">
        <v>69</v>
      </c>
      <c r="V439" s="14" t="s">
        <v>69</v>
      </c>
      <c r="W439" s="14" t="s">
        <v>69</v>
      </c>
      <c r="X439" s="14" t="s">
        <v>69</v>
      </c>
      <c r="Y439" s="14" t="s">
        <v>69</v>
      </c>
      <c r="AM439">
        <f>COUNTIF(P439:T439,"&gt;0")</f>
      </c>
      <c r="AN439">
        <f>COUNTIF(P439,"&gt;0")</f>
      </c>
      <c r="AO439">
        <f>COUNTIF(Q439,"&gt;0")</f>
      </c>
      <c r="AP439">
        <f>COUNTIF(R439,"&gt;0")</f>
      </c>
      <c r="AQ439">
        <f>COUNTIF(S439,"&gt;0")</f>
      </c>
      <c r="AR439">
        <f>COUNTIF(T439,"&gt;0")</f>
      </c>
      <c r="AX439" t="s">
        <v>494</v>
      </c>
      <c r="AY439" t="s">
        <v>508</v>
      </c>
    </row>
    <row r="440" ht="18" customHeight="1" spans="1:51" x14ac:dyDescent="0.25">
      <c r="A440" s="14"/>
      <c r="B440" s="14"/>
      <c r="C440" s="14"/>
      <c r="D440" s="14"/>
      <c r="E440" s="14"/>
      <c r="F440" s="15"/>
      <c r="G440" s="15"/>
      <c r="H440" s="14" t="s">
        <v>71</v>
      </c>
      <c r="I440" s="16"/>
      <c r="J440" s="17"/>
      <c r="K440" s="14"/>
      <c r="L440" s="14"/>
      <c r="M440" s="14"/>
      <c r="N440" s="14"/>
      <c r="O440" s="15"/>
      <c r="P440" s="20">
        <v>0</v>
      </c>
      <c r="Q440" s="20">
        <v>0</v>
      </c>
      <c r="R440" s="20">
        <v>0</v>
      </c>
      <c r="S440" s="20">
        <v>0</v>
      </c>
      <c r="T440" s="20">
        <v>0</v>
      </c>
      <c r="U440" s="21" t="s">
        <v>69</v>
      </c>
      <c r="V440" s="21" t="s">
        <v>69</v>
      </c>
      <c r="W440" s="21" t="s">
        <v>69</v>
      </c>
      <c r="X440" s="21" t="s">
        <v>69</v>
      </c>
      <c r="Y440" s="21" t="s">
        <v>69</v>
      </c>
      <c r="AL440">
        <f>COUNTIF(P440:T440,"&gt;0")</f>
      </c>
      <c r="AS440">
        <f>COUNTIF(P440,"&gt;0")</f>
      </c>
      <c r="AT440">
        <f>COUNTIF(Q440,"&gt;0")</f>
      </c>
      <c r="AU440">
        <f>COUNTIF(R440,"&gt;0")</f>
      </c>
      <c r="AV440">
        <f>COUNTIF(S440,"&gt;0")</f>
      </c>
      <c r="AW440">
        <f>COUNTIF(T440,"&gt;0")</f>
      </c>
      <c r="AX440" t="s">
        <v>494</v>
      </c>
      <c r="AY440" t="s">
        <v>508</v>
      </c>
    </row>
    <row r="441" ht="28" customHeight="1" spans="1:51" x14ac:dyDescent="0.25">
      <c r="A441" s="14"/>
      <c r="B441" s="14"/>
      <c r="C441" s="14"/>
      <c r="D441" s="14"/>
      <c r="E441" s="14"/>
      <c r="F441" s="15" t="s">
        <v>509</v>
      </c>
      <c r="G441" s="15" t="s">
        <v>510</v>
      </c>
      <c r="H441" s="14" t="s">
        <v>66</v>
      </c>
      <c r="I441" s="16">
        <v>2</v>
      </c>
      <c r="J441" s="17">
        <v>1</v>
      </c>
      <c r="K441" s="14" t="s">
        <v>67</v>
      </c>
      <c r="L441" s="14" t="s">
        <v>68</v>
      </c>
      <c r="M441" s="14"/>
      <c r="N441" s="14"/>
      <c r="O441" s="15"/>
      <c r="P441" s="18">
        <v>2</v>
      </c>
      <c r="Q441" s="19">
        <v>0</v>
      </c>
      <c r="R441" s="19">
        <v>0</v>
      </c>
      <c r="S441" s="19">
        <v>0</v>
      </c>
      <c r="T441" s="19">
        <v>0</v>
      </c>
      <c r="U441" s="14" t="s">
        <v>69</v>
      </c>
      <c r="V441" s="14" t="s">
        <v>69</v>
      </c>
      <c r="W441" s="14" t="s">
        <v>69</v>
      </c>
      <c r="X441" s="14" t="s">
        <v>69</v>
      </c>
      <c r="Y441" s="14" t="s">
        <v>69</v>
      </c>
      <c r="AM441">
        <f>COUNTIF(P441:T441,"&gt;0")</f>
      </c>
      <c r="AN441">
        <f>COUNTIF(P441,"&gt;0")</f>
      </c>
      <c r="AO441">
        <f>COUNTIF(Q441,"&gt;0")</f>
      </c>
      <c r="AP441">
        <f>COUNTIF(R441,"&gt;0")</f>
      </c>
      <c r="AQ441">
        <f>COUNTIF(S441,"&gt;0")</f>
      </c>
      <c r="AR441">
        <f>COUNTIF(T441,"&gt;0")</f>
      </c>
      <c r="AX441" t="s">
        <v>494</v>
      </c>
      <c r="AY441" t="s">
        <v>511</v>
      </c>
    </row>
    <row r="442" ht="18" customHeight="1" spans="1:51" x14ac:dyDescent="0.25">
      <c r="A442" s="14"/>
      <c r="B442" s="14"/>
      <c r="C442" s="14"/>
      <c r="D442" s="14"/>
      <c r="E442" s="14"/>
      <c r="F442" s="15"/>
      <c r="G442" s="15"/>
      <c r="H442" s="14" t="s">
        <v>71</v>
      </c>
      <c r="I442" s="16"/>
      <c r="J442" s="17"/>
      <c r="K442" s="14"/>
      <c r="L442" s="14"/>
      <c r="M442" s="14"/>
      <c r="N442" s="14"/>
      <c r="O442" s="15"/>
      <c r="P442" s="20">
        <v>0</v>
      </c>
      <c r="Q442" s="20">
        <v>0</v>
      </c>
      <c r="R442" s="20">
        <v>0</v>
      </c>
      <c r="S442" s="20">
        <v>0</v>
      </c>
      <c r="T442" s="20">
        <v>0</v>
      </c>
      <c r="U442" s="21" t="s">
        <v>69</v>
      </c>
      <c r="V442" s="21" t="s">
        <v>69</v>
      </c>
      <c r="W442" s="21" t="s">
        <v>69</v>
      </c>
      <c r="X442" s="21" t="s">
        <v>69</v>
      </c>
      <c r="Y442" s="21" t="s">
        <v>69</v>
      </c>
      <c r="AL442">
        <f>COUNTIF(P442:T442,"&gt;0")</f>
      </c>
      <c r="AS442">
        <f>COUNTIF(P442,"&gt;0")</f>
      </c>
      <c r="AT442">
        <f>COUNTIF(Q442,"&gt;0")</f>
      </c>
      <c r="AU442">
        <f>COUNTIF(R442,"&gt;0")</f>
      </c>
      <c r="AV442">
        <f>COUNTIF(S442,"&gt;0")</f>
      </c>
      <c r="AW442">
        <f>COUNTIF(T442,"&gt;0")</f>
      </c>
      <c r="AX442" t="s">
        <v>494</v>
      </c>
      <c r="AY442" t="s">
        <v>511</v>
      </c>
    </row>
    <row r="443" ht="28" customHeight="1" spans="1:51" x14ac:dyDescent="0.25">
      <c r="A443" s="14"/>
      <c r="B443" s="14"/>
      <c r="C443" s="14"/>
      <c r="D443" s="14"/>
      <c r="E443" s="14"/>
      <c r="F443" s="15" t="s">
        <v>512</v>
      </c>
      <c r="G443" s="15" t="s">
        <v>513</v>
      </c>
      <c r="H443" s="14" t="s">
        <v>66</v>
      </c>
      <c r="I443" s="16">
        <v>2</v>
      </c>
      <c r="J443" s="17">
        <v>1</v>
      </c>
      <c r="K443" s="14" t="s">
        <v>67</v>
      </c>
      <c r="L443" s="14" t="s">
        <v>68</v>
      </c>
      <c r="M443" s="14"/>
      <c r="N443" s="14"/>
      <c r="O443" s="15"/>
      <c r="P443" s="19">
        <v>0</v>
      </c>
      <c r="Q443" s="18">
        <v>2</v>
      </c>
      <c r="R443" s="19">
        <v>0</v>
      </c>
      <c r="S443" s="19">
        <v>0</v>
      </c>
      <c r="T443" s="19">
        <v>0</v>
      </c>
      <c r="U443" s="14" t="s">
        <v>69</v>
      </c>
      <c r="V443" s="14" t="s">
        <v>69</v>
      </c>
      <c r="W443" s="14" t="s">
        <v>69</v>
      </c>
      <c r="X443" s="14" t="s">
        <v>69</v>
      </c>
      <c r="Y443" s="14" t="s">
        <v>69</v>
      </c>
      <c r="AM443">
        <f>COUNTIF(P443:T443,"&gt;0")</f>
      </c>
      <c r="AN443">
        <f>COUNTIF(P443,"&gt;0")</f>
      </c>
      <c r="AO443">
        <f>COUNTIF(Q443,"&gt;0")</f>
      </c>
      <c r="AP443">
        <f>COUNTIF(R443,"&gt;0")</f>
      </c>
      <c r="AQ443">
        <f>COUNTIF(S443,"&gt;0")</f>
      </c>
      <c r="AR443">
        <f>COUNTIF(T443,"&gt;0")</f>
      </c>
      <c r="AX443" t="s">
        <v>494</v>
      </c>
      <c r="AY443" t="s">
        <v>514</v>
      </c>
    </row>
    <row r="444" ht="18" customHeight="1" spans="1:51" x14ac:dyDescent="0.25">
      <c r="A444" s="14"/>
      <c r="B444" s="14"/>
      <c r="C444" s="14"/>
      <c r="D444" s="14"/>
      <c r="E444" s="14"/>
      <c r="F444" s="15"/>
      <c r="G444" s="15"/>
      <c r="H444" s="14" t="s">
        <v>71</v>
      </c>
      <c r="I444" s="16"/>
      <c r="J444" s="17"/>
      <c r="K444" s="14"/>
      <c r="L444" s="14"/>
      <c r="M444" s="14"/>
      <c r="N444" s="14"/>
      <c r="O444" s="15"/>
      <c r="P444" s="20">
        <v>0</v>
      </c>
      <c r="Q444" s="20">
        <v>0</v>
      </c>
      <c r="R444" s="20">
        <v>0</v>
      </c>
      <c r="S444" s="20">
        <v>0</v>
      </c>
      <c r="T444" s="20">
        <v>0</v>
      </c>
      <c r="U444" s="21" t="s">
        <v>69</v>
      </c>
      <c r="V444" s="21" t="s">
        <v>69</v>
      </c>
      <c r="W444" s="21" t="s">
        <v>69</v>
      </c>
      <c r="X444" s="21" t="s">
        <v>69</v>
      </c>
      <c r="Y444" s="21" t="s">
        <v>69</v>
      </c>
      <c r="AL444">
        <f>COUNTIF(P444:T444,"&gt;0")</f>
      </c>
      <c r="AS444">
        <f>COUNTIF(P444,"&gt;0")</f>
      </c>
      <c r="AT444">
        <f>COUNTIF(Q444,"&gt;0")</f>
      </c>
      <c r="AU444">
        <f>COUNTIF(R444,"&gt;0")</f>
      </c>
      <c r="AV444">
        <f>COUNTIF(S444,"&gt;0")</f>
      </c>
      <c r="AW444">
        <f>COUNTIF(T444,"&gt;0")</f>
      </c>
      <c r="AX444" t="s">
        <v>494</v>
      </c>
      <c r="AY444" t="s">
        <v>514</v>
      </c>
    </row>
    <row r="445" ht="28" customHeight="1" spans="1:51" x14ac:dyDescent="0.25">
      <c r="A445" s="14"/>
      <c r="B445" s="14"/>
      <c r="C445" s="14"/>
      <c r="D445" s="14"/>
      <c r="E445" s="14"/>
      <c r="F445" s="15" t="s">
        <v>515</v>
      </c>
      <c r="G445" s="15" t="s">
        <v>516</v>
      </c>
      <c r="H445" s="14" t="s">
        <v>66</v>
      </c>
      <c r="I445" s="16">
        <v>2</v>
      </c>
      <c r="J445" s="17">
        <v>1</v>
      </c>
      <c r="K445" s="14" t="s">
        <v>67</v>
      </c>
      <c r="L445" s="14" t="s">
        <v>68</v>
      </c>
      <c r="M445" s="14"/>
      <c r="N445" s="14"/>
      <c r="O445" s="15"/>
      <c r="P445" s="19">
        <v>0</v>
      </c>
      <c r="Q445" s="19">
        <v>0</v>
      </c>
      <c r="R445" s="18">
        <v>2</v>
      </c>
      <c r="S445" s="19">
        <v>0</v>
      </c>
      <c r="T445" s="19">
        <v>0</v>
      </c>
      <c r="U445" s="14" t="s">
        <v>69</v>
      </c>
      <c r="V445" s="14" t="s">
        <v>69</v>
      </c>
      <c r="W445" s="14" t="s">
        <v>69</v>
      </c>
      <c r="X445" s="14" t="s">
        <v>69</v>
      </c>
      <c r="Y445" s="14" t="s">
        <v>69</v>
      </c>
      <c r="AM445">
        <f>COUNTIF(P445:T445,"&gt;0")</f>
      </c>
      <c r="AN445">
        <f>COUNTIF(P445,"&gt;0")</f>
      </c>
      <c r="AO445">
        <f>COUNTIF(Q445,"&gt;0")</f>
      </c>
      <c r="AP445">
        <f>COUNTIF(R445,"&gt;0")</f>
      </c>
      <c r="AQ445">
        <f>COUNTIF(S445,"&gt;0")</f>
      </c>
      <c r="AR445">
        <f>COUNTIF(T445,"&gt;0")</f>
      </c>
      <c r="AX445" t="s">
        <v>494</v>
      </c>
      <c r="AY445" t="s">
        <v>517</v>
      </c>
    </row>
    <row r="446" ht="18" customHeight="1" spans="1:51" x14ac:dyDescent="0.25">
      <c r="A446" s="14"/>
      <c r="B446" s="14"/>
      <c r="C446" s="14"/>
      <c r="D446" s="14"/>
      <c r="E446" s="14"/>
      <c r="F446" s="15"/>
      <c r="G446" s="15"/>
      <c r="H446" s="14" t="s">
        <v>71</v>
      </c>
      <c r="I446" s="16"/>
      <c r="J446" s="17"/>
      <c r="K446" s="14"/>
      <c r="L446" s="14"/>
      <c r="M446" s="14"/>
      <c r="N446" s="14"/>
      <c r="O446" s="15"/>
      <c r="P446" s="20">
        <v>0</v>
      </c>
      <c r="Q446" s="20">
        <v>0</v>
      </c>
      <c r="R446" s="20">
        <v>0</v>
      </c>
      <c r="S446" s="20">
        <v>0</v>
      </c>
      <c r="T446" s="20">
        <v>0</v>
      </c>
      <c r="U446" s="21" t="s">
        <v>69</v>
      </c>
      <c r="V446" s="21" t="s">
        <v>69</v>
      </c>
      <c r="W446" s="21" t="s">
        <v>69</v>
      </c>
      <c r="X446" s="21" t="s">
        <v>69</v>
      </c>
      <c r="Y446" s="21" t="s">
        <v>69</v>
      </c>
      <c r="AL446">
        <f>COUNTIF(P446:T446,"&gt;0")</f>
      </c>
      <c r="AS446">
        <f>COUNTIF(P446,"&gt;0")</f>
      </c>
      <c r="AT446">
        <f>COUNTIF(Q446,"&gt;0")</f>
      </c>
      <c r="AU446">
        <f>COUNTIF(R446,"&gt;0")</f>
      </c>
      <c r="AV446">
        <f>COUNTIF(S446,"&gt;0")</f>
      </c>
      <c r="AW446">
        <f>COUNTIF(T446,"&gt;0")</f>
      </c>
      <c r="AX446" t="s">
        <v>494</v>
      </c>
      <c r="AY446" t="s">
        <v>517</v>
      </c>
    </row>
    <row r="447" ht="28" customHeight="1" spans="1:51" x14ac:dyDescent="0.25">
      <c r="A447" s="14"/>
      <c r="B447" s="14"/>
      <c r="C447" s="14"/>
      <c r="D447" s="14"/>
      <c r="E447" s="14"/>
      <c r="F447" s="15" t="s">
        <v>518</v>
      </c>
      <c r="G447" s="15" t="s">
        <v>519</v>
      </c>
      <c r="H447" s="14" t="s">
        <v>66</v>
      </c>
      <c r="I447" s="16">
        <v>2</v>
      </c>
      <c r="J447" s="17">
        <v>1</v>
      </c>
      <c r="K447" s="14" t="s">
        <v>67</v>
      </c>
      <c r="L447" s="14" t="s">
        <v>68</v>
      </c>
      <c r="M447" s="14"/>
      <c r="N447" s="14"/>
      <c r="O447" s="15"/>
      <c r="P447" s="19">
        <v>0</v>
      </c>
      <c r="Q447" s="19">
        <v>0</v>
      </c>
      <c r="R447" s="19">
        <v>0</v>
      </c>
      <c r="S447" s="18">
        <v>2</v>
      </c>
      <c r="T447" s="19">
        <v>0</v>
      </c>
      <c r="U447" s="14" t="s">
        <v>69</v>
      </c>
      <c r="V447" s="14" t="s">
        <v>69</v>
      </c>
      <c r="W447" s="14" t="s">
        <v>69</v>
      </c>
      <c r="X447" s="14" t="s">
        <v>69</v>
      </c>
      <c r="Y447" s="14" t="s">
        <v>69</v>
      </c>
      <c r="AM447">
        <f>COUNTIF(P447:T447,"&gt;0")</f>
      </c>
      <c r="AN447">
        <f>COUNTIF(P447,"&gt;0")</f>
      </c>
      <c r="AO447">
        <f>COUNTIF(Q447,"&gt;0")</f>
      </c>
      <c r="AP447">
        <f>COUNTIF(R447,"&gt;0")</f>
      </c>
      <c r="AQ447">
        <f>COUNTIF(S447,"&gt;0")</f>
      </c>
      <c r="AR447">
        <f>COUNTIF(T447,"&gt;0")</f>
      </c>
      <c r="AX447" t="s">
        <v>494</v>
      </c>
      <c r="AY447" t="s">
        <v>520</v>
      </c>
    </row>
    <row r="448" ht="18" customHeight="1" spans="1:51" x14ac:dyDescent="0.25">
      <c r="A448" s="14"/>
      <c r="B448" s="14"/>
      <c r="C448" s="14"/>
      <c r="D448" s="14"/>
      <c r="E448" s="14"/>
      <c r="F448" s="15"/>
      <c r="G448" s="15"/>
      <c r="H448" s="14" t="s">
        <v>71</v>
      </c>
      <c r="I448" s="16"/>
      <c r="J448" s="17"/>
      <c r="K448" s="14"/>
      <c r="L448" s="14"/>
      <c r="M448" s="14"/>
      <c r="N448" s="14"/>
      <c r="O448" s="15"/>
      <c r="P448" s="20">
        <v>0</v>
      </c>
      <c r="Q448" s="20">
        <v>0</v>
      </c>
      <c r="R448" s="20">
        <v>0</v>
      </c>
      <c r="S448" s="20">
        <v>0</v>
      </c>
      <c r="T448" s="20">
        <v>0</v>
      </c>
      <c r="U448" s="21" t="s">
        <v>69</v>
      </c>
      <c r="V448" s="21" t="s">
        <v>69</v>
      </c>
      <c r="W448" s="21" t="s">
        <v>69</v>
      </c>
      <c r="X448" s="21" t="s">
        <v>69</v>
      </c>
      <c r="Y448" s="21" t="s">
        <v>69</v>
      </c>
      <c r="AL448">
        <f>COUNTIF(P448:T448,"&gt;0")</f>
      </c>
      <c r="AS448">
        <f>COUNTIF(P448,"&gt;0")</f>
      </c>
      <c r="AT448">
        <f>COUNTIF(Q448,"&gt;0")</f>
      </c>
      <c r="AU448">
        <f>COUNTIF(R448,"&gt;0")</f>
      </c>
      <c r="AV448">
        <f>COUNTIF(S448,"&gt;0")</f>
      </c>
      <c r="AW448">
        <f>COUNTIF(T448,"&gt;0")</f>
      </c>
      <c r="AX448" t="s">
        <v>494</v>
      </c>
      <c r="AY448" t="s">
        <v>520</v>
      </c>
    </row>
    <row r="449" ht="28" customHeight="1" spans="1:51" x14ac:dyDescent="0.25">
      <c r="A449" s="14"/>
      <c r="B449" s="14"/>
      <c r="C449" s="14"/>
      <c r="D449" s="14"/>
      <c r="E449" s="14"/>
      <c r="F449" s="15" t="s">
        <v>239</v>
      </c>
      <c r="G449" s="15" t="s">
        <v>521</v>
      </c>
      <c r="H449" s="14" t="s">
        <v>66</v>
      </c>
      <c r="I449" s="16">
        <v>2</v>
      </c>
      <c r="J449" s="17">
        <v>1</v>
      </c>
      <c r="K449" s="14" t="s">
        <v>67</v>
      </c>
      <c r="L449" s="14" t="s">
        <v>68</v>
      </c>
      <c r="M449" s="14"/>
      <c r="N449" s="14"/>
      <c r="O449" s="15"/>
      <c r="P449" s="19">
        <v>0</v>
      </c>
      <c r="Q449" s="19">
        <v>0</v>
      </c>
      <c r="R449" s="19">
        <v>0</v>
      </c>
      <c r="S449" s="19">
        <v>0</v>
      </c>
      <c r="T449" s="18">
        <v>2</v>
      </c>
      <c r="U449" s="14" t="s">
        <v>69</v>
      </c>
      <c r="V449" s="14" t="s">
        <v>69</v>
      </c>
      <c r="W449" s="14" t="s">
        <v>69</v>
      </c>
      <c r="X449" s="14" t="s">
        <v>69</v>
      </c>
      <c r="Y449" s="14" t="s">
        <v>69</v>
      </c>
      <c r="AM449">
        <f>COUNTIF(P449:T449,"&gt;0")</f>
      </c>
      <c r="AN449">
        <f>COUNTIF(P449,"&gt;0")</f>
      </c>
      <c r="AO449">
        <f>COUNTIF(Q449,"&gt;0")</f>
      </c>
      <c r="AP449">
        <f>COUNTIF(R449,"&gt;0")</f>
      </c>
      <c r="AQ449">
        <f>COUNTIF(S449,"&gt;0")</f>
      </c>
      <c r="AR449">
        <f>COUNTIF(T449,"&gt;0")</f>
      </c>
      <c r="AX449" t="s">
        <v>494</v>
      </c>
      <c r="AY449" t="s">
        <v>522</v>
      </c>
    </row>
    <row r="450" ht="18" customHeight="1" spans="1:51" x14ac:dyDescent="0.25">
      <c r="A450" s="14"/>
      <c r="B450" s="14"/>
      <c r="C450" s="14"/>
      <c r="D450" s="14"/>
      <c r="E450" s="14"/>
      <c r="F450" s="15"/>
      <c r="G450" s="15"/>
      <c r="H450" s="14" t="s">
        <v>71</v>
      </c>
      <c r="I450" s="16"/>
      <c r="J450" s="17"/>
      <c r="K450" s="14"/>
      <c r="L450" s="14"/>
      <c r="M450" s="14"/>
      <c r="N450" s="14"/>
      <c r="O450" s="15"/>
      <c r="P450" s="20">
        <v>0</v>
      </c>
      <c r="Q450" s="20">
        <v>0</v>
      </c>
      <c r="R450" s="20">
        <v>0</v>
      </c>
      <c r="S450" s="20">
        <v>0</v>
      </c>
      <c r="T450" s="20">
        <v>0</v>
      </c>
      <c r="U450" s="21" t="s">
        <v>69</v>
      </c>
      <c r="V450" s="21" t="s">
        <v>69</v>
      </c>
      <c r="W450" s="21" t="s">
        <v>69</v>
      </c>
      <c r="X450" s="21" t="s">
        <v>69</v>
      </c>
      <c r="Y450" s="21" t="s">
        <v>69</v>
      </c>
      <c r="AL450">
        <f>COUNTIF(P450:T450,"&gt;0")</f>
      </c>
      <c r="AS450">
        <f>COUNTIF(P450,"&gt;0")</f>
      </c>
      <c r="AT450">
        <f>COUNTIF(Q450,"&gt;0")</f>
      </c>
      <c r="AU450">
        <f>COUNTIF(R450,"&gt;0")</f>
      </c>
      <c r="AV450">
        <f>COUNTIF(S450,"&gt;0")</f>
      </c>
      <c r="AW450">
        <f>COUNTIF(T450,"&gt;0")</f>
      </c>
      <c r="AX450" t="s">
        <v>494</v>
      </c>
      <c r="AY450" t="s">
        <v>522</v>
      </c>
    </row>
    <row r="451" ht="28" customHeight="1" spans="1:51" x14ac:dyDescent="0.25">
      <c r="A451" s="14"/>
      <c r="B451" s="14"/>
      <c r="C451" s="14"/>
      <c r="D451" s="14"/>
      <c r="E451" s="14"/>
      <c r="F451" s="15" t="s">
        <v>236</v>
      </c>
      <c r="G451" s="15" t="s">
        <v>523</v>
      </c>
      <c r="H451" s="14" t="s">
        <v>66</v>
      </c>
      <c r="I451" s="16">
        <v>2</v>
      </c>
      <c r="J451" s="17">
        <v>1</v>
      </c>
      <c r="K451" s="14" t="s">
        <v>67</v>
      </c>
      <c r="L451" s="14" t="s">
        <v>68</v>
      </c>
      <c r="M451" s="14"/>
      <c r="N451" s="14"/>
      <c r="O451" s="15"/>
      <c r="P451" s="18">
        <v>2</v>
      </c>
      <c r="Q451" s="19">
        <v>0</v>
      </c>
      <c r="R451" s="19">
        <v>0</v>
      </c>
      <c r="S451" s="19">
        <v>0</v>
      </c>
      <c r="T451" s="19">
        <v>0</v>
      </c>
      <c r="U451" s="14" t="s">
        <v>69</v>
      </c>
      <c r="V451" s="14" t="s">
        <v>69</v>
      </c>
      <c r="W451" s="14" t="s">
        <v>69</v>
      </c>
      <c r="X451" s="14" t="s">
        <v>69</v>
      </c>
      <c r="Y451" s="14" t="s">
        <v>69</v>
      </c>
      <c r="AM451">
        <f>COUNTIF(P451:T451,"&gt;0")</f>
      </c>
      <c r="AN451">
        <f>COUNTIF(P451,"&gt;0")</f>
      </c>
      <c r="AO451">
        <f>COUNTIF(Q451,"&gt;0")</f>
      </c>
      <c r="AP451">
        <f>COUNTIF(R451,"&gt;0")</f>
      </c>
      <c r="AQ451">
        <f>COUNTIF(S451,"&gt;0")</f>
      </c>
      <c r="AR451">
        <f>COUNTIF(T451,"&gt;0")</f>
      </c>
      <c r="AX451" t="s">
        <v>494</v>
      </c>
      <c r="AY451" t="s">
        <v>524</v>
      </c>
    </row>
    <row r="452" ht="18" customHeight="1" spans="1:51" x14ac:dyDescent="0.25">
      <c r="A452" s="14"/>
      <c r="B452" s="14"/>
      <c r="C452" s="14"/>
      <c r="D452" s="14"/>
      <c r="E452" s="14"/>
      <c r="F452" s="15"/>
      <c r="G452" s="15"/>
      <c r="H452" s="14" t="s">
        <v>71</v>
      </c>
      <c r="I452" s="16"/>
      <c r="J452" s="17"/>
      <c r="K452" s="14"/>
      <c r="L452" s="14"/>
      <c r="M452" s="14"/>
      <c r="N452" s="14"/>
      <c r="O452" s="15"/>
      <c r="P452" s="20">
        <v>0</v>
      </c>
      <c r="Q452" s="20">
        <v>0</v>
      </c>
      <c r="R452" s="20">
        <v>0</v>
      </c>
      <c r="S452" s="20">
        <v>0</v>
      </c>
      <c r="T452" s="20">
        <v>0</v>
      </c>
      <c r="U452" s="21" t="s">
        <v>69</v>
      </c>
      <c r="V452" s="21" t="s">
        <v>69</v>
      </c>
      <c r="W452" s="21" t="s">
        <v>69</v>
      </c>
      <c r="X452" s="21" t="s">
        <v>69</v>
      </c>
      <c r="Y452" s="21" t="s">
        <v>69</v>
      </c>
      <c r="AL452">
        <f>COUNTIF(P452:T452,"&gt;0")</f>
      </c>
      <c r="AS452">
        <f>COUNTIF(P452,"&gt;0")</f>
      </c>
      <c r="AT452">
        <f>COUNTIF(Q452,"&gt;0")</f>
      </c>
      <c r="AU452">
        <f>COUNTIF(R452,"&gt;0")</f>
      </c>
      <c r="AV452">
        <f>COUNTIF(S452,"&gt;0")</f>
      </c>
      <c r="AW452">
        <f>COUNTIF(T452,"&gt;0")</f>
      </c>
      <c r="AX452" t="s">
        <v>494</v>
      </c>
      <c r="AY452" t="s">
        <v>524</v>
      </c>
    </row>
    <row r="453" ht="28" customHeight="1" spans="1:51" x14ac:dyDescent="0.25">
      <c r="A453" s="14"/>
      <c r="B453" s="14"/>
      <c r="C453" s="14"/>
      <c r="D453" s="14"/>
      <c r="E453" s="14"/>
      <c r="F453" s="15" t="s">
        <v>264</v>
      </c>
      <c r="G453" s="15" t="s">
        <v>525</v>
      </c>
      <c r="H453" s="14" t="s">
        <v>66</v>
      </c>
      <c r="I453" s="16">
        <v>4</v>
      </c>
      <c r="J453" s="17">
        <v>6</v>
      </c>
      <c r="K453" s="14" t="s">
        <v>138</v>
      </c>
      <c r="L453" s="14" t="s">
        <v>68</v>
      </c>
      <c r="M453" s="14"/>
      <c r="N453" s="14"/>
      <c r="O453" s="15"/>
      <c r="P453" s="19">
        <v>0</v>
      </c>
      <c r="Q453" s="19">
        <v>0</v>
      </c>
      <c r="R453" s="19">
        <v>0</v>
      </c>
      <c r="S453" s="19">
        <v>0</v>
      </c>
      <c r="T453" s="19">
        <v>0</v>
      </c>
      <c r="U453" s="14" t="s">
        <v>69</v>
      </c>
      <c r="V453" s="14" t="s">
        <v>69</v>
      </c>
      <c r="W453" s="14" t="s">
        <v>69</v>
      </c>
      <c r="X453" s="14" t="s">
        <v>69</v>
      </c>
      <c r="Y453" s="14" t="s">
        <v>69</v>
      </c>
      <c r="AM453">
        <f>COUNTIF(P453:T453,"&gt;0")</f>
      </c>
      <c r="AN453">
        <f>COUNTIF(P453,"&gt;0")</f>
      </c>
      <c r="AO453">
        <f>COUNTIF(Q453,"&gt;0")</f>
      </c>
      <c r="AP453">
        <f>COUNTIF(R453,"&gt;0")</f>
      </c>
      <c r="AQ453">
        <f>COUNTIF(S453,"&gt;0")</f>
      </c>
      <c r="AR453">
        <f>COUNTIF(T453,"&gt;0")</f>
      </c>
      <c r="AX453" t="s">
        <v>494</v>
      </c>
      <c r="AY453" t="s">
        <v>526</v>
      </c>
    </row>
    <row r="454" ht="18" customHeight="1" spans="1:51" x14ac:dyDescent="0.25">
      <c r="A454" s="14"/>
      <c r="B454" s="14"/>
      <c r="C454" s="14"/>
      <c r="D454" s="14"/>
      <c r="E454" s="14"/>
      <c r="F454" s="15"/>
      <c r="G454" s="15"/>
      <c r="H454" s="14" t="s">
        <v>71</v>
      </c>
      <c r="I454" s="16"/>
      <c r="J454" s="17"/>
      <c r="K454" s="14"/>
      <c r="L454" s="14"/>
      <c r="M454" s="14"/>
      <c r="N454" s="14"/>
      <c r="O454" s="15"/>
      <c r="P454" s="20">
        <v>0</v>
      </c>
      <c r="Q454" s="20">
        <v>0</v>
      </c>
      <c r="R454" s="20">
        <v>0</v>
      </c>
      <c r="S454" s="20">
        <v>0</v>
      </c>
      <c r="T454" s="20">
        <v>0</v>
      </c>
      <c r="U454" s="21" t="s">
        <v>69</v>
      </c>
      <c r="V454" s="21" t="s">
        <v>69</v>
      </c>
      <c r="W454" s="21" t="s">
        <v>69</v>
      </c>
      <c r="X454" s="21" t="s">
        <v>69</v>
      </c>
      <c r="Y454" s="21" t="s">
        <v>69</v>
      </c>
      <c r="AL454">
        <f>COUNTIF(P454:T454,"&gt;0")</f>
      </c>
      <c r="AS454">
        <f>COUNTIF(P454,"&gt;0")</f>
      </c>
      <c r="AT454">
        <f>COUNTIF(Q454,"&gt;0")</f>
      </c>
      <c r="AU454">
        <f>COUNTIF(R454,"&gt;0")</f>
      </c>
      <c r="AV454">
        <f>COUNTIF(S454,"&gt;0")</f>
      </c>
      <c r="AW454">
        <f>COUNTIF(T454,"&gt;0")</f>
      </c>
      <c r="AX454" t="s">
        <v>494</v>
      </c>
      <c r="AY454" t="s">
        <v>526</v>
      </c>
    </row>
    <row r="455" ht="18" customHeight="1" spans="1:51" x14ac:dyDescent="0.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19"/>
      <c r="Q455" s="19"/>
      <c r="R455" s="19"/>
      <c r="S455" s="19"/>
      <c r="T455" s="19"/>
      <c r="U455" s="26"/>
      <c r="V455" s="26"/>
      <c r="W455" s="26"/>
      <c r="X455" s="26"/>
      <c r="Y455" s="26"/>
    </row>
    <row r="456" ht="18" customHeight="1" spans="1:51" x14ac:dyDescent="0.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19"/>
      <c r="Q456" s="19"/>
      <c r="R456" s="19"/>
      <c r="S456" s="19"/>
      <c r="T456" s="19"/>
      <c r="U456" s="26"/>
      <c r="V456" s="26"/>
      <c r="W456" s="26"/>
      <c r="X456" s="26"/>
      <c r="Y456" s="26"/>
    </row>
    <row r="457" ht="18" customHeight="1" spans="1:51" x14ac:dyDescent="0.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19"/>
      <c r="Q457" s="19"/>
      <c r="R457" s="19"/>
      <c r="S457" s="19"/>
      <c r="T457" s="19"/>
      <c r="U457" s="26"/>
      <c r="V457" s="26"/>
      <c r="W457" s="26"/>
      <c r="X457" s="26"/>
      <c r="Y457" s="26"/>
    </row>
    <row r="458" ht="18" customHeight="1" spans="1:51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19"/>
      <c r="Q458" s="19"/>
      <c r="R458" s="19"/>
      <c r="S458" s="19"/>
      <c r="T458" s="19"/>
      <c r="U458" s="26"/>
      <c r="V458" s="26"/>
      <c r="W458" s="26"/>
      <c r="X458" s="26"/>
      <c r="Y458" s="26"/>
    </row>
    <row r="459" ht="18" customHeight="1" spans="1:51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19"/>
      <c r="Q459" s="19"/>
      <c r="R459" s="19"/>
      <c r="S459" s="19"/>
      <c r="T459" s="19"/>
      <c r="U459" s="26"/>
      <c r="V459" s="26"/>
      <c r="W459" s="26"/>
      <c r="X459" s="26"/>
      <c r="Y459" s="26"/>
    </row>
    <row r="460" ht="18" customHeight="1" spans="1:51" x14ac:dyDescent="0.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19"/>
      <c r="Q460" s="19"/>
      <c r="R460" s="19"/>
      <c r="S460" s="19"/>
      <c r="T460" s="19"/>
      <c r="U460" s="26"/>
      <c r="V460" s="26"/>
      <c r="W460" s="26"/>
      <c r="X460" s="26"/>
      <c r="Y460" s="26"/>
    </row>
    <row r="461" ht="18" customHeight="1" spans="1:51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19"/>
      <c r="Q461" s="19"/>
      <c r="R461" s="19"/>
      <c r="S461" s="19"/>
      <c r="T461" s="19"/>
      <c r="U461" s="26"/>
      <c r="V461" s="26"/>
      <c r="W461" s="26"/>
      <c r="X461" s="26"/>
      <c r="Y461" s="26"/>
    </row>
    <row r="462" ht="18" customHeight="1" spans="1:51" x14ac:dyDescent="0.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19"/>
      <c r="Q462" s="19"/>
      <c r="R462" s="19"/>
      <c r="S462" s="19"/>
      <c r="T462" s="19"/>
      <c r="U462" s="26"/>
      <c r="V462" s="26"/>
      <c r="W462" s="26"/>
      <c r="X462" s="26"/>
      <c r="Y462" s="26"/>
    </row>
    <row r="463" ht="18" customHeight="1" spans="1:51" x14ac:dyDescent="0.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19"/>
      <c r="Q463" s="19"/>
      <c r="R463" s="19"/>
      <c r="S463" s="19"/>
      <c r="T463" s="19"/>
      <c r="U463" s="26"/>
      <c r="V463" s="26"/>
      <c r="W463" s="26"/>
      <c r="X463" s="26"/>
      <c r="Y463" s="26"/>
    </row>
    <row r="464" ht="18" customHeight="1" spans="1:51" x14ac:dyDescent="0.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19"/>
      <c r="Q464" s="19"/>
      <c r="R464" s="19"/>
      <c r="S464" s="19"/>
      <c r="T464" s="19"/>
      <c r="U464" s="26"/>
      <c r="V464" s="26"/>
      <c r="W464" s="26"/>
      <c r="X464" s="26"/>
      <c r="Y464" s="26"/>
    </row>
    <row r="465" ht="18" customHeight="1" spans="1:51" x14ac:dyDescent="0.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19"/>
      <c r="Q465" s="19"/>
      <c r="R465" s="19"/>
      <c r="S465" s="19"/>
      <c r="T465" s="19"/>
      <c r="U465" s="26"/>
      <c r="V465" s="26"/>
      <c r="W465" s="26"/>
      <c r="X465" s="26"/>
      <c r="Y465" s="26"/>
    </row>
    <row r="466" ht="18" customHeight="1" spans="1:51" x14ac:dyDescent="0.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19"/>
      <c r="Q466" s="19"/>
      <c r="R466" s="19"/>
      <c r="S466" s="19"/>
      <c r="T466" s="19"/>
      <c r="U466" s="26"/>
      <c r="V466" s="26"/>
      <c r="W466" s="26"/>
      <c r="X466" s="26"/>
      <c r="Y466" s="26"/>
    </row>
    <row r="467" ht="18" customHeight="1" spans="1:51" x14ac:dyDescent="0.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19"/>
      <c r="Q467" s="19"/>
      <c r="R467" s="19"/>
      <c r="S467" s="19"/>
      <c r="T467" s="19"/>
      <c r="U467" s="26"/>
      <c r="V467" s="26"/>
      <c r="W467" s="26"/>
      <c r="X467" s="26"/>
      <c r="Y467" s="26"/>
    </row>
    <row r="468" ht="18" customHeight="1" spans="1:51" x14ac:dyDescent="0.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19"/>
      <c r="Q468" s="19"/>
      <c r="R468" s="19"/>
      <c r="S468" s="19"/>
      <c r="T468" s="19"/>
      <c r="U468" s="26"/>
      <c r="V468" s="26"/>
      <c r="W468" s="26"/>
      <c r="X468" s="26"/>
      <c r="Y468" s="26"/>
    </row>
    <row r="469" ht="18" customHeight="1" spans="1:51" x14ac:dyDescent="0.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19"/>
      <c r="Q469" s="19"/>
      <c r="R469" s="19"/>
      <c r="S469" s="19"/>
      <c r="T469" s="19"/>
      <c r="U469" s="26"/>
      <c r="V469" s="26"/>
      <c r="W469" s="26"/>
      <c r="X469" s="26"/>
      <c r="Y469" s="26"/>
    </row>
    <row r="470" ht="18" customHeight="1" spans="1:51" x14ac:dyDescent="0.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19"/>
      <c r="Q470" s="19"/>
      <c r="R470" s="19"/>
      <c r="S470" s="19"/>
      <c r="T470" s="19"/>
      <c r="U470" s="26"/>
      <c r="V470" s="26"/>
      <c r="W470" s="26"/>
      <c r="X470" s="26"/>
      <c r="Y470" s="26"/>
    </row>
    <row r="471" ht="18" customHeight="1" spans="1:51" x14ac:dyDescent="0.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19"/>
      <c r="Q471" s="19"/>
      <c r="R471" s="19"/>
      <c r="S471" s="19"/>
      <c r="T471" s="19"/>
      <c r="U471" s="26"/>
      <c r="V471" s="26"/>
      <c r="W471" s="26"/>
      <c r="X471" s="26"/>
      <c r="Y471" s="26"/>
    </row>
    <row r="472" ht="18" customHeight="1" spans="1:51" x14ac:dyDescent="0.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19"/>
      <c r="Q472" s="19"/>
      <c r="R472" s="19"/>
      <c r="S472" s="19"/>
      <c r="T472" s="19"/>
      <c r="U472" s="26"/>
      <c r="V472" s="26"/>
      <c r="W472" s="26"/>
      <c r="X472" s="26"/>
      <c r="Y472" s="26"/>
    </row>
    <row r="473" ht="18" customHeight="1" spans="1:51" x14ac:dyDescent="0.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19"/>
      <c r="Q473" s="19"/>
      <c r="R473" s="19"/>
      <c r="S473" s="19"/>
      <c r="T473" s="19"/>
      <c r="U473" s="26"/>
      <c r="V473" s="26"/>
      <c r="W473" s="26"/>
      <c r="X473" s="26"/>
      <c r="Y473" s="26"/>
    </row>
    <row r="474" ht="18" customHeight="1" spans="1:51" x14ac:dyDescent="0.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19"/>
      <c r="Q474" s="19"/>
      <c r="R474" s="19"/>
      <c r="S474" s="19"/>
      <c r="T474" s="19"/>
      <c r="U474" s="26"/>
      <c r="V474" s="26"/>
      <c r="W474" s="26"/>
      <c r="X474" s="26"/>
      <c r="Y474" s="26"/>
    </row>
    <row r="475" ht="18" customHeight="1" spans="1:51" x14ac:dyDescent="0.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19"/>
      <c r="Q475" s="19"/>
      <c r="R475" s="19"/>
      <c r="S475" s="19"/>
      <c r="T475" s="19"/>
      <c r="U475" s="26"/>
      <c r="V475" s="26"/>
      <c r="W475" s="26"/>
      <c r="X475" s="26"/>
      <c r="Y475" s="26"/>
    </row>
    <row r="476" ht="18" customHeight="1" spans="1:51" x14ac:dyDescent="0.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19"/>
      <c r="Q476" s="19"/>
      <c r="R476" s="19"/>
      <c r="S476" s="19"/>
      <c r="T476" s="19"/>
      <c r="U476" s="26"/>
      <c r="V476" s="26"/>
      <c r="W476" s="26"/>
      <c r="X476" s="26"/>
      <c r="Y476" s="26"/>
    </row>
    <row r="477" ht="18" customHeight="1" spans="1:51" x14ac:dyDescent="0.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19"/>
      <c r="Q477" s="19"/>
      <c r="R477" s="19"/>
      <c r="S477" s="19"/>
      <c r="T477" s="19"/>
      <c r="U477" s="26"/>
      <c r="V477" s="26"/>
      <c r="W477" s="26"/>
      <c r="X477" s="26"/>
      <c r="Y477" s="26"/>
    </row>
    <row r="478" ht="18" customHeight="1" spans="1:51" x14ac:dyDescent="0.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19"/>
      <c r="Q478" s="19"/>
      <c r="R478" s="19"/>
      <c r="S478" s="19"/>
      <c r="T478" s="19"/>
      <c r="U478" s="26"/>
      <c r="V478" s="26"/>
      <c r="W478" s="26"/>
      <c r="X478" s="26"/>
      <c r="Y478" s="26"/>
    </row>
    <row r="479" ht="18" customHeight="1" spans="1:51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19"/>
      <c r="Q479" s="19"/>
      <c r="R479" s="19"/>
      <c r="S479" s="19"/>
      <c r="T479" s="19"/>
      <c r="U479" s="26"/>
      <c r="V479" s="26"/>
      <c r="W479" s="26"/>
      <c r="X479" s="26"/>
      <c r="Y479" s="26"/>
    </row>
    <row r="480" ht="18" customHeight="1" spans="1:51" x14ac:dyDescent="0.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19"/>
      <c r="Q480" s="19"/>
      <c r="R480" s="19"/>
      <c r="S480" s="19"/>
      <c r="T480" s="19"/>
      <c r="U480" s="26"/>
      <c r="V480" s="26"/>
      <c r="W480" s="26"/>
      <c r="X480" s="26"/>
      <c r="Y480" s="26"/>
    </row>
    <row r="481" ht="18" customHeight="1" spans="1:51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19"/>
      <c r="Q481" s="19"/>
      <c r="R481" s="19"/>
      <c r="S481" s="19"/>
      <c r="T481" s="19"/>
      <c r="U481" s="26"/>
      <c r="V481" s="26"/>
      <c r="W481" s="26"/>
      <c r="X481" s="26"/>
      <c r="Y481" s="26"/>
    </row>
    <row r="482" ht="18" customHeight="1" spans="1:51" x14ac:dyDescent="0.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19"/>
      <c r="Q482" s="19"/>
      <c r="R482" s="19"/>
      <c r="S482" s="19"/>
      <c r="T482" s="19"/>
      <c r="U482" s="26"/>
      <c r="V482" s="26"/>
      <c r="W482" s="26"/>
      <c r="X482" s="26"/>
      <c r="Y482" s="26"/>
    </row>
    <row r="483" ht="18" customHeight="1" spans="1:51" x14ac:dyDescent="0.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19"/>
      <c r="Q483" s="19"/>
      <c r="R483" s="19"/>
      <c r="S483" s="19"/>
      <c r="T483" s="19"/>
      <c r="U483" s="26"/>
      <c r="V483" s="26"/>
      <c r="W483" s="26"/>
      <c r="X483" s="26"/>
      <c r="Y483" s="26"/>
    </row>
    <row r="484" ht="18" customHeight="1" spans="1:51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19"/>
      <c r="Q484" s="19"/>
      <c r="R484" s="19"/>
      <c r="S484" s="19"/>
      <c r="T484" s="19"/>
      <c r="U484" s="26"/>
      <c r="V484" s="26"/>
      <c r="W484" s="26"/>
      <c r="X484" s="26"/>
      <c r="Y484" s="26"/>
    </row>
    <row r="485" ht="18" customHeight="1" spans="1:51" x14ac:dyDescent="0.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19"/>
      <c r="Q485" s="19"/>
      <c r="R485" s="19"/>
      <c r="S485" s="19"/>
      <c r="T485" s="19"/>
      <c r="U485" s="26"/>
      <c r="V485" s="26"/>
      <c r="W485" s="26"/>
      <c r="X485" s="26"/>
      <c r="Y485" s="26"/>
    </row>
    <row r="486" ht="18" customHeight="1" spans="1:51" x14ac:dyDescent="0.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19"/>
      <c r="Q486" s="19"/>
      <c r="R486" s="19"/>
      <c r="S486" s="19"/>
      <c r="T486" s="19"/>
      <c r="U486" s="26"/>
      <c r="V486" s="26"/>
      <c r="W486" s="26"/>
      <c r="X486" s="26"/>
      <c r="Y486" s="26"/>
    </row>
    <row r="487" ht="18" customHeight="1" spans="1:51" x14ac:dyDescent="0.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19"/>
      <c r="Q487" s="19"/>
      <c r="R487" s="19"/>
      <c r="S487" s="19"/>
      <c r="T487" s="19"/>
      <c r="U487" s="26"/>
      <c r="V487" s="26"/>
      <c r="W487" s="26"/>
      <c r="X487" s="26"/>
      <c r="Y487" s="26"/>
    </row>
    <row r="488" ht="18" customHeight="1" spans="1:51" x14ac:dyDescent="0.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19"/>
      <c r="Q488" s="19"/>
      <c r="R488" s="19"/>
      <c r="S488" s="19"/>
      <c r="T488" s="19"/>
      <c r="U488" s="26"/>
      <c r="V488" s="26"/>
      <c r="W488" s="26"/>
      <c r="X488" s="26"/>
      <c r="Y488" s="26"/>
    </row>
    <row r="489" ht="18" customHeight="1" spans="1:51" x14ac:dyDescent="0.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19"/>
      <c r="Q489" s="19"/>
      <c r="R489" s="19"/>
      <c r="S489" s="19"/>
      <c r="T489" s="19"/>
      <c r="U489" s="26"/>
      <c r="V489" s="26"/>
      <c r="W489" s="26"/>
      <c r="X489" s="26"/>
      <c r="Y489" s="26"/>
    </row>
    <row r="490" ht="18" customHeight="1" spans="1:51" x14ac:dyDescent="0.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19"/>
      <c r="Q490" s="19"/>
      <c r="R490" s="19"/>
      <c r="S490" s="19"/>
      <c r="T490" s="19"/>
      <c r="U490" s="26"/>
      <c r="V490" s="26"/>
      <c r="W490" s="26"/>
      <c r="X490" s="26"/>
      <c r="Y490" s="26"/>
    </row>
    <row r="491" ht="18" customHeight="1" spans="1:51" x14ac:dyDescent="0.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19"/>
      <c r="Q491" s="19"/>
      <c r="R491" s="19"/>
      <c r="S491" s="19"/>
      <c r="T491" s="19"/>
      <c r="U491" s="26"/>
      <c r="V491" s="26"/>
      <c r="W491" s="26"/>
      <c r="X491" s="26"/>
      <c r="Y491" s="26"/>
    </row>
    <row r="492" ht="18" customHeight="1" spans="1:51" x14ac:dyDescent="0.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19"/>
      <c r="Q492" s="19"/>
      <c r="R492" s="19"/>
      <c r="S492" s="19"/>
      <c r="T492" s="19"/>
      <c r="U492" s="26"/>
      <c r="V492" s="26"/>
      <c r="W492" s="26"/>
      <c r="X492" s="26"/>
      <c r="Y492" s="26"/>
    </row>
    <row r="493" ht="18" customHeight="1" spans="1:51" x14ac:dyDescent="0.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19"/>
      <c r="Q493" s="19"/>
      <c r="R493" s="19"/>
      <c r="S493" s="19"/>
      <c r="T493" s="19"/>
      <c r="U493" s="26"/>
      <c r="V493" s="26"/>
      <c r="W493" s="26"/>
      <c r="X493" s="26"/>
      <c r="Y493" s="26"/>
    </row>
    <row r="494" ht="18" customHeight="1" spans="1:51" x14ac:dyDescent="0.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19"/>
      <c r="Q494" s="19"/>
      <c r="R494" s="19"/>
      <c r="S494" s="19"/>
      <c r="T494" s="19"/>
      <c r="U494" s="26"/>
      <c r="V494" s="26"/>
      <c r="W494" s="26"/>
      <c r="X494" s="26"/>
      <c r="Y494" s="26"/>
    </row>
    <row r="495" ht="18" customHeight="1" spans="1:51" x14ac:dyDescent="0.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19"/>
      <c r="Q495" s="19"/>
      <c r="R495" s="19"/>
      <c r="S495" s="19"/>
      <c r="T495" s="19"/>
      <c r="U495" s="26"/>
      <c r="V495" s="26"/>
      <c r="W495" s="26"/>
      <c r="X495" s="26"/>
      <c r="Y495" s="26"/>
    </row>
    <row r="496" ht="18" customHeight="1" spans="1:51" x14ac:dyDescent="0.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19"/>
      <c r="Q496" s="19"/>
      <c r="R496" s="19"/>
      <c r="S496" s="19"/>
      <c r="T496" s="19"/>
      <c r="U496" s="26"/>
      <c r="V496" s="26"/>
      <c r="W496" s="26"/>
      <c r="X496" s="26"/>
      <c r="Y496" s="26"/>
    </row>
    <row r="497" ht="18" customHeight="1" spans="1:51" x14ac:dyDescent="0.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19"/>
      <c r="Q497" s="19"/>
      <c r="R497" s="19"/>
      <c r="S497" s="19"/>
      <c r="T497" s="19"/>
      <c r="U497" s="26"/>
      <c r="V497" s="26"/>
      <c r="W497" s="26"/>
      <c r="X497" s="26"/>
      <c r="Y497" s="26"/>
    </row>
    <row r="498" ht="18" customHeight="1" spans="1:51" x14ac:dyDescent="0.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19"/>
      <c r="Q498" s="19"/>
      <c r="R498" s="19"/>
      <c r="S498" s="19"/>
      <c r="T498" s="19"/>
      <c r="U498" s="26"/>
      <c r="V498" s="26"/>
      <c r="W498" s="26"/>
      <c r="X498" s="26"/>
      <c r="Y498" s="26"/>
    </row>
    <row r="499" ht="18" customHeight="1" spans="1:51" x14ac:dyDescent="0.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19"/>
      <c r="Q499" s="19"/>
      <c r="R499" s="19"/>
      <c r="S499" s="19"/>
      <c r="T499" s="19"/>
      <c r="U499" s="26"/>
      <c r="V499" s="26"/>
      <c r="W499" s="26"/>
      <c r="X499" s="26"/>
      <c r="Y499" s="26"/>
    </row>
    <row r="500" ht="18" customHeight="1" spans="1:51" x14ac:dyDescent="0.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19"/>
      <c r="Q500" s="19"/>
      <c r="R500" s="19"/>
      <c r="S500" s="19"/>
      <c r="T500" s="19"/>
      <c r="U500" s="26"/>
      <c r="V500" s="26"/>
      <c r="W500" s="26"/>
      <c r="X500" s="26"/>
      <c r="Y500" s="26"/>
    </row>
    <row r="501" ht="18" customHeight="1" spans="1:51" x14ac:dyDescent="0.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19"/>
      <c r="Q501" s="19"/>
      <c r="R501" s="19"/>
      <c r="S501" s="19"/>
      <c r="T501" s="19"/>
      <c r="U501" s="26"/>
      <c r="V501" s="26"/>
      <c r="W501" s="26"/>
      <c r="X501" s="26"/>
      <c r="Y501" s="26"/>
    </row>
    <row r="502" ht="18" customHeight="1" spans="1:51" x14ac:dyDescent="0.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19"/>
      <c r="Q502" s="19"/>
      <c r="R502" s="19"/>
      <c r="S502" s="19"/>
      <c r="T502" s="19"/>
      <c r="U502" s="26"/>
      <c r="V502" s="26"/>
      <c r="W502" s="26"/>
      <c r="X502" s="26"/>
      <c r="Y502" s="26"/>
    </row>
    <row r="503" ht="18" customHeight="1" spans="1:51" x14ac:dyDescent="0.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19"/>
      <c r="Q503" s="19"/>
      <c r="R503" s="19"/>
      <c r="S503" s="19"/>
      <c r="T503" s="19"/>
      <c r="U503" s="26"/>
      <c r="V503" s="26"/>
      <c r="W503" s="26"/>
      <c r="X503" s="26"/>
      <c r="Y503" s="26"/>
    </row>
    <row r="504" ht="18" customHeight="1" spans="1:51" x14ac:dyDescent="0.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19"/>
      <c r="Q504" s="19"/>
      <c r="R504" s="19"/>
      <c r="S504" s="19"/>
      <c r="T504" s="19"/>
      <c r="U504" s="26"/>
      <c r="V504" s="26"/>
      <c r="W504" s="26"/>
      <c r="X504" s="26"/>
      <c r="Y504" s="26"/>
    </row>
    <row r="505" ht="18" customHeight="1" spans="1:51" x14ac:dyDescent="0.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19"/>
      <c r="Q505" s="19"/>
      <c r="R505" s="19"/>
      <c r="S505" s="19"/>
      <c r="T505" s="19"/>
      <c r="U505" s="26"/>
      <c r="V505" s="26"/>
      <c r="W505" s="26"/>
      <c r="X505" s="26"/>
      <c r="Y505" s="26"/>
    </row>
    <row r="506" ht="18" customHeight="1" spans="1:51" x14ac:dyDescent="0.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19"/>
      <c r="Q506" s="19"/>
      <c r="R506" s="19"/>
      <c r="S506" s="19"/>
      <c r="T506" s="19"/>
      <c r="U506" s="26"/>
      <c r="V506" s="26"/>
      <c r="W506" s="26"/>
      <c r="X506" s="26"/>
      <c r="Y506" s="26"/>
    </row>
    <row r="507" ht="18" customHeight="1" spans="1:51" x14ac:dyDescent="0.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19"/>
      <c r="Q507" s="19"/>
      <c r="R507" s="19"/>
      <c r="S507" s="19"/>
      <c r="T507" s="19"/>
      <c r="U507" s="26"/>
      <c r="V507" s="26"/>
      <c r="W507" s="26"/>
      <c r="X507" s="26"/>
      <c r="Y507" s="26"/>
    </row>
  </sheetData>
  <mergeCells count="522">
    <mergeCell ref="A1:C1"/>
    <mergeCell ref="D1:J1"/>
    <mergeCell ref="K1:AK1"/>
    <mergeCell ref="P4:T4"/>
    <mergeCell ref="U4:Y4"/>
    <mergeCell ref="A7:A454"/>
    <mergeCell ref="B7:B38"/>
    <mergeCell ref="C7:C38"/>
    <mergeCell ref="D7:D38"/>
    <mergeCell ref="E7:E38"/>
    <mergeCell ref="F7:F8"/>
    <mergeCell ref="G7:G8"/>
    <mergeCell ref="F9:F10"/>
    <mergeCell ref="G9:G10"/>
    <mergeCell ref="F11:F12"/>
    <mergeCell ref="G11:G12"/>
    <mergeCell ref="F13:F14"/>
    <mergeCell ref="G13:G14"/>
    <mergeCell ref="F15:F16"/>
    <mergeCell ref="G15:G16"/>
    <mergeCell ref="F17:F18"/>
    <mergeCell ref="G17:G18"/>
    <mergeCell ref="F19:F20"/>
    <mergeCell ref="G19:G20"/>
    <mergeCell ref="F21:F22"/>
    <mergeCell ref="G21:G22"/>
    <mergeCell ref="F23:F24"/>
    <mergeCell ref="G23:G24"/>
    <mergeCell ref="F25:F26"/>
    <mergeCell ref="G25:G26"/>
    <mergeCell ref="F27:F28"/>
    <mergeCell ref="G27:G28"/>
    <mergeCell ref="F29:F30"/>
    <mergeCell ref="G29:G30"/>
    <mergeCell ref="F31:F32"/>
    <mergeCell ref="G31:G32"/>
    <mergeCell ref="F33:F34"/>
    <mergeCell ref="G33:G34"/>
    <mergeCell ref="F35:F36"/>
    <mergeCell ref="G35:G36"/>
    <mergeCell ref="F37:F38"/>
    <mergeCell ref="G37:G38"/>
    <mergeCell ref="B39:B58"/>
    <mergeCell ref="C39:C58"/>
    <mergeCell ref="D39:D58"/>
    <mergeCell ref="E39:E58"/>
    <mergeCell ref="F39:F40"/>
    <mergeCell ref="G39:G40"/>
    <mergeCell ref="F41:F42"/>
    <mergeCell ref="G41:G42"/>
    <mergeCell ref="F43:F44"/>
    <mergeCell ref="G43:G44"/>
    <mergeCell ref="F45:F46"/>
    <mergeCell ref="G45:G46"/>
    <mergeCell ref="F47:F48"/>
    <mergeCell ref="G47:G48"/>
    <mergeCell ref="F49:F50"/>
    <mergeCell ref="G49:G50"/>
    <mergeCell ref="F51:F52"/>
    <mergeCell ref="G51:G52"/>
    <mergeCell ref="F53:F54"/>
    <mergeCell ref="G53:G54"/>
    <mergeCell ref="F55:F56"/>
    <mergeCell ref="G55:G56"/>
    <mergeCell ref="F57:F58"/>
    <mergeCell ref="G57:G58"/>
    <mergeCell ref="B59:B72"/>
    <mergeCell ref="C59:C72"/>
    <mergeCell ref="D59:D72"/>
    <mergeCell ref="E59:E72"/>
    <mergeCell ref="F59:F60"/>
    <mergeCell ref="G59:G60"/>
    <mergeCell ref="F61:F62"/>
    <mergeCell ref="G61:G62"/>
    <mergeCell ref="F63:F64"/>
    <mergeCell ref="G63:G64"/>
    <mergeCell ref="F65:F66"/>
    <mergeCell ref="G65:G66"/>
    <mergeCell ref="F67:F68"/>
    <mergeCell ref="G67:G68"/>
    <mergeCell ref="F69:F70"/>
    <mergeCell ref="G69:G70"/>
    <mergeCell ref="F71:F72"/>
    <mergeCell ref="G71:G72"/>
    <mergeCell ref="B73:B76"/>
    <mergeCell ref="C73:C76"/>
    <mergeCell ref="D73:D76"/>
    <mergeCell ref="E73:E76"/>
    <mergeCell ref="F73:F74"/>
    <mergeCell ref="G73:G74"/>
    <mergeCell ref="F75:F76"/>
    <mergeCell ref="G75:G76"/>
    <mergeCell ref="B77:B124"/>
    <mergeCell ref="C77:C124"/>
    <mergeCell ref="D77:D124"/>
    <mergeCell ref="E77:E124"/>
    <mergeCell ref="F77:F78"/>
    <mergeCell ref="G77:G78"/>
    <mergeCell ref="F79:F80"/>
    <mergeCell ref="G79:G80"/>
    <mergeCell ref="F81:F82"/>
    <mergeCell ref="G81:G82"/>
    <mergeCell ref="F83:F84"/>
    <mergeCell ref="G83:G84"/>
    <mergeCell ref="F85:F86"/>
    <mergeCell ref="G85:G86"/>
    <mergeCell ref="F87:F88"/>
    <mergeCell ref="G87:G88"/>
    <mergeCell ref="F89:F90"/>
    <mergeCell ref="G89:G90"/>
    <mergeCell ref="F91:F92"/>
    <mergeCell ref="G91:G92"/>
    <mergeCell ref="F93:F94"/>
    <mergeCell ref="G93:G94"/>
    <mergeCell ref="F95:F96"/>
    <mergeCell ref="G95:G96"/>
    <mergeCell ref="F97:F98"/>
    <mergeCell ref="G97:G98"/>
    <mergeCell ref="F99:F100"/>
    <mergeCell ref="G99:G100"/>
    <mergeCell ref="F101:F102"/>
    <mergeCell ref="G101:G102"/>
    <mergeCell ref="F103:F104"/>
    <mergeCell ref="G103:G104"/>
    <mergeCell ref="F105:F106"/>
    <mergeCell ref="G105:G106"/>
    <mergeCell ref="F107:F108"/>
    <mergeCell ref="G107:G108"/>
    <mergeCell ref="F109:F110"/>
    <mergeCell ref="G109:G110"/>
    <mergeCell ref="F111:F112"/>
    <mergeCell ref="G111:G112"/>
    <mergeCell ref="F113:F114"/>
    <mergeCell ref="G113:G114"/>
    <mergeCell ref="F115:F116"/>
    <mergeCell ref="G115:G116"/>
    <mergeCell ref="F117:F118"/>
    <mergeCell ref="G117:G118"/>
    <mergeCell ref="F119:F120"/>
    <mergeCell ref="G119:G120"/>
    <mergeCell ref="F121:F122"/>
    <mergeCell ref="G121:G122"/>
    <mergeCell ref="F123:F124"/>
    <mergeCell ref="G123:G124"/>
    <mergeCell ref="B125:B156"/>
    <mergeCell ref="C125:C156"/>
    <mergeCell ref="D125:D156"/>
    <mergeCell ref="E125:E156"/>
    <mergeCell ref="F125:F126"/>
    <mergeCell ref="G125:G126"/>
    <mergeCell ref="F127:F128"/>
    <mergeCell ref="G127:G128"/>
    <mergeCell ref="F129:F130"/>
    <mergeCell ref="G129:G130"/>
    <mergeCell ref="F131:F132"/>
    <mergeCell ref="G131:G132"/>
    <mergeCell ref="F133:F134"/>
    <mergeCell ref="G133:G134"/>
    <mergeCell ref="F135:F136"/>
    <mergeCell ref="G135:G136"/>
    <mergeCell ref="F137:F138"/>
    <mergeCell ref="G137:G138"/>
    <mergeCell ref="F139:F140"/>
    <mergeCell ref="G139:G140"/>
    <mergeCell ref="F141:F142"/>
    <mergeCell ref="G141:G142"/>
    <mergeCell ref="F143:F144"/>
    <mergeCell ref="G143:G144"/>
    <mergeCell ref="F145:F146"/>
    <mergeCell ref="G145:G146"/>
    <mergeCell ref="F147:F148"/>
    <mergeCell ref="G147:G148"/>
    <mergeCell ref="F149:F150"/>
    <mergeCell ref="G149:G150"/>
    <mergeCell ref="F151:F152"/>
    <mergeCell ref="G151:G152"/>
    <mergeCell ref="F153:F154"/>
    <mergeCell ref="G153:G154"/>
    <mergeCell ref="F155:F156"/>
    <mergeCell ref="G155:G156"/>
    <mergeCell ref="B157:B182"/>
    <mergeCell ref="C157:C182"/>
    <mergeCell ref="D157:D182"/>
    <mergeCell ref="E157:E182"/>
    <mergeCell ref="F157:F158"/>
    <mergeCell ref="G157:G158"/>
    <mergeCell ref="F159:F160"/>
    <mergeCell ref="G159:G160"/>
    <mergeCell ref="F161:F162"/>
    <mergeCell ref="G161:G162"/>
    <mergeCell ref="F163:F164"/>
    <mergeCell ref="G163:G164"/>
    <mergeCell ref="F165:F166"/>
    <mergeCell ref="G165:G166"/>
    <mergeCell ref="F167:F168"/>
    <mergeCell ref="G167:G168"/>
    <mergeCell ref="F169:F170"/>
    <mergeCell ref="G169:G170"/>
    <mergeCell ref="F171:F172"/>
    <mergeCell ref="G171:G172"/>
    <mergeCell ref="F173:F174"/>
    <mergeCell ref="G173:G174"/>
    <mergeCell ref="F175:F176"/>
    <mergeCell ref="G175:G176"/>
    <mergeCell ref="F177:F178"/>
    <mergeCell ref="G177:G178"/>
    <mergeCell ref="F179:F180"/>
    <mergeCell ref="G179:G180"/>
    <mergeCell ref="F181:F182"/>
    <mergeCell ref="G181:G182"/>
    <mergeCell ref="B183:B212"/>
    <mergeCell ref="C183:C212"/>
    <mergeCell ref="D183:D212"/>
    <mergeCell ref="E183:E212"/>
    <mergeCell ref="F183:F184"/>
    <mergeCell ref="G183:G184"/>
    <mergeCell ref="F185:F186"/>
    <mergeCell ref="G185:G186"/>
    <mergeCell ref="F187:F188"/>
    <mergeCell ref="G187:G188"/>
    <mergeCell ref="F189:F190"/>
    <mergeCell ref="G189:G190"/>
    <mergeCell ref="F191:F192"/>
    <mergeCell ref="G191:G192"/>
    <mergeCell ref="F193:F194"/>
    <mergeCell ref="G193:G194"/>
    <mergeCell ref="F195:F196"/>
    <mergeCell ref="G195:G196"/>
    <mergeCell ref="F197:F198"/>
    <mergeCell ref="G197:G198"/>
    <mergeCell ref="F199:F200"/>
    <mergeCell ref="G199:G200"/>
    <mergeCell ref="F201:F202"/>
    <mergeCell ref="G201:G202"/>
    <mergeCell ref="F203:F204"/>
    <mergeCell ref="G203:G204"/>
    <mergeCell ref="F205:F206"/>
    <mergeCell ref="G205:G206"/>
    <mergeCell ref="F207:F208"/>
    <mergeCell ref="G207:G208"/>
    <mergeCell ref="F209:F210"/>
    <mergeCell ref="G209:G210"/>
    <mergeCell ref="F211:F212"/>
    <mergeCell ref="G211:G212"/>
    <mergeCell ref="B213:B232"/>
    <mergeCell ref="C213:C232"/>
    <mergeCell ref="D213:D232"/>
    <mergeCell ref="E213:E232"/>
    <mergeCell ref="F213:F214"/>
    <mergeCell ref="G213:G214"/>
    <mergeCell ref="F215:F216"/>
    <mergeCell ref="G215:G216"/>
    <mergeCell ref="F217:F218"/>
    <mergeCell ref="G217:G218"/>
    <mergeCell ref="F219:F220"/>
    <mergeCell ref="G219:G220"/>
    <mergeCell ref="F221:F222"/>
    <mergeCell ref="G221:G222"/>
    <mergeCell ref="F223:F224"/>
    <mergeCell ref="G223:G224"/>
    <mergeCell ref="F225:F226"/>
    <mergeCell ref="G225:G226"/>
    <mergeCell ref="F227:F228"/>
    <mergeCell ref="G227:G228"/>
    <mergeCell ref="F229:F230"/>
    <mergeCell ref="G229:G230"/>
    <mergeCell ref="F231:F232"/>
    <mergeCell ref="G231:G232"/>
    <mergeCell ref="B233:B252"/>
    <mergeCell ref="C233:C252"/>
    <mergeCell ref="D233:D252"/>
    <mergeCell ref="E233:E252"/>
    <mergeCell ref="F233:F234"/>
    <mergeCell ref="G233:G234"/>
    <mergeCell ref="F235:F236"/>
    <mergeCell ref="G235:G236"/>
    <mergeCell ref="F237:F238"/>
    <mergeCell ref="G237:G238"/>
    <mergeCell ref="F239:F240"/>
    <mergeCell ref="G239:G240"/>
    <mergeCell ref="F241:F242"/>
    <mergeCell ref="G241:G242"/>
    <mergeCell ref="F243:F244"/>
    <mergeCell ref="G243:G244"/>
    <mergeCell ref="F245:F246"/>
    <mergeCell ref="G245:G246"/>
    <mergeCell ref="F247:F248"/>
    <mergeCell ref="G247:G248"/>
    <mergeCell ref="F249:F250"/>
    <mergeCell ref="G249:G250"/>
    <mergeCell ref="F251:F252"/>
    <mergeCell ref="G251:G252"/>
    <mergeCell ref="B253:B282"/>
    <mergeCell ref="C253:C282"/>
    <mergeCell ref="D253:D282"/>
    <mergeCell ref="E253:E282"/>
    <mergeCell ref="F253:F254"/>
    <mergeCell ref="G253:G254"/>
    <mergeCell ref="F255:F256"/>
    <mergeCell ref="G255:G256"/>
    <mergeCell ref="F257:F258"/>
    <mergeCell ref="G257:G258"/>
    <mergeCell ref="F259:F260"/>
    <mergeCell ref="G259:G260"/>
    <mergeCell ref="F261:F262"/>
    <mergeCell ref="G261:G262"/>
    <mergeCell ref="F263:F264"/>
    <mergeCell ref="G263:G264"/>
    <mergeCell ref="F265:F266"/>
    <mergeCell ref="G265:G266"/>
    <mergeCell ref="F267:F268"/>
    <mergeCell ref="G267:G268"/>
    <mergeCell ref="F269:F270"/>
    <mergeCell ref="G269:G270"/>
    <mergeCell ref="F271:F272"/>
    <mergeCell ref="G271:G272"/>
    <mergeCell ref="F273:F274"/>
    <mergeCell ref="G273:G274"/>
    <mergeCell ref="F275:F276"/>
    <mergeCell ref="G275:G276"/>
    <mergeCell ref="F277:F278"/>
    <mergeCell ref="G277:G278"/>
    <mergeCell ref="F279:F280"/>
    <mergeCell ref="G279:G280"/>
    <mergeCell ref="F281:F282"/>
    <mergeCell ref="G281:G282"/>
    <mergeCell ref="B283:B312"/>
    <mergeCell ref="C283:C312"/>
    <mergeCell ref="D283:D312"/>
    <mergeCell ref="E283:E312"/>
    <mergeCell ref="F283:F284"/>
    <mergeCell ref="G283:G284"/>
    <mergeCell ref="F285:F286"/>
    <mergeCell ref="G285:G286"/>
    <mergeCell ref="F287:F288"/>
    <mergeCell ref="G287:G288"/>
    <mergeCell ref="F289:F290"/>
    <mergeCell ref="G289:G290"/>
    <mergeCell ref="F291:F292"/>
    <mergeCell ref="G291:G292"/>
    <mergeCell ref="F293:F294"/>
    <mergeCell ref="G293:G294"/>
    <mergeCell ref="F295:F296"/>
    <mergeCell ref="G295:G296"/>
    <mergeCell ref="F297:F298"/>
    <mergeCell ref="G297:G298"/>
    <mergeCell ref="F299:F300"/>
    <mergeCell ref="G299:G300"/>
    <mergeCell ref="F301:F302"/>
    <mergeCell ref="G301:G302"/>
    <mergeCell ref="F303:F304"/>
    <mergeCell ref="G303:G304"/>
    <mergeCell ref="F305:F306"/>
    <mergeCell ref="G305:G306"/>
    <mergeCell ref="F307:F308"/>
    <mergeCell ref="G307:G308"/>
    <mergeCell ref="F309:F310"/>
    <mergeCell ref="G309:G310"/>
    <mergeCell ref="F311:F312"/>
    <mergeCell ref="G311:G312"/>
    <mergeCell ref="B313:B342"/>
    <mergeCell ref="C313:C342"/>
    <mergeCell ref="D313:D342"/>
    <mergeCell ref="E313:E342"/>
    <mergeCell ref="F313:F314"/>
    <mergeCell ref="G313:G314"/>
    <mergeCell ref="F315:F316"/>
    <mergeCell ref="G315:G316"/>
    <mergeCell ref="F317:F318"/>
    <mergeCell ref="G317:G318"/>
    <mergeCell ref="F319:F320"/>
    <mergeCell ref="G319:G320"/>
    <mergeCell ref="F321:F322"/>
    <mergeCell ref="G321:G322"/>
    <mergeCell ref="F323:F324"/>
    <mergeCell ref="G323:G324"/>
    <mergeCell ref="F325:F326"/>
    <mergeCell ref="G325:G326"/>
    <mergeCell ref="F327:F328"/>
    <mergeCell ref="G327:G328"/>
    <mergeCell ref="F329:F330"/>
    <mergeCell ref="G329:G330"/>
    <mergeCell ref="F331:F332"/>
    <mergeCell ref="G331:G332"/>
    <mergeCell ref="F333:F334"/>
    <mergeCell ref="G333:G334"/>
    <mergeCell ref="F335:F336"/>
    <mergeCell ref="G335:G336"/>
    <mergeCell ref="F337:F338"/>
    <mergeCell ref="G337:G338"/>
    <mergeCell ref="F339:F340"/>
    <mergeCell ref="G339:G340"/>
    <mergeCell ref="F341:F342"/>
    <mergeCell ref="G341:G342"/>
    <mergeCell ref="B343:B372"/>
    <mergeCell ref="C343:C372"/>
    <mergeCell ref="D343:D372"/>
    <mergeCell ref="E343:E372"/>
    <mergeCell ref="F343:F344"/>
    <mergeCell ref="G343:G344"/>
    <mergeCell ref="F345:F346"/>
    <mergeCell ref="G345:G346"/>
    <mergeCell ref="F347:F348"/>
    <mergeCell ref="G347:G348"/>
    <mergeCell ref="F349:F350"/>
    <mergeCell ref="G349:G350"/>
    <mergeCell ref="F351:F352"/>
    <mergeCell ref="G351:G352"/>
    <mergeCell ref="F353:F354"/>
    <mergeCell ref="G353:G354"/>
    <mergeCell ref="F355:F356"/>
    <mergeCell ref="G355:G356"/>
    <mergeCell ref="F357:F358"/>
    <mergeCell ref="G357:G358"/>
    <mergeCell ref="F359:F360"/>
    <mergeCell ref="G359:G360"/>
    <mergeCell ref="F361:F362"/>
    <mergeCell ref="G361:G362"/>
    <mergeCell ref="F363:F364"/>
    <mergeCell ref="G363:G364"/>
    <mergeCell ref="F365:F366"/>
    <mergeCell ref="G365:G366"/>
    <mergeCell ref="F367:F368"/>
    <mergeCell ref="G367:G368"/>
    <mergeCell ref="F369:F370"/>
    <mergeCell ref="G369:G370"/>
    <mergeCell ref="F371:F372"/>
    <mergeCell ref="G371:G372"/>
    <mergeCell ref="B373:B402"/>
    <mergeCell ref="C373:C402"/>
    <mergeCell ref="D373:D402"/>
    <mergeCell ref="E373:E402"/>
    <mergeCell ref="F373:F374"/>
    <mergeCell ref="G373:G374"/>
    <mergeCell ref="F375:F376"/>
    <mergeCell ref="G375:G376"/>
    <mergeCell ref="F377:F378"/>
    <mergeCell ref="G377:G378"/>
    <mergeCell ref="F379:F380"/>
    <mergeCell ref="G379:G380"/>
    <mergeCell ref="F381:F382"/>
    <mergeCell ref="G381:G382"/>
    <mergeCell ref="F383:F384"/>
    <mergeCell ref="G383:G384"/>
    <mergeCell ref="F385:F386"/>
    <mergeCell ref="G385:G386"/>
    <mergeCell ref="F387:F388"/>
    <mergeCell ref="G387:G388"/>
    <mergeCell ref="F389:F390"/>
    <mergeCell ref="G389:G390"/>
    <mergeCell ref="F391:F392"/>
    <mergeCell ref="G391:G392"/>
    <mergeCell ref="F393:F394"/>
    <mergeCell ref="G393:G394"/>
    <mergeCell ref="F395:F396"/>
    <mergeCell ref="G395:G396"/>
    <mergeCell ref="F397:F398"/>
    <mergeCell ref="G397:G398"/>
    <mergeCell ref="F399:F400"/>
    <mergeCell ref="G399:G400"/>
    <mergeCell ref="F401:F402"/>
    <mergeCell ref="G401:G402"/>
    <mergeCell ref="B403:B432"/>
    <mergeCell ref="C403:C432"/>
    <mergeCell ref="D403:D432"/>
    <mergeCell ref="E403:E432"/>
    <mergeCell ref="F403:F404"/>
    <mergeCell ref="G403:G404"/>
    <mergeCell ref="F405:F406"/>
    <mergeCell ref="G405:G406"/>
    <mergeCell ref="F407:F408"/>
    <mergeCell ref="G407:G408"/>
    <mergeCell ref="F409:F410"/>
    <mergeCell ref="G409:G410"/>
    <mergeCell ref="F411:F412"/>
    <mergeCell ref="G411:G412"/>
    <mergeCell ref="F413:F414"/>
    <mergeCell ref="G413:G414"/>
    <mergeCell ref="F415:F416"/>
    <mergeCell ref="G415:G416"/>
    <mergeCell ref="F417:F418"/>
    <mergeCell ref="G417:G418"/>
    <mergeCell ref="F419:F420"/>
    <mergeCell ref="G419:G420"/>
    <mergeCell ref="F421:F422"/>
    <mergeCell ref="G421:G422"/>
    <mergeCell ref="F423:F424"/>
    <mergeCell ref="G423:G424"/>
    <mergeCell ref="F425:F426"/>
    <mergeCell ref="G425:G426"/>
    <mergeCell ref="F427:F428"/>
    <mergeCell ref="G427:G428"/>
    <mergeCell ref="F429:F430"/>
    <mergeCell ref="G429:G430"/>
    <mergeCell ref="F431:F432"/>
    <mergeCell ref="G431:G432"/>
    <mergeCell ref="B433:B454"/>
    <mergeCell ref="C433:C454"/>
    <mergeCell ref="D433:D454"/>
    <mergeCell ref="E433:E454"/>
    <mergeCell ref="F433:F434"/>
    <mergeCell ref="G433:G434"/>
    <mergeCell ref="F435:F436"/>
    <mergeCell ref="G435:G436"/>
    <mergeCell ref="F437:F438"/>
    <mergeCell ref="G437:G438"/>
    <mergeCell ref="F439:F440"/>
    <mergeCell ref="G439:G440"/>
    <mergeCell ref="F441:F442"/>
    <mergeCell ref="G441:G442"/>
    <mergeCell ref="F443:F444"/>
    <mergeCell ref="G443:G444"/>
    <mergeCell ref="F445:F446"/>
    <mergeCell ref="G445:G446"/>
    <mergeCell ref="F447:F448"/>
    <mergeCell ref="G447:G448"/>
    <mergeCell ref="F449:F450"/>
    <mergeCell ref="G449:G450"/>
    <mergeCell ref="F451:F452"/>
    <mergeCell ref="G451:G452"/>
    <mergeCell ref="F453:F454"/>
    <mergeCell ref="G453:G45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2026-09-22T15:27:31Z</dcterms:created>
  <dcterms:modified xsi:type="dcterms:W3CDTF">2026-09-22T15:27:31Z</dcterms:modified>
</cp:coreProperties>
</file>