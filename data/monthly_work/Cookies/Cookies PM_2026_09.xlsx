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<sst xmlns="http://schemas.openxmlformats.org/spreadsheetml/2006/main" count="2931" uniqueCount="422">
  <si>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</si>
  <si>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</si>
  <si>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</si>
  <si>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</si>
  <si>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</si>
  <si>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</si>
  <si>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</si>
  <si>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</si>
  <si>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</si>
  <si>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</si>
  <si>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</si>
  <si>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</si>
  <si>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</si>
  <si>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</si>
  <si>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</si>
  <si>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</si>
  <si>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</si>
  <si>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</si>
  <si>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</si>
  <si>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</si>
  <si>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</si>
  <si>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</si>
  <si>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</si>
  <si>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</si>
  <si>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</si>
  <si>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</si>
  <si>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Cookies — Sep 2026</t>
  </si>
  <si>
    <t>PM WEEK SCHEDULE</t>
  </si>
  <si>
    <t>Executed By / Execution Date</t>
  </si>
  <si>
    <t>4--10</t>
  </si>
  <si>
    <t>11--17</t>
  </si>
  <si>
    <t>18--24</t>
  </si>
  <si>
    <t>25--1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</si>
  <si>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</si>
  <si>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</si>
  <si>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</si>
  <si>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</si>
  <si>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</si>
  <si>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</si>
  <si>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</si>
  <si>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</si>
  <si>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</si>
  <si>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</si>
  <si>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</si>
  <si>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</si>
  <si>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</si>
  <si>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</si>
  <si>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</si>
  <si>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</si>
  <si>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</si>
  <si>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</si>
  <si>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</si>
  <si>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</si>
  <si>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</si>
  <si>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</si>
  <si>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</si>
  <si>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</si>
  <si>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</si>
  <si>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</si>
  <si>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Mixer</t>
  </si>
  <si>
    <t>C1</t>
  </si>
  <si>
    <t>C1 Mixer</t>
  </si>
  <si>
    <t>Diosna</t>
  </si>
  <si>
    <t>Electric panel</t>
  </si>
  <si>
    <t>Check swiches,alarm lamp and all caple</t>
  </si>
  <si>
    <t>planed</t>
  </si>
  <si>
    <t>Weekly</t>
  </si>
  <si>
    <t>Calendar</t>
  </si>
  <si>
    <t>372dc36b-c7a8-49fb-a7df-e1a136cc05f7</t>
  </si>
  <si>
    <t>done</t>
  </si>
  <si>
    <t>Motor</t>
  </si>
  <si>
    <t>Check bearing and vibration</t>
  </si>
  <si>
    <t>08d7e267-bf15-4615-a9c4-ff088276dda5</t>
  </si>
  <si>
    <t>Bowel gear</t>
  </si>
  <si>
    <t>Change oil of gear box</t>
  </si>
  <si>
    <t>10000 hr</t>
  </si>
  <si>
    <t>Running Hours</t>
  </si>
  <si>
    <t>845680a0-5c75-497d-8dfb-cbfc88a8fe6c</t>
  </si>
  <si>
    <t>Tool bearing, Hydraulic Cylinde, tool gear&amp; Tool Drive</t>
  </si>
  <si>
    <t>Greasing</t>
  </si>
  <si>
    <t>6000 hr</t>
  </si>
  <si>
    <t>2026-12-17</t>
  </si>
  <si>
    <t>8b4b02bf-a1c6-4eaa-8b32-1ce6f31af135</t>
  </si>
  <si>
    <t>Hydraulic cylinder</t>
  </si>
  <si>
    <t>1000 hr</t>
  </si>
  <si>
    <t>2026-03-05</t>
  </si>
  <si>
    <t>9bed073d-8ebe-4d68-a46d-bd7d8cf2b08a</t>
  </si>
  <si>
    <t>Clow Bolts</t>
  </si>
  <si>
    <t>df541b62-0e6a-47da-b823-13af91159ed3</t>
  </si>
  <si>
    <t>Bowel gear swiveral bearing &amp;Toll beearing</t>
  </si>
  <si>
    <t>d44e0116-e9c6-4e66-b661-38724dbe91b0</t>
  </si>
  <si>
    <t>Gripper clamping surface</t>
  </si>
  <si>
    <t>40 hr</t>
  </si>
  <si>
    <t>2026-01-08</t>
  </si>
  <si>
    <t>38cd4e4d-e684-4406-afe3-ff037d0c2f17</t>
  </si>
  <si>
    <t>Forming</t>
  </si>
  <si>
    <t>C2</t>
  </si>
  <si>
    <t>Egg wash</t>
  </si>
  <si>
    <t>C2 Egg wash</t>
  </si>
  <si>
    <t>Meinke</t>
  </si>
  <si>
    <t>Clean, swiches,alarm lamp and all caple</t>
  </si>
  <si>
    <t>ce84ec43-05b0-4f89-b3d1-6d8d7de7068b</t>
  </si>
  <si>
    <t>Gear box</t>
  </si>
  <si>
    <t>Check oil level ,sound and vibration</t>
  </si>
  <si>
    <t>a7b0f782-f221-4de2-99c5-e1c8edb94905</t>
  </si>
  <si>
    <t>Bearing</t>
  </si>
  <si>
    <t>Change bearing</t>
  </si>
  <si>
    <t>Monthly</t>
  </si>
  <si>
    <t>57bf9e37-4e7c-4035-97a9-1a400f1de21e</t>
  </si>
  <si>
    <t>C3</t>
  </si>
  <si>
    <t>Sprinkler unit</t>
  </si>
  <si>
    <t>C3 Sprinkler unit</t>
  </si>
  <si>
    <t>56e59373-8872-4fdf-b4a1-d6df83ad19e2</t>
  </si>
  <si>
    <t>bfb33a07-edd9-40a6-81be-37002e9a1e97</t>
  </si>
  <si>
    <t>Chain and gear</t>
  </si>
  <si>
    <t>Lubricate</t>
  </si>
  <si>
    <t>66dc8ba0-e748-402f-9344-a47c1c7e69ba</t>
  </si>
  <si>
    <t>C4</t>
  </si>
  <si>
    <t>Rotary shape machine</t>
  </si>
  <si>
    <t>C4 Rotary shape machine</t>
  </si>
  <si>
    <t>Buhler</t>
  </si>
  <si>
    <t>d8e36478-3593-4fef-808e-99089f78a947</t>
  </si>
  <si>
    <t>Gear &amp; Gear box</t>
  </si>
  <si>
    <t>check oil of gear box heck gearwheels and tooth racks; lubricate if require</t>
  </si>
  <si>
    <t>2000 hr</t>
  </si>
  <si>
    <t>2026-04-30</t>
  </si>
  <si>
    <t>0506376e-d4a7-4e96-8a60-6aa1e1be457b</t>
  </si>
  <si>
    <t>3e5d7197-726f-48f9-923b-c75ab99e115c</t>
  </si>
  <si>
    <t>Chain</t>
  </si>
  <si>
    <t>low-clean light barriers and reflectors with compressed air, Check slippage of conveyor belts &amp; pneumatic</t>
  </si>
  <si>
    <t>120 hr</t>
  </si>
  <si>
    <t>35c2668b-d097-4ec1-9506-def7f3ae8969</t>
  </si>
  <si>
    <t>Safety devices</t>
  </si>
  <si>
    <t xml:space="preserve">Check functioning of safety devices 
and switches (emergency stop button)</t>
  </si>
  <si>
    <t>5000 hr</t>
  </si>
  <si>
    <t>2026-10-22</t>
  </si>
  <si>
    <t>c177e63c-77b2-40cb-a125-b35ea4e24aa1</t>
  </si>
  <si>
    <t>Belt</t>
  </si>
  <si>
    <t>control &amp; adjust conveyor belt &amp; scraper</t>
  </si>
  <si>
    <t>54974292-ae89-48cd-9f20-a1c91037466d</t>
  </si>
  <si>
    <t>C5</t>
  </si>
  <si>
    <t>Vanilla ring machine</t>
  </si>
  <si>
    <t>C5 Vanilla ring machine</t>
  </si>
  <si>
    <t>035d2d5d-349c-4856-9da2-370b81d45041</t>
  </si>
  <si>
    <t>Gear boxes shaft</t>
  </si>
  <si>
    <t>Change</t>
  </si>
  <si>
    <t>05e35d30-b072-4db9-94d1-979098eb288d</t>
  </si>
  <si>
    <t>Bearing &amp; shafts</t>
  </si>
  <si>
    <t>Change bearing grease, shaft seal and elastic rim gear</t>
  </si>
  <si>
    <t>6f1e4ecb-8572-4e01-8d02-029acb0afbb4</t>
  </si>
  <si>
    <t>linear guide</t>
  </si>
  <si>
    <t>215434fe-4f06-4037-850f-4e7412ed8902</t>
  </si>
  <si>
    <t>Spindle And guide spindle</t>
  </si>
  <si>
    <t>Check and Greasing</t>
  </si>
  <si>
    <t>81935dcc-45e0-48a0-b5c5-d31e7da932d3</t>
  </si>
  <si>
    <t>Cam discs and cam rollers</t>
  </si>
  <si>
    <t>a754c90e-214d-46ca-bae6-c5ff2bed2ea2</t>
  </si>
  <si>
    <t>Greasin nozzles</t>
  </si>
  <si>
    <t>bcc25b43-9cf4-46f9-bb02-222a7f5baed1</t>
  </si>
  <si>
    <t>Rotating parts</t>
  </si>
  <si>
    <t>Greasing rotatingg parts</t>
  </si>
  <si>
    <t>7d409da7-85b6-44e3-b933-657f970f0512</t>
  </si>
  <si>
    <t>Electric</t>
  </si>
  <si>
    <t>e13521c7-5987-46bb-8eb1-e4a557b162e1</t>
  </si>
  <si>
    <t>C6</t>
  </si>
  <si>
    <t>Wire cut 1</t>
  </si>
  <si>
    <t>C6 Wire cut 1</t>
  </si>
  <si>
    <t>electric panel</t>
  </si>
  <si>
    <t>55be8a43-2a60-4596-bac4-2f5104aebb4a</t>
  </si>
  <si>
    <t>gear box</t>
  </si>
  <si>
    <t>7e07142d-6e89-42e0-ae64-fe8cf05f9e7d</t>
  </si>
  <si>
    <t>depositor head points</t>
  </si>
  <si>
    <t>8 hr</t>
  </si>
  <si>
    <t>a299ed4a-0212-4f24-828e-d85b47c6fdce</t>
  </si>
  <si>
    <t>dough conveying mechanism</t>
  </si>
  <si>
    <t>f5f5f2de-c538-41bc-83f2-818c13e75964</t>
  </si>
  <si>
    <t>bronze nut dough conveying mechanism</t>
  </si>
  <si>
    <t>4e4782a4-c513-4766-b1eb-199a9943418d</t>
  </si>
  <si>
    <t>Gears</t>
  </si>
  <si>
    <t>773a324d-1c7b-4f1c-bf87-ba6025e48837</t>
  </si>
  <si>
    <t>C7</t>
  </si>
  <si>
    <t>Wire cut 2</t>
  </si>
  <si>
    <t>C7 Wire cut 2</t>
  </si>
  <si>
    <t>8af00490-0356-4009-8caf-976367ace256</t>
  </si>
  <si>
    <t>7e8373d7-a337-43e8-a37c-6be7c4bae6f3</t>
  </si>
  <si>
    <t>Depositor head points</t>
  </si>
  <si>
    <t>0afa1d00-5729-43fb-83df-f461f119fc00</t>
  </si>
  <si>
    <t>Dough conveying mechanism</t>
  </si>
  <si>
    <t>37092152-63fb-4d33-8fc3-a59f45303da6</t>
  </si>
  <si>
    <t>Bronze nut dough conveying mechanism</t>
  </si>
  <si>
    <t>27753fd8-885b-44cf-ace9-1ea7bc2f46b8</t>
  </si>
  <si>
    <t>a4b26e2b-af2e-4f4b-af72-dffa5ec8d77e</t>
  </si>
  <si>
    <t>Baking</t>
  </si>
  <si>
    <t>C8</t>
  </si>
  <si>
    <t>oven</t>
  </si>
  <si>
    <t>C8 oven</t>
  </si>
  <si>
    <t>Meinke/Buhler</t>
  </si>
  <si>
    <t>dbaf6c7b-b303-4b95-b0fc-2dc443e19464</t>
  </si>
  <si>
    <t>Burner</t>
  </si>
  <si>
    <t>Check the burner</t>
  </si>
  <si>
    <t>e95bddf4-49f5-425c-b906-9dc2e4497669</t>
  </si>
  <si>
    <t>Clean the Burner</t>
  </si>
  <si>
    <t>Annual</t>
  </si>
  <si>
    <t>0da2319f-c505-4b20-9c17-1dc79ec048d4</t>
  </si>
  <si>
    <t>38edd36f-6ec3-46c0-a2b9-1e69dec97f26</t>
  </si>
  <si>
    <t>1667062e-1819-479f-9cd2-9001a55d86c2</t>
  </si>
  <si>
    <t>Bearing and rotating parts</t>
  </si>
  <si>
    <t>Grease all bearing and rotating Parts</t>
  </si>
  <si>
    <t>7eb00af3-ee9c-42a6-98dc-c295a24b4728</t>
  </si>
  <si>
    <t>Rollers</t>
  </si>
  <si>
    <t>Check the bearing of all rollers</t>
  </si>
  <si>
    <t>fd11d06d-f566-4158-8147-ab291e8323d8</t>
  </si>
  <si>
    <t>chain</t>
  </si>
  <si>
    <t>Greasing the chain</t>
  </si>
  <si>
    <t>52502464-c751-4600-a0c9-1dc4f93dea66</t>
  </si>
  <si>
    <t>Blowers</t>
  </si>
  <si>
    <t>Check vibration</t>
  </si>
  <si>
    <t>080002f4-113e-4f36-8c74-68fe54bde313</t>
  </si>
  <si>
    <t>Steel belt</t>
  </si>
  <si>
    <t>Check rivits</t>
  </si>
  <si>
    <t>31637892-bfd7-4d1e-9242-6507f6f6b32b</t>
  </si>
  <si>
    <t>Conveyor</t>
  </si>
  <si>
    <t>C9</t>
  </si>
  <si>
    <t>Wire mesh conveyor</t>
  </si>
  <si>
    <t>C9 Wire mesh conveyor</t>
  </si>
  <si>
    <t>cf59cc3c-4ec2-41e8-b0e4-6613c6b431a3</t>
  </si>
  <si>
    <t>a2e4e565-3187-4ac8-8b8d-ee1e4e22b6eb</t>
  </si>
  <si>
    <t>019982e5-836c-4111-86ec-56fd734cbf08</t>
  </si>
  <si>
    <t>Check the bearing of all rollers, belt</t>
  </si>
  <si>
    <t>077d0a64-188a-40b5-b05d-91e16c379712</t>
  </si>
  <si>
    <t>C10</t>
  </si>
  <si>
    <t>Conveyor1</t>
  </si>
  <si>
    <t>C10 Conveyor1</t>
  </si>
  <si>
    <t>Local</t>
  </si>
  <si>
    <t>clean, swiches,alarm lamp and all caple</t>
  </si>
  <si>
    <t>679cd308-c3b9-4d7a-971b-d1021f4ba38c</t>
  </si>
  <si>
    <t>check oil level ,sound and vibration</t>
  </si>
  <si>
    <t>4f4ef520-14f4-4e8f-9ed3-6ba4287afe0b</t>
  </si>
  <si>
    <t>change oil of gear box</t>
  </si>
  <si>
    <t>b2cbd879-b477-48ad-b4d5-af2165af2e09</t>
  </si>
  <si>
    <t>Rollers &amp; belt</t>
  </si>
  <si>
    <t>check the bearing of all rollers &amp; Belt</t>
  </si>
  <si>
    <t>6a05dd7e-5ec3-4622-94fb-098a53cf7ce2</t>
  </si>
  <si>
    <t>C11</t>
  </si>
  <si>
    <t>Conveyor2</t>
  </si>
  <si>
    <t>C11 Conveyor2</t>
  </si>
  <si>
    <t>359c6d4f-c4c0-4a3d-95dc-6b968baa7dd2</t>
  </si>
  <si>
    <t>5343bdba-7f40-41bb-ab94-da5274a62fc6</t>
  </si>
  <si>
    <t>81352822-15cb-483c-9a1c-db050ad23f00</t>
  </si>
  <si>
    <t>d8698edf-0c15-4ea0-bb80-d673f5e30a57</t>
  </si>
  <si>
    <t>C12</t>
  </si>
  <si>
    <t>Conveyor3</t>
  </si>
  <si>
    <t>C12 Conveyor3</t>
  </si>
  <si>
    <t>92c3c26b-dee1-45a5-9e3c-cb8941051e8f</t>
  </si>
  <si>
    <t>1105f235-7e8f-4d3d-8c3e-60d1fc036ada</t>
  </si>
  <si>
    <t>8461378c-5d9a-4309-a955-737be4e7a306</t>
  </si>
  <si>
    <t>dfaf6672-aff7-46cc-bb3c-63bc814ac995</t>
  </si>
  <si>
    <t>C13</t>
  </si>
  <si>
    <t>Conveyor4</t>
  </si>
  <si>
    <t>C13 Conveyor4</t>
  </si>
  <si>
    <t>269f0886-76ab-4fbe-b933-12a250598b27</t>
  </si>
  <si>
    <t>dcd77060-4f51-4cbd-a7cf-aff5ee46b2bb</t>
  </si>
  <si>
    <t>6a805ed8-7edf-41fa-9eeb-15ef3113f2c5</t>
  </si>
  <si>
    <t>1260e11c-fd75-42d9-a923-34bb5fd8b595</t>
  </si>
  <si>
    <t>C14</t>
  </si>
  <si>
    <t>Conveyor5</t>
  </si>
  <si>
    <t>C14 Conveyor5</t>
  </si>
  <si>
    <t>073dd1c3-6da8-4500-80ab-64448343d408</t>
  </si>
  <si>
    <t>9b2bcde6-7d94-47ce-9243-35943026988c</t>
  </si>
  <si>
    <t>04528492-3753-4cae-8902-4971ad9f70fe</t>
  </si>
  <si>
    <t>ba743b08-97ec-421c-a442-168c3bfddbf8</t>
  </si>
  <si>
    <t>C15</t>
  </si>
  <si>
    <t>Conveyor6</t>
  </si>
  <si>
    <t>C15 Conveyor6</t>
  </si>
  <si>
    <t>dcd3964b-af4c-44fa-ac73-2a470c39fb14</t>
  </si>
  <si>
    <t>66ba0311-aeec-4c82-b72d-bf06bea2ea3d</t>
  </si>
  <si>
    <t>6948cc64-7ddd-486e-8faf-9d9bbadfc3a1</t>
  </si>
  <si>
    <t>fed08dd9-4d5f-4f39-8c53-42b50375300f</t>
  </si>
  <si>
    <t>C16</t>
  </si>
  <si>
    <t>Conveyor7</t>
  </si>
  <si>
    <t>C16 Conveyor7</t>
  </si>
  <si>
    <t>144ad42d-640e-4ea4-952f-10a405508b89</t>
  </si>
  <si>
    <t>059a8b6c-7d41-4150-8c98-15753cbe7e3d</t>
  </si>
  <si>
    <t>ed60752b-9dcd-4759-ac80-a730706a487b</t>
  </si>
  <si>
    <t>3255a561-4daf-415f-8754-f9b57b7b2cc3</t>
  </si>
  <si>
    <t>Packaging</t>
  </si>
  <si>
    <t>C17</t>
  </si>
  <si>
    <t>Flow pack mashine1</t>
  </si>
  <si>
    <t>C17 Flow pack mashine1</t>
  </si>
  <si>
    <t>cavana 01</t>
  </si>
  <si>
    <t>clean, swiches,alarm lamp and all caple &amp; fans</t>
  </si>
  <si>
    <t>8f577313-2db8-4873-9c67-02dcb5724045</t>
  </si>
  <si>
    <t>Quarterly</t>
  </si>
  <si>
    <t>249b9d4e-58ad-42d6-b691-3bd3cbd6713a</t>
  </si>
  <si>
    <t>e394ce47-9fc1-42f3-b104-4bb9f334946f</t>
  </si>
  <si>
    <t>grease all bearing and rotating Parts</t>
  </si>
  <si>
    <t>500 hr</t>
  </si>
  <si>
    <t>2026-02-05</t>
  </si>
  <si>
    <t>bf2314aa-15a0-4cd0-923d-fa7976ea6bdb</t>
  </si>
  <si>
    <t>lungtidunal sealing unit</t>
  </si>
  <si>
    <t>grease sealng wheels and bevel gear</t>
  </si>
  <si>
    <t>300 hr</t>
  </si>
  <si>
    <t>2026-01-22</t>
  </si>
  <si>
    <t>354d3d6e-b223-4238-b09b-783ef1a848e0</t>
  </si>
  <si>
    <t>Flab folder</t>
  </si>
  <si>
    <t>lubricate bevel gear</t>
  </si>
  <si>
    <t>1bf85fb9-6fec-4ab6-ab5e-2d98b3a8c8c3</t>
  </si>
  <si>
    <t>lubricate  flab folder</t>
  </si>
  <si>
    <t>a5aea696-0d2c-4ddc-8c13-1887fae8047e</t>
  </si>
  <si>
    <t>Check PIV Oil</t>
  </si>
  <si>
    <t>Check oil</t>
  </si>
  <si>
    <t>8b083340-1bdb-4b95-a50b-be707fc3594b</t>
  </si>
  <si>
    <t>Spur gears of jaws</t>
  </si>
  <si>
    <t>greasing the chain</t>
  </si>
  <si>
    <t>cbc71d42-ce5f-4dda-a132-dd3210f439ea</t>
  </si>
  <si>
    <t>Discharge unit</t>
  </si>
  <si>
    <t>grease roller</t>
  </si>
  <si>
    <t>200 hr</t>
  </si>
  <si>
    <t>2026-01-15</t>
  </si>
  <si>
    <t>ffdd2109-9e00-493a-b236-13748ae412c6</t>
  </si>
  <si>
    <t>Pusher &amp; Feeding chain</t>
  </si>
  <si>
    <t>lubricate the chain</t>
  </si>
  <si>
    <t>a2b10213-9d2c-43d8-8c4e-4cc701ca743c</t>
  </si>
  <si>
    <t>Cam &amp; Transimision Duel adjustment &amp;  internal gear</t>
  </si>
  <si>
    <t>greasing</t>
  </si>
  <si>
    <t>d623217c-886e-4fe0-b505-3bc7af4b7ed6</t>
  </si>
  <si>
    <t>Height adjustment screw</t>
  </si>
  <si>
    <t>ae0f5ddf-2836-4ea0-bd6b-2c1bca4733a2</t>
  </si>
  <si>
    <t>Pneumatic cercuit</t>
  </si>
  <si>
    <t>check air leakage</t>
  </si>
  <si>
    <t>0f659bc0-b665-4dbb-a478-021009c8771e</t>
  </si>
  <si>
    <t>check hose and filter and regulator</t>
  </si>
  <si>
    <t>908cf415-e77c-49bd-ba30-87e0c51c0262</t>
  </si>
  <si>
    <t>Exit conveyors</t>
  </si>
  <si>
    <t>Check the conveyors</t>
  </si>
  <si>
    <t>0ef5b571-3e8f-4ecb-9b97-097f38dcd494</t>
  </si>
  <si>
    <t>Jaws</t>
  </si>
  <si>
    <t>check jaws and sealing</t>
  </si>
  <si>
    <t>6eaca766-1ead-456b-b5ce-9f3660d380be</t>
  </si>
  <si>
    <t>C18</t>
  </si>
  <si>
    <t>Flow pack mashine2</t>
  </si>
  <si>
    <t>C18 Flow pack mashine2</t>
  </si>
  <si>
    <t>Cavana05</t>
  </si>
  <si>
    <t>be99e9a7-d80d-4463-b095-2be86f70908d</t>
  </si>
  <si>
    <t>Pusher &amp; Transmition and feeding chain</t>
  </si>
  <si>
    <t>27ae532d-c780-4f79-8ec9-55e29dbf424c</t>
  </si>
  <si>
    <t>Reduction unitl sealing shafet</t>
  </si>
  <si>
    <t>Oil</t>
  </si>
  <si>
    <t>f62843b3-7ece-4ff5-b488-6dd8a646ea00</t>
  </si>
  <si>
    <t>Bearing supports</t>
  </si>
  <si>
    <t>0f08c06e-d49e-469b-85e2-f99aa8d4334e</t>
  </si>
  <si>
    <t>Sealing wheel</t>
  </si>
  <si>
    <t>0195f3be-c351-4a49-9d45-136b7586dc36</t>
  </si>
  <si>
    <t>ec2d04c9-2ea5-4250-90dc-49512e424efa</t>
  </si>
  <si>
    <t>Cylindrical and bevel gears</t>
  </si>
  <si>
    <t>421d6b25-3190-41bc-98b1-84d72ee8dcee</t>
  </si>
  <si>
    <t>9d4cea3e-fe60-421d-9c43-03820bd1a185</t>
  </si>
  <si>
    <t>Spur gear</t>
  </si>
  <si>
    <t>cbaf98fc-ece0-4091-bb2e-5b6bdbf5e343</t>
  </si>
  <si>
    <t>Check air leakage</t>
  </si>
  <si>
    <t>4b10521b-423a-4aac-9507-bf87c970f597</t>
  </si>
  <si>
    <t>Check hose and filter and regulator</t>
  </si>
  <si>
    <t>8e6c38de-4fbf-45da-a109-f70fd1caf51e</t>
  </si>
  <si>
    <t>Jaws &amp; belt</t>
  </si>
  <si>
    <t>Check jaws and sealing &amp;belts</t>
  </si>
  <si>
    <t>515e4803-dd9e-4f13-9bcd-7ad21bae715c</t>
  </si>
  <si>
    <t>C19</t>
  </si>
  <si>
    <t>Tape machine</t>
  </si>
  <si>
    <t>C19 Tape machine</t>
  </si>
  <si>
    <t>Shur</t>
  </si>
  <si>
    <t>Moving parts</t>
  </si>
  <si>
    <t>Greasing cam</t>
  </si>
  <si>
    <t>7ddcfc43-9df1-454e-a753-d6d53678bfe2</t>
  </si>
  <si>
    <t>piping valves, Gaskets</t>
  </si>
  <si>
    <t>Check leakage</t>
  </si>
  <si>
    <t>ed1f4daa-f94f-4f41-b44e-e3e3a7038d15</t>
  </si>
  <si>
    <t>C20</t>
  </si>
  <si>
    <t>Conveyor8</t>
  </si>
  <si>
    <t>C20 Conveyor8</t>
  </si>
  <si>
    <t>ebbd8583-c27f-4966-8f08-f57320a38112</t>
  </si>
  <si>
    <t>3ed92936-ed78-4a5b-8fa4-6253b4d19fa1</t>
  </si>
  <si>
    <t>c8f87aed-3ce3-490e-9bfc-dd24f4c7eb79</t>
  </si>
  <si>
    <t>c864da8f-207a-4440-a622-65bcb6fd3b15</t>
  </si>
  <si>
    <t>C21</t>
  </si>
  <si>
    <t>Conveyor9</t>
  </si>
  <si>
    <t>C21 Conveyor9</t>
  </si>
  <si>
    <t>0efce1c7-a9c5-43ed-95ce-8eeacdb25b38</t>
  </si>
  <si>
    <t>53cb6c32-3f20-48ff-8ef1-2f9171e79396</t>
  </si>
  <si>
    <t>8187f96d-563f-4dcf-adae-1bc200c0f6fd</t>
  </si>
  <si>
    <t>1405dd47-f7a2-41bf-98d0-ea00f4015584</t>
  </si>
  <si>
    <t>C22</t>
  </si>
  <si>
    <t>Conveyor10</t>
  </si>
  <si>
    <t>C22 Conveyor10</t>
  </si>
  <si>
    <t>5b7fa0b2-6749-47c5-9d7a-139bc1c68d72</t>
  </si>
  <si>
    <t>cdd8836c-3a41-46f3-9719-4666e97a10ca</t>
  </si>
  <si>
    <t>b88795bc-a2cf-41b4-a8f4-25d7cb2e3e5a</t>
  </si>
  <si>
    <t>f56ae1c7-f484-4456-b53f-66c831e0c79f</t>
  </si>
  <si>
    <t>C23</t>
  </si>
  <si>
    <t>Metal detector</t>
  </si>
  <si>
    <t>C23 Metal detector</t>
  </si>
  <si>
    <t>Loma system</t>
  </si>
  <si>
    <t>023c549e-70a3-43e6-bf6d-d2f5fccf8a5c</t>
  </si>
  <si>
    <t>C24</t>
  </si>
  <si>
    <t>Check weir</t>
  </si>
  <si>
    <t>C24 Check weir</t>
  </si>
  <si>
    <t>b890278c-e75d-4b32-a3af-b88b45db15ce</t>
  </si>
  <si>
    <t>C25</t>
  </si>
  <si>
    <t>Carton Sealer</t>
  </si>
  <si>
    <t>C25 Carton Sealer</t>
  </si>
  <si>
    <t>siat</t>
  </si>
  <si>
    <t>9b303b0e-b901-4841-a8b4-b74ffc326be5</t>
  </si>
  <si>
    <t>lubricate</t>
  </si>
  <si>
    <t>78c02bc6-5a58-4bc3-8b19-1c0c1435dff8</t>
  </si>
  <si>
    <t>Blade clreaning  &amp; roller shaft&amp;cutters</t>
  </si>
  <si>
    <t>ac319f68-af70-4eb9-8def-8eddeb60a21c</t>
  </si>
  <si>
    <t>C26</t>
  </si>
  <si>
    <t>C26 Conveyor</t>
  </si>
  <si>
    <t>Zultec</t>
  </si>
  <si>
    <t>f5aef82a-dfae-4b8d-b85e-e2eaade6706c</t>
  </si>
  <si>
    <t>12b83b00-29c3-4ecf-b750-9a92b04916e3</t>
  </si>
  <si>
    <t>de4ba0fa-5269-411a-b773-2694089480bf</t>
  </si>
  <si>
    <t>e2460b22-7a34-4318-9184-7171383ef0a9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</si>
</sst>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2" fillId="13" borderId="1" xfId="0" applyNumberFormat="1" applyFont="1" applyFill="1" applyBorder="1" applyAlignment="1">
      <alignment horizontal="center" vertical="center" wrapText="1"/>
    </xf>
    <xf numFmtId="166" fontId="10" fillId="1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IFERROR(SUMPRODUCT((B7:B276&lt;&gt;"")/COUNTIFS(B7:B276,B7:B276&amp;"")),0)</f>
      </c>
      <c r="B3" s="6">
        <f>SUM(AM7:AM276)</f>
      </c>
      <c r="C3" s="6">
        <f>SUM(AL7:AL276)</f>
      </c>
      <c r="D3" s="6">
        <f>MAX(B3-C3,0)</f>
      </c>
      <c r="E3" s="7">
        <f>IFERROR(C3/B3,0)</f>
      </c>
      <c r="F3" s="6">
        <f>COUNTIFS(H7:H276,"planed",L7:L276,"Calendar")</f>
      </c>
      <c r="G3" s="6">
        <f>COUNTIFS(H7:H276,"planed",L7:L276,"Running Hours")</f>
      </c>
      <c r="H3" s="6">
        <f>COUNTIFS(H7:H276,"planed",L7:L276,"PLC Hours")</f>
      </c>
      <c r="J3" s="8">
        <f>SUM(AN7:AN276)</f>
      </c>
      <c r="K3" s="8">
        <f>SUM(AS7:AS276)</f>
      </c>
      <c r="L3" s="8">
        <f>IFERROR(K3/J3,0)</f>
      </c>
      <c r="M3" s="8">
        <f>SUM(AO7:AO276)</f>
      </c>
      <c r="N3" s="8">
        <f>SUM(AT7:AT276)</f>
      </c>
      <c r="O3" s="8">
        <f>IFERROR(N3/M3,0)</f>
      </c>
      <c r="P3" s="8">
        <f>SUM(AP7:AP276)</f>
      </c>
      <c r="Q3" s="8">
        <f>SUM(AU7:AU276)</f>
      </c>
      <c r="R3" s="8">
        <f>IFERROR(Q3/P3,0)</f>
      </c>
      <c r="S3" s="8">
        <f>SUM(AQ7:AQ276)</f>
      </c>
      <c r="T3" s="8">
        <f>SUM(AV7:AV276)</f>
      </c>
      <c r="U3" s="8">
        <f>IFERROR(T3/S3,0)</f>
      </c>
      <c r="V3" s="8">
        <f>SUM(AR7:AR276)</f>
      </c>
      <c r="W3" s="8">
        <f>SUM(AW7:AW276)</f>
      </c>
      <c r="X3" s="8">
        <f>IFERROR(W3/V3,0)</f>
      </c>
      <c r="Y3" s="8" t="s">
        <v>26</v>
      </c>
      <c r="AL3">
        <f>SUM(AL7:AL276)</f>
      </c>
      <c r="AM3">
        <f>SUM(AM7:AM276)</f>
      </c>
      <c r="AN3">
        <f>SUM(AN7:AN276)</f>
      </c>
      <c r="AO3">
        <f>SUM(AO7:AO276)</f>
      </c>
      <c r="AP3">
        <f>SUM(AP7:AP276)</f>
      </c>
      <c r="AQ3">
        <f>SUM(AQ7:AQ276)</f>
      </c>
      <c r="AR3">
        <f>SUM(AR7:AR276)</f>
      </c>
      <c r="AS3">
        <f>SUM(AS7:AS276)</f>
      </c>
      <c r="AT3">
        <f>SUM(AT7:AT276)</f>
      </c>
      <c r="AU3">
        <f>SUM(AU7:AU276)</f>
      </c>
      <c r="AV3">
        <f>SUM(AV7:AV276)</f>
      </c>
      <c r="AW3">
        <f>SUM(AW7:AW276)</f>
      </c>
    </row>
    <row r="4" ht="20" customHeight="1" spans="16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6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59</v>
      </c>
      <c r="D7" s="14" t="s">
        <v>61</v>
      </c>
      <c r="E7" s="14" t="s">
        <v>62</v>
      </c>
      <c r="F7" s="15" t="s">
        <v>63</v>
      </c>
      <c r="G7" s="15" t="s">
        <v>64</v>
      </c>
      <c r="H7" s="14" t="s">
        <v>65</v>
      </c>
      <c r="I7" s="16">
        <v>1</v>
      </c>
      <c r="J7" s="17">
        <v>1</v>
      </c>
      <c r="K7" s="14" t="s">
        <v>66</v>
      </c>
      <c r="L7" s="14" t="s">
        <v>67</v>
      </c>
      <c r="M7" s="14"/>
      <c r="N7" s="14"/>
      <c r="O7" s="15"/>
      <c r="P7" s="18">
        <v>1</v>
      </c>
      <c r="Q7" s="18">
        <v>1</v>
      </c>
      <c r="R7" s="18">
        <v>1</v>
      </c>
      <c r="S7" s="18">
        <v>1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68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69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68</v>
      </c>
    </row>
    <row r="9" ht="28" customHeight="1" spans="1:51" x14ac:dyDescent="0.25">
      <c r="A9" s="14"/>
      <c r="B9" s="14"/>
      <c r="C9" s="14"/>
      <c r="D9" s="14"/>
      <c r="E9" s="14"/>
      <c r="F9" s="15" t="s">
        <v>70</v>
      </c>
      <c r="G9" s="15" t="s">
        <v>71</v>
      </c>
      <c r="H9" s="14" t="s">
        <v>65</v>
      </c>
      <c r="I9" s="16">
        <v>1</v>
      </c>
      <c r="J9" s="17">
        <v>1</v>
      </c>
      <c r="K9" s="14" t="s">
        <v>66</v>
      </c>
      <c r="L9" s="14" t="s">
        <v>67</v>
      </c>
      <c r="M9" s="14"/>
      <c r="N9" s="14"/>
      <c r="O9" s="15"/>
      <c r="P9" s="18">
        <v>1</v>
      </c>
      <c r="Q9" s="18">
        <v>1</v>
      </c>
      <c r="R9" s="18">
        <v>1</v>
      </c>
      <c r="S9" s="18">
        <v>1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72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69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72</v>
      </c>
    </row>
    <row r="11" ht="28" customHeight="1" spans="1:51" x14ac:dyDescent="0.25">
      <c r="A11" s="14"/>
      <c r="B11" s="14"/>
      <c r="C11" s="14"/>
      <c r="D11" s="14"/>
      <c r="E11" s="14"/>
      <c r="F11" s="15" t="s">
        <v>73</v>
      </c>
      <c r="G11" s="15" t="s">
        <v>74</v>
      </c>
      <c r="H11" s="14" t="s">
        <v>65</v>
      </c>
      <c r="I11" s="16">
        <v>5</v>
      </c>
      <c r="J11" s="17">
        <v>10000</v>
      </c>
      <c r="K11" s="14" t="s">
        <v>75</v>
      </c>
      <c r="L11" s="14" t="s">
        <v>76</v>
      </c>
      <c r="M11" s="14"/>
      <c r="N11" s="14"/>
      <c r="O11" s="15"/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69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78</v>
      </c>
      <c r="G13" s="15" t="s">
        <v>79</v>
      </c>
      <c r="H13" s="14" t="s">
        <v>65</v>
      </c>
      <c r="I13" s="16">
        <v>5</v>
      </c>
      <c r="J13" s="17">
        <v>6000</v>
      </c>
      <c r="K13" s="14" t="s">
        <v>80</v>
      </c>
      <c r="L13" s="14" t="s">
        <v>76</v>
      </c>
      <c r="M13" s="14"/>
      <c r="N13" s="14" t="s">
        <v>81</v>
      </c>
      <c r="O13" s="15"/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82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69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82</v>
      </c>
    </row>
    <row r="15" ht="28" customHeight="1" spans="1:51" x14ac:dyDescent="0.25">
      <c r="A15" s="14"/>
      <c r="B15" s="14"/>
      <c r="C15" s="14"/>
      <c r="D15" s="14"/>
      <c r="E15" s="14"/>
      <c r="F15" s="15" t="s">
        <v>83</v>
      </c>
      <c r="G15" s="15" t="s">
        <v>79</v>
      </c>
      <c r="H15" s="14" t="s">
        <v>65</v>
      </c>
      <c r="I15" s="16">
        <v>3</v>
      </c>
      <c r="J15" s="17">
        <v>1000</v>
      </c>
      <c r="K15" s="14" t="s">
        <v>84</v>
      </c>
      <c r="L15" s="14" t="s">
        <v>76</v>
      </c>
      <c r="M15" s="14"/>
      <c r="N15" s="14" t="s">
        <v>85</v>
      </c>
      <c r="O15" s="15"/>
      <c r="P15" s="19">
        <v>0</v>
      </c>
      <c r="Q15" s="22">
        <v>3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86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69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86</v>
      </c>
    </row>
    <row r="17" ht="28" customHeight="1" spans="1:51" x14ac:dyDescent="0.25">
      <c r="A17" s="14"/>
      <c r="B17" s="14"/>
      <c r="C17" s="14"/>
      <c r="D17" s="14"/>
      <c r="E17" s="14"/>
      <c r="F17" s="15" t="s">
        <v>87</v>
      </c>
      <c r="G17" s="15" t="s">
        <v>79</v>
      </c>
      <c r="H17" s="14" t="s">
        <v>65</v>
      </c>
      <c r="I17" s="16">
        <v>3</v>
      </c>
      <c r="J17" s="17">
        <v>1000</v>
      </c>
      <c r="K17" s="14" t="s">
        <v>84</v>
      </c>
      <c r="L17" s="14" t="s">
        <v>76</v>
      </c>
      <c r="M17" s="14"/>
      <c r="N17" s="14" t="s">
        <v>85</v>
      </c>
      <c r="O17" s="15"/>
      <c r="P17" s="19">
        <v>0</v>
      </c>
      <c r="Q17" s="22">
        <v>3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88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69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88</v>
      </c>
    </row>
    <row r="19" ht="28" customHeight="1" spans="1:51" x14ac:dyDescent="0.25">
      <c r="A19" s="14"/>
      <c r="B19" s="14"/>
      <c r="C19" s="14"/>
      <c r="D19" s="14"/>
      <c r="E19" s="14"/>
      <c r="F19" s="15" t="s">
        <v>89</v>
      </c>
      <c r="G19" s="15" t="s">
        <v>79</v>
      </c>
      <c r="H19" s="14" t="s">
        <v>65</v>
      </c>
      <c r="I19" s="16">
        <v>3</v>
      </c>
      <c r="J19" s="17">
        <v>1000</v>
      </c>
      <c r="K19" s="14" t="s">
        <v>84</v>
      </c>
      <c r="L19" s="14" t="s">
        <v>76</v>
      </c>
      <c r="M19" s="14"/>
      <c r="N19" s="14" t="s">
        <v>85</v>
      </c>
      <c r="O19" s="15"/>
      <c r="P19" s="19">
        <v>0</v>
      </c>
      <c r="Q19" s="22">
        <v>3</v>
      </c>
      <c r="R19" s="19">
        <v>0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90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69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90</v>
      </c>
    </row>
    <row r="21" ht="28" customHeight="1" spans="1:51" x14ac:dyDescent="0.25">
      <c r="A21" s="14"/>
      <c r="B21" s="14"/>
      <c r="C21" s="14"/>
      <c r="D21" s="14"/>
      <c r="E21" s="14"/>
      <c r="F21" s="15" t="s">
        <v>91</v>
      </c>
      <c r="G21" s="15" t="s">
        <v>79</v>
      </c>
      <c r="H21" s="14" t="s">
        <v>65</v>
      </c>
      <c r="I21" s="16">
        <v>1</v>
      </c>
      <c r="J21" s="17">
        <v>40</v>
      </c>
      <c r="K21" s="14" t="s">
        <v>92</v>
      </c>
      <c r="L21" s="14" t="s">
        <v>76</v>
      </c>
      <c r="M21" s="14"/>
      <c r="N21" s="14" t="s">
        <v>93</v>
      </c>
      <c r="O21" s="15"/>
      <c r="P21" s="18">
        <v>1</v>
      </c>
      <c r="Q21" s="18">
        <v>1</v>
      </c>
      <c r="R21" s="18">
        <v>1</v>
      </c>
      <c r="S21" s="18">
        <v>1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94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69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94</v>
      </c>
    </row>
    <row r="23" ht="28" customHeight="1" spans="1:51" x14ac:dyDescent="0.25">
      <c r="A23" s="14" t="s">
        <v>95</v>
      </c>
      <c r="B23" s="14" t="s">
        <v>96</v>
      </c>
      <c r="C23" s="14" t="s">
        <v>97</v>
      </c>
      <c r="D23" s="14" t="s">
        <v>98</v>
      </c>
      <c r="E23" s="14" t="s">
        <v>99</v>
      </c>
      <c r="F23" s="15" t="s">
        <v>63</v>
      </c>
      <c r="G23" s="15" t="s">
        <v>100</v>
      </c>
      <c r="H23" s="14" t="s">
        <v>65</v>
      </c>
      <c r="I23" s="16">
        <v>1</v>
      </c>
      <c r="J23" s="17">
        <v>1</v>
      </c>
      <c r="K23" s="14" t="s">
        <v>66</v>
      </c>
      <c r="L23" s="14" t="s">
        <v>67</v>
      </c>
      <c r="M23" s="14"/>
      <c r="N23" s="14"/>
      <c r="O23" s="15"/>
      <c r="P23" s="18">
        <v>1</v>
      </c>
      <c r="Q23" s="18">
        <v>1</v>
      </c>
      <c r="R23" s="18">
        <v>1</v>
      </c>
      <c r="S23" s="18">
        <v>1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96</v>
      </c>
      <c r="AY23" t="s">
        <v>101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69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96</v>
      </c>
      <c r="AY24" t="s">
        <v>101</v>
      </c>
    </row>
    <row r="25" ht="28" customHeight="1" spans="1:51" x14ac:dyDescent="0.25">
      <c r="A25" s="14"/>
      <c r="B25" s="14"/>
      <c r="C25" s="14"/>
      <c r="D25" s="14"/>
      <c r="E25" s="14"/>
      <c r="F25" s="15" t="s">
        <v>102</v>
      </c>
      <c r="G25" s="15" t="s">
        <v>103</v>
      </c>
      <c r="H25" s="14" t="s">
        <v>65</v>
      </c>
      <c r="I25" s="16">
        <v>5</v>
      </c>
      <c r="J25" s="17">
        <v>10000</v>
      </c>
      <c r="K25" s="14" t="s">
        <v>75</v>
      </c>
      <c r="L25" s="14" t="s">
        <v>76</v>
      </c>
      <c r="M25" s="14"/>
      <c r="N25" s="14"/>
      <c r="O25" s="15"/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96</v>
      </c>
      <c r="AY25" t="s">
        <v>104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69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96</v>
      </c>
      <c r="AY26" t="s">
        <v>104</v>
      </c>
    </row>
    <row r="27" ht="28" customHeight="1" spans="1:51" x14ac:dyDescent="0.25">
      <c r="A27" s="14"/>
      <c r="B27" s="14"/>
      <c r="C27" s="14"/>
      <c r="D27" s="14"/>
      <c r="E27" s="14"/>
      <c r="F27" s="15" t="s">
        <v>105</v>
      </c>
      <c r="G27" s="15" t="s">
        <v>106</v>
      </c>
      <c r="H27" s="14" t="s">
        <v>65</v>
      </c>
      <c r="I27" s="16">
        <v>2</v>
      </c>
      <c r="J27" s="17">
        <v>1</v>
      </c>
      <c r="K27" s="14" t="s">
        <v>107</v>
      </c>
      <c r="L27" s="14" t="s">
        <v>67</v>
      </c>
      <c r="M27" s="14"/>
      <c r="N27" s="14"/>
      <c r="O27" s="15"/>
      <c r="P27" s="19">
        <v>0</v>
      </c>
      <c r="Q27" s="19">
        <v>0</v>
      </c>
      <c r="R27" s="23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96</v>
      </c>
      <c r="AY27" t="s">
        <v>108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69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96</v>
      </c>
      <c r="AY28" t="s">
        <v>108</v>
      </c>
    </row>
    <row r="29" ht="28" customHeight="1" spans="1:51" x14ac:dyDescent="0.25">
      <c r="A29" s="14"/>
      <c r="B29" s="14" t="s">
        <v>109</v>
      </c>
      <c r="C29" s="14" t="s">
        <v>110</v>
      </c>
      <c r="D29" s="14" t="s">
        <v>111</v>
      </c>
      <c r="E29" s="14" t="s">
        <v>99</v>
      </c>
      <c r="F29" s="15" t="s">
        <v>63</v>
      </c>
      <c r="G29" s="15" t="s">
        <v>100</v>
      </c>
      <c r="H29" s="14" t="s">
        <v>65</v>
      </c>
      <c r="I29" s="16">
        <v>1</v>
      </c>
      <c r="J29" s="17">
        <v>1</v>
      </c>
      <c r="K29" s="14" t="s">
        <v>66</v>
      </c>
      <c r="L29" s="14" t="s">
        <v>67</v>
      </c>
      <c r="M29" s="14"/>
      <c r="N29" s="14"/>
      <c r="O29" s="15"/>
      <c r="P29" s="18">
        <v>1</v>
      </c>
      <c r="Q29" s="18">
        <v>1</v>
      </c>
      <c r="R29" s="18">
        <v>1</v>
      </c>
      <c r="S29" s="18">
        <v>1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109</v>
      </c>
      <c r="AY29" t="s">
        <v>112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69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109</v>
      </c>
      <c r="AY30" t="s">
        <v>112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65</v>
      </c>
      <c r="I31" s="16">
        <v>5</v>
      </c>
      <c r="J31" s="17">
        <v>10000</v>
      </c>
      <c r="K31" s="14" t="s">
        <v>75</v>
      </c>
      <c r="L31" s="14" t="s">
        <v>76</v>
      </c>
      <c r="M31" s="14"/>
      <c r="N31" s="14"/>
      <c r="O31" s="15"/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109</v>
      </c>
      <c r="AY31" t="s">
        <v>113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69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109</v>
      </c>
      <c r="AY32" t="s">
        <v>113</v>
      </c>
    </row>
    <row r="33" ht="28" customHeight="1" spans="1:51" x14ac:dyDescent="0.25">
      <c r="A33" s="14"/>
      <c r="B33" s="14"/>
      <c r="C33" s="14"/>
      <c r="D33" s="14"/>
      <c r="E33" s="14"/>
      <c r="F33" s="15" t="s">
        <v>114</v>
      </c>
      <c r="G33" s="15" t="s">
        <v>115</v>
      </c>
      <c r="H33" s="14" t="s">
        <v>65</v>
      </c>
      <c r="I33" s="16">
        <v>2</v>
      </c>
      <c r="J33" s="17">
        <v>1</v>
      </c>
      <c r="K33" s="14" t="s">
        <v>107</v>
      </c>
      <c r="L33" s="14" t="s">
        <v>67</v>
      </c>
      <c r="M33" s="14"/>
      <c r="N33" s="14"/>
      <c r="O33" s="15"/>
      <c r="P33" s="19">
        <v>0</v>
      </c>
      <c r="Q33" s="19">
        <v>0</v>
      </c>
      <c r="R33" s="23">
        <v>2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109</v>
      </c>
      <c r="AY33" t="s">
        <v>116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69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109</v>
      </c>
      <c r="AY34" t="s">
        <v>116</v>
      </c>
    </row>
    <row r="35" ht="28" customHeight="1" spans="1:51" x14ac:dyDescent="0.25">
      <c r="A35" s="14"/>
      <c r="B35" s="14" t="s">
        <v>117</v>
      </c>
      <c r="C35" s="14" t="s">
        <v>118</v>
      </c>
      <c r="D35" s="14" t="s">
        <v>119</v>
      </c>
      <c r="E35" s="14" t="s">
        <v>120</v>
      </c>
      <c r="F35" s="15" t="s">
        <v>63</v>
      </c>
      <c r="G35" s="15" t="s">
        <v>100</v>
      </c>
      <c r="H35" s="14" t="s">
        <v>65</v>
      </c>
      <c r="I35" s="16">
        <v>1</v>
      </c>
      <c r="J35" s="17">
        <v>1</v>
      </c>
      <c r="K35" s="14" t="s">
        <v>66</v>
      </c>
      <c r="L35" s="14" t="s">
        <v>67</v>
      </c>
      <c r="M35" s="14"/>
      <c r="N35" s="14"/>
      <c r="O35" s="15"/>
      <c r="P35" s="18">
        <v>1</v>
      </c>
      <c r="Q35" s="18">
        <v>1</v>
      </c>
      <c r="R35" s="18">
        <v>1</v>
      </c>
      <c r="S35" s="18">
        <v>1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117</v>
      </c>
      <c r="AY35" t="s">
        <v>121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69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117</v>
      </c>
      <c r="AY36" t="s">
        <v>121</v>
      </c>
    </row>
    <row r="37" ht="28" customHeight="1" spans="1:51" x14ac:dyDescent="0.25">
      <c r="A37" s="14"/>
      <c r="B37" s="14"/>
      <c r="C37" s="14"/>
      <c r="D37" s="14"/>
      <c r="E37" s="14"/>
      <c r="F37" s="15" t="s">
        <v>122</v>
      </c>
      <c r="G37" s="15" t="s">
        <v>123</v>
      </c>
      <c r="H37" s="14" t="s">
        <v>65</v>
      </c>
      <c r="I37" s="16">
        <v>3</v>
      </c>
      <c r="J37" s="17">
        <v>2000</v>
      </c>
      <c r="K37" s="14" t="s">
        <v>124</v>
      </c>
      <c r="L37" s="14" t="s">
        <v>76</v>
      </c>
      <c r="M37" s="14"/>
      <c r="N37" s="14" t="s">
        <v>125</v>
      </c>
      <c r="O37" s="15"/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117</v>
      </c>
      <c r="AY37" t="s">
        <v>126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69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117</v>
      </c>
      <c r="AY38" t="s">
        <v>126</v>
      </c>
    </row>
    <row r="39" ht="28" customHeight="1" spans="1:51" x14ac:dyDescent="0.25">
      <c r="A39" s="14"/>
      <c r="B39" s="14"/>
      <c r="C39" s="14"/>
      <c r="D39" s="14"/>
      <c r="E39" s="14"/>
      <c r="F39" s="15" t="s">
        <v>122</v>
      </c>
      <c r="G39" s="15" t="s">
        <v>74</v>
      </c>
      <c r="H39" s="14" t="s">
        <v>65</v>
      </c>
      <c r="I39" s="16">
        <v>5</v>
      </c>
      <c r="J39" s="17">
        <v>10000</v>
      </c>
      <c r="K39" s="14" t="s">
        <v>75</v>
      </c>
      <c r="L39" s="14" t="s">
        <v>76</v>
      </c>
      <c r="M39" s="14"/>
      <c r="N39" s="14"/>
      <c r="O39" s="15"/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117</v>
      </c>
      <c r="AY39" t="s">
        <v>127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69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117</v>
      </c>
      <c r="AY40" t="s">
        <v>127</v>
      </c>
    </row>
    <row r="41" ht="28" customHeight="1" spans="1:51" x14ac:dyDescent="0.25">
      <c r="A41" s="14"/>
      <c r="B41" s="14"/>
      <c r="C41" s="14"/>
      <c r="D41" s="14"/>
      <c r="E41" s="14"/>
      <c r="F41" s="15" t="s">
        <v>128</v>
      </c>
      <c r="G41" s="15" t="s">
        <v>129</v>
      </c>
      <c r="H41" s="14" t="s">
        <v>65</v>
      </c>
      <c r="I41" s="16">
        <v>1</v>
      </c>
      <c r="J41" s="17">
        <v>120</v>
      </c>
      <c r="K41" s="14" t="s">
        <v>130</v>
      </c>
      <c r="L41" s="14" t="s">
        <v>76</v>
      </c>
      <c r="M41" s="14"/>
      <c r="N41" s="14" t="s">
        <v>93</v>
      </c>
      <c r="O41" s="15"/>
      <c r="P41" s="18">
        <v>1</v>
      </c>
      <c r="Q41" s="18">
        <v>1</v>
      </c>
      <c r="R41" s="18">
        <v>1</v>
      </c>
      <c r="S41" s="18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117</v>
      </c>
      <c r="AY41" t="s">
        <v>131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69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117</v>
      </c>
      <c r="AY42" t="s">
        <v>131</v>
      </c>
    </row>
    <row r="43" ht="28" customHeight="1" spans="1:51" x14ac:dyDescent="0.25">
      <c r="A43" s="14"/>
      <c r="B43" s="14"/>
      <c r="C43" s="14"/>
      <c r="D43" s="14"/>
      <c r="E43" s="14"/>
      <c r="F43" s="15" t="s">
        <v>132</v>
      </c>
      <c r="G43" s="15" t="s">
        <v>133</v>
      </c>
      <c r="H43" s="14" t="s">
        <v>65</v>
      </c>
      <c r="I43" s="16">
        <v>5</v>
      </c>
      <c r="J43" s="17">
        <v>5000</v>
      </c>
      <c r="K43" s="14" t="s">
        <v>134</v>
      </c>
      <c r="L43" s="14" t="s">
        <v>76</v>
      </c>
      <c r="M43" s="14"/>
      <c r="N43" s="14" t="s">
        <v>135</v>
      </c>
      <c r="O43" s="15"/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117</v>
      </c>
      <c r="AY43" t="s">
        <v>136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69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117</v>
      </c>
      <c r="AY44" t="s">
        <v>136</v>
      </c>
    </row>
    <row r="45" ht="28" customHeight="1" spans="1:51" x14ac:dyDescent="0.25">
      <c r="A45" s="14"/>
      <c r="B45" s="14"/>
      <c r="C45" s="14"/>
      <c r="D45" s="14"/>
      <c r="E45" s="14"/>
      <c r="F45" s="15" t="s">
        <v>137</v>
      </c>
      <c r="G45" s="15" t="s">
        <v>138</v>
      </c>
      <c r="H45" s="14" t="s">
        <v>65</v>
      </c>
      <c r="I45" s="16">
        <v>2</v>
      </c>
      <c r="J45" s="17">
        <v>1</v>
      </c>
      <c r="K45" s="14" t="s">
        <v>107</v>
      </c>
      <c r="L45" s="14" t="s">
        <v>67</v>
      </c>
      <c r="M45" s="14"/>
      <c r="N45" s="14"/>
      <c r="O45" s="15"/>
      <c r="P45" s="19">
        <v>0</v>
      </c>
      <c r="Q45" s="19">
        <v>0</v>
      </c>
      <c r="R45" s="23">
        <v>2</v>
      </c>
      <c r="S45" s="19">
        <v>0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117</v>
      </c>
      <c r="AY45" t="s">
        <v>139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69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117</v>
      </c>
      <c r="AY46" t="s">
        <v>139</v>
      </c>
    </row>
    <row r="47" ht="28" customHeight="1" spans="1:51" x14ac:dyDescent="0.25">
      <c r="A47" s="14"/>
      <c r="B47" s="14" t="s">
        <v>140</v>
      </c>
      <c r="C47" s="14" t="s">
        <v>141</v>
      </c>
      <c r="D47" s="14" t="s">
        <v>142</v>
      </c>
      <c r="E47" s="14" t="s">
        <v>120</v>
      </c>
      <c r="F47" s="15" t="s">
        <v>63</v>
      </c>
      <c r="G47" s="15" t="s">
        <v>100</v>
      </c>
      <c r="H47" s="14" t="s">
        <v>65</v>
      </c>
      <c r="I47" s="16">
        <v>1</v>
      </c>
      <c r="J47" s="17">
        <v>1</v>
      </c>
      <c r="K47" s="14" t="s">
        <v>66</v>
      </c>
      <c r="L47" s="14" t="s">
        <v>67</v>
      </c>
      <c r="M47" s="14"/>
      <c r="N47" s="14"/>
      <c r="O47" s="15"/>
      <c r="P47" s="18">
        <v>1</v>
      </c>
      <c r="Q47" s="18">
        <v>1</v>
      </c>
      <c r="R47" s="18">
        <v>1</v>
      </c>
      <c r="S47" s="18">
        <v>1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140</v>
      </c>
      <c r="AY47" t="s">
        <v>143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69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140</v>
      </c>
      <c r="AY48" t="s">
        <v>143</v>
      </c>
    </row>
    <row r="49" ht="28" customHeight="1" spans="1:51" x14ac:dyDescent="0.25">
      <c r="A49" s="14"/>
      <c r="B49" s="14"/>
      <c r="C49" s="14"/>
      <c r="D49" s="14"/>
      <c r="E49" s="14"/>
      <c r="F49" s="15" t="s">
        <v>144</v>
      </c>
      <c r="G49" s="15" t="s">
        <v>145</v>
      </c>
      <c r="H49" s="14" t="s">
        <v>65</v>
      </c>
      <c r="I49" s="16">
        <v>5</v>
      </c>
      <c r="J49" s="17">
        <v>6000</v>
      </c>
      <c r="K49" s="14" t="s">
        <v>80</v>
      </c>
      <c r="L49" s="14" t="s">
        <v>76</v>
      </c>
      <c r="M49" s="14"/>
      <c r="N49" s="14" t="s">
        <v>81</v>
      </c>
      <c r="O49" s="15"/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140</v>
      </c>
      <c r="AY49" t="s">
        <v>146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69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140</v>
      </c>
      <c r="AY50" t="s">
        <v>146</v>
      </c>
    </row>
    <row r="51" ht="28" customHeight="1" spans="1:51" x14ac:dyDescent="0.25">
      <c r="A51" s="14"/>
      <c r="B51" s="14"/>
      <c r="C51" s="14"/>
      <c r="D51" s="14"/>
      <c r="E51" s="14"/>
      <c r="F51" s="15" t="s">
        <v>147</v>
      </c>
      <c r="G51" s="15" t="s">
        <v>148</v>
      </c>
      <c r="H51" s="14" t="s">
        <v>65</v>
      </c>
      <c r="I51" s="16">
        <v>5</v>
      </c>
      <c r="J51" s="17">
        <v>10000</v>
      </c>
      <c r="K51" s="14" t="s">
        <v>75</v>
      </c>
      <c r="L51" s="14" t="s">
        <v>76</v>
      </c>
      <c r="M51" s="14"/>
      <c r="N51" s="14"/>
      <c r="O51" s="15"/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140</v>
      </c>
      <c r="AY51" t="s">
        <v>149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69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140</v>
      </c>
      <c r="AY52" t="s">
        <v>149</v>
      </c>
    </row>
    <row r="53" ht="28" customHeight="1" spans="1:51" x14ac:dyDescent="0.25">
      <c r="A53" s="14"/>
      <c r="B53" s="14"/>
      <c r="C53" s="14"/>
      <c r="D53" s="14"/>
      <c r="E53" s="14"/>
      <c r="F53" s="15" t="s">
        <v>150</v>
      </c>
      <c r="G53" s="15" t="s">
        <v>79</v>
      </c>
      <c r="H53" s="14" t="s">
        <v>65</v>
      </c>
      <c r="I53" s="16">
        <v>1</v>
      </c>
      <c r="J53" s="17">
        <v>120</v>
      </c>
      <c r="K53" s="14" t="s">
        <v>130</v>
      </c>
      <c r="L53" s="14" t="s">
        <v>76</v>
      </c>
      <c r="M53" s="14"/>
      <c r="N53" s="14" t="s">
        <v>93</v>
      </c>
      <c r="O53" s="15"/>
      <c r="P53" s="18">
        <v>1</v>
      </c>
      <c r="Q53" s="18">
        <v>1</v>
      </c>
      <c r="R53" s="18">
        <v>1</v>
      </c>
      <c r="S53" s="18">
        <v>1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140</v>
      </c>
      <c r="AY53" t="s">
        <v>151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69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140</v>
      </c>
      <c r="AY54" t="s">
        <v>151</v>
      </c>
    </row>
    <row r="55" ht="28" customHeight="1" spans="1:51" x14ac:dyDescent="0.25">
      <c r="A55" s="14"/>
      <c r="B55" s="14"/>
      <c r="C55" s="14"/>
      <c r="D55" s="14"/>
      <c r="E55" s="14"/>
      <c r="F55" s="15" t="s">
        <v>152</v>
      </c>
      <c r="G55" s="15" t="s">
        <v>153</v>
      </c>
      <c r="H55" s="14" t="s">
        <v>65</v>
      </c>
      <c r="I55" s="16">
        <v>1</v>
      </c>
      <c r="J55" s="17">
        <v>120</v>
      </c>
      <c r="K55" s="14" t="s">
        <v>130</v>
      </c>
      <c r="L55" s="14" t="s">
        <v>76</v>
      </c>
      <c r="M55" s="14"/>
      <c r="N55" s="14" t="s">
        <v>93</v>
      </c>
      <c r="O55" s="15"/>
      <c r="P55" s="18">
        <v>1</v>
      </c>
      <c r="Q55" s="18">
        <v>1</v>
      </c>
      <c r="R55" s="18">
        <v>1</v>
      </c>
      <c r="S55" s="18">
        <v>1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140</v>
      </c>
      <c r="AY55" t="s">
        <v>154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69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140</v>
      </c>
      <c r="AY56" t="s">
        <v>154</v>
      </c>
    </row>
    <row r="57" ht="28" customHeight="1" spans="1:51" x14ac:dyDescent="0.25">
      <c r="A57" s="14"/>
      <c r="B57" s="14"/>
      <c r="C57" s="14"/>
      <c r="D57" s="14"/>
      <c r="E57" s="14"/>
      <c r="F57" s="15" t="s">
        <v>155</v>
      </c>
      <c r="G57" s="15" t="s">
        <v>79</v>
      </c>
      <c r="H57" s="14" t="s">
        <v>65</v>
      </c>
      <c r="I57" s="16">
        <v>1</v>
      </c>
      <c r="J57" s="17">
        <v>120</v>
      </c>
      <c r="K57" s="14" t="s">
        <v>130</v>
      </c>
      <c r="L57" s="14" t="s">
        <v>76</v>
      </c>
      <c r="M57" s="14"/>
      <c r="N57" s="14" t="s">
        <v>93</v>
      </c>
      <c r="O57" s="15"/>
      <c r="P57" s="18">
        <v>1</v>
      </c>
      <c r="Q57" s="18">
        <v>1</v>
      </c>
      <c r="R57" s="18">
        <v>1</v>
      </c>
      <c r="S57" s="18">
        <v>1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140</v>
      </c>
      <c r="AY57" t="s">
        <v>156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69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140</v>
      </c>
      <c r="AY58" t="s">
        <v>156</v>
      </c>
    </row>
    <row r="59" ht="28" customHeight="1" spans="1:51" x14ac:dyDescent="0.25">
      <c r="A59" s="14"/>
      <c r="B59" s="14"/>
      <c r="C59" s="14"/>
      <c r="D59" s="14"/>
      <c r="E59" s="14"/>
      <c r="F59" s="15" t="s">
        <v>105</v>
      </c>
      <c r="G59" s="15" t="s">
        <v>157</v>
      </c>
      <c r="H59" s="14" t="s">
        <v>65</v>
      </c>
      <c r="I59" s="16">
        <v>1</v>
      </c>
      <c r="J59" s="17">
        <v>1</v>
      </c>
      <c r="K59" s="14" t="s">
        <v>66</v>
      </c>
      <c r="L59" s="14" t="s">
        <v>67</v>
      </c>
      <c r="M59" s="14"/>
      <c r="N59" s="14"/>
      <c r="O59" s="15"/>
      <c r="P59" s="18">
        <v>1</v>
      </c>
      <c r="Q59" s="18">
        <v>1</v>
      </c>
      <c r="R59" s="18">
        <v>1</v>
      </c>
      <c r="S59" s="18">
        <v>1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140</v>
      </c>
      <c r="AY59" t="s">
        <v>158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69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140</v>
      </c>
      <c r="AY60" t="s">
        <v>158</v>
      </c>
    </row>
    <row r="61" ht="28" customHeight="1" spans="1:51" x14ac:dyDescent="0.25">
      <c r="A61" s="14"/>
      <c r="B61" s="14"/>
      <c r="C61" s="14"/>
      <c r="D61" s="14"/>
      <c r="E61" s="14"/>
      <c r="F61" s="15" t="s">
        <v>159</v>
      </c>
      <c r="G61" s="15" t="s">
        <v>160</v>
      </c>
      <c r="H61" s="14" t="s">
        <v>65</v>
      </c>
      <c r="I61" s="16">
        <v>1</v>
      </c>
      <c r="J61" s="17">
        <v>1</v>
      </c>
      <c r="K61" s="14" t="s">
        <v>66</v>
      </c>
      <c r="L61" s="14" t="s">
        <v>67</v>
      </c>
      <c r="M61" s="14"/>
      <c r="N61" s="14"/>
      <c r="O61" s="15"/>
      <c r="P61" s="18">
        <v>1</v>
      </c>
      <c r="Q61" s="18">
        <v>1</v>
      </c>
      <c r="R61" s="18">
        <v>1</v>
      </c>
      <c r="S61" s="18">
        <v>1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140</v>
      </c>
      <c r="AY61" t="s">
        <v>161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69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140</v>
      </c>
      <c r="AY62" t="s">
        <v>161</v>
      </c>
    </row>
    <row r="63" ht="28" customHeight="1" spans="1:51" x14ac:dyDescent="0.25">
      <c r="A63" s="14"/>
      <c r="B63" s="14"/>
      <c r="C63" s="14"/>
      <c r="D63" s="14"/>
      <c r="E63" s="14"/>
      <c r="F63" s="15" t="s">
        <v>162</v>
      </c>
      <c r="G63" s="15" t="s">
        <v>133</v>
      </c>
      <c r="H63" s="14" t="s">
        <v>65</v>
      </c>
      <c r="I63" s="16">
        <v>5</v>
      </c>
      <c r="J63" s="17">
        <v>5000</v>
      </c>
      <c r="K63" s="14" t="s">
        <v>134</v>
      </c>
      <c r="L63" s="14" t="s">
        <v>76</v>
      </c>
      <c r="M63" s="14"/>
      <c r="N63" s="14" t="s">
        <v>135</v>
      </c>
      <c r="O63" s="15"/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140</v>
      </c>
      <c r="AY63" t="s">
        <v>163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69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140</v>
      </c>
      <c r="AY64" t="s">
        <v>163</v>
      </c>
    </row>
    <row r="65" ht="28" customHeight="1" spans="1:51" x14ac:dyDescent="0.25">
      <c r="A65" s="14"/>
      <c r="B65" s="14" t="s">
        <v>164</v>
      </c>
      <c r="C65" s="14" t="s">
        <v>165</v>
      </c>
      <c r="D65" s="14" t="s">
        <v>166</v>
      </c>
      <c r="E65" s="14" t="s">
        <v>99</v>
      </c>
      <c r="F65" s="15" t="s">
        <v>167</v>
      </c>
      <c r="G65" s="15" t="s">
        <v>100</v>
      </c>
      <c r="H65" s="14" t="s">
        <v>65</v>
      </c>
      <c r="I65" s="16">
        <v>1</v>
      </c>
      <c r="J65" s="17">
        <v>1</v>
      </c>
      <c r="K65" s="14" t="s">
        <v>66</v>
      </c>
      <c r="L65" s="14" t="s">
        <v>67</v>
      </c>
      <c r="M65" s="14"/>
      <c r="N65" s="14"/>
      <c r="O65" s="15"/>
      <c r="P65" s="18">
        <v>1</v>
      </c>
      <c r="Q65" s="18">
        <v>1</v>
      </c>
      <c r="R65" s="18">
        <v>1</v>
      </c>
      <c r="S65" s="18">
        <v>1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164</v>
      </c>
      <c r="AY65" t="s">
        <v>168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69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164</v>
      </c>
      <c r="AY66" t="s">
        <v>168</v>
      </c>
    </row>
    <row r="67" ht="28" customHeight="1" spans="1:51" x14ac:dyDescent="0.25">
      <c r="A67" s="14"/>
      <c r="B67" s="14"/>
      <c r="C67" s="14"/>
      <c r="D67" s="14"/>
      <c r="E67" s="14"/>
      <c r="F67" s="15" t="s">
        <v>169</v>
      </c>
      <c r="G67" s="15" t="s">
        <v>74</v>
      </c>
      <c r="H67" s="14" t="s">
        <v>65</v>
      </c>
      <c r="I67" s="16">
        <v>5</v>
      </c>
      <c r="J67" s="17">
        <v>10000</v>
      </c>
      <c r="K67" s="14" t="s">
        <v>75</v>
      </c>
      <c r="L67" s="14" t="s">
        <v>76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164</v>
      </c>
      <c r="AY67" t="s">
        <v>170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69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164</v>
      </c>
      <c r="AY68" t="s">
        <v>170</v>
      </c>
    </row>
    <row r="69" ht="28" customHeight="1" spans="1:51" x14ac:dyDescent="0.25">
      <c r="A69" s="14"/>
      <c r="B69" s="14"/>
      <c r="C69" s="14"/>
      <c r="D69" s="14"/>
      <c r="E69" s="14"/>
      <c r="F69" s="15" t="s">
        <v>171</v>
      </c>
      <c r="G69" s="15" t="s">
        <v>115</v>
      </c>
      <c r="H69" s="14" t="s">
        <v>65</v>
      </c>
      <c r="I69" s="16">
        <v>1</v>
      </c>
      <c r="J69" s="17">
        <v>8</v>
      </c>
      <c r="K69" s="14" t="s">
        <v>172</v>
      </c>
      <c r="L69" s="14" t="s">
        <v>76</v>
      </c>
      <c r="M69" s="14"/>
      <c r="N69" s="14" t="s">
        <v>93</v>
      </c>
      <c r="O69" s="15"/>
      <c r="P69" s="18">
        <v>1</v>
      </c>
      <c r="Q69" s="18">
        <v>1</v>
      </c>
      <c r="R69" s="18">
        <v>1</v>
      </c>
      <c r="S69" s="18">
        <v>1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164</v>
      </c>
      <c r="AY69" t="s">
        <v>173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69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164</v>
      </c>
      <c r="AY70" t="s">
        <v>173</v>
      </c>
    </row>
    <row r="71" ht="28" customHeight="1" spans="1:51" x14ac:dyDescent="0.25">
      <c r="A71" s="14"/>
      <c r="B71" s="14"/>
      <c r="C71" s="14"/>
      <c r="D71" s="14"/>
      <c r="E71" s="14"/>
      <c r="F71" s="15" t="s">
        <v>174</v>
      </c>
      <c r="G71" s="15" t="s">
        <v>115</v>
      </c>
      <c r="H71" s="14" t="s">
        <v>65</v>
      </c>
      <c r="I71" s="16">
        <v>1</v>
      </c>
      <c r="J71" s="17">
        <v>40</v>
      </c>
      <c r="K71" s="14" t="s">
        <v>92</v>
      </c>
      <c r="L71" s="14" t="s">
        <v>76</v>
      </c>
      <c r="M71" s="14"/>
      <c r="N71" s="14" t="s">
        <v>93</v>
      </c>
      <c r="O71" s="15"/>
      <c r="P71" s="18">
        <v>1</v>
      </c>
      <c r="Q71" s="18">
        <v>1</v>
      </c>
      <c r="R71" s="18">
        <v>1</v>
      </c>
      <c r="S71" s="18">
        <v>1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164</v>
      </c>
      <c r="AY71" t="s">
        <v>175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69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164</v>
      </c>
      <c r="AY72" t="s">
        <v>175</v>
      </c>
    </row>
    <row r="73" ht="28" customHeight="1" spans="1:51" x14ac:dyDescent="0.25">
      <c r="A73" s="14"/>
      <c r="B73" s="14"/>
      <c r="C73" s="14"/>
      <c r="D73" s="14"/>
      <c r="E73" s="14"/>
      <c r="F73" s="15" t="s">
        <v>176</v>
      </c>
      <c r="G73" s="15" t="s">
        <v>115</v>
      </c>
      <c r="H73" s="14" t="s">
        <v>65</v>
      </c>
      <c r="I73" s="16">
        <v>1</v>
      </c>
      <c r="J73" s="17">
        <v>120</v>
      </c>
      <c r="K73" s="14" t="s">
        <v>130</v>
      </c>
      <c r="L73" s="14" t="s">
        <v>76</v>
      </c>
      <c r="M73" s="14"/>
      <c r="N73" s="14" t="s">
        <v>93</v>
      </c>
      <c r="O73" s="15"/>
      <c r="P73" s="18">
        <v>1</v>
      </c>
      <c r="Q73" s="18">
        <v>1</v>
      </c>
      <c r="R73" s="18">
        <v>1</v>
      </c>
      <c r="S73" s="18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177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69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177</v>
      </c>
    </row>
    <row r="75" ht="28" customHeight="1" spans="1:51" x14ac:dyDescent="0.25">
      <c r="A75" s="14"/>
      <c r="B75" s="14"/>
      <c r="C75" s="14"/>
      <c r="D75" s="14"/>
      <c r="E75" s="14"/>
      <c r="F75" s="15" t="s">
        <v>178</v>
      </c>
      <c r="G75" s="15" t="s">
        <v>115</v>
      </c>
      <c r="H75" s="14" t="s">
        <v>65</v>
      </c>
      <c r="I75" s="16">
        <v>1</v>
      </c>
      <c r="J75" s="17">
        <v>1</v>
      </c>
      <c r="K75" s="14" t="s">
        <v>66</v>
      </c>
      <c r="L75" s="14" t="s">
        <v>67</v>
      </c>
      <c r="M75" s="14"/>
      <c r="N75" s="14"/>
      <c r="O75" s="15"/>
      <c r="P75" s="18">
        <v>1</v>
      </c>
      <c r="Q75" s="18">
        <v>1</v>
      </c>
      <c r="R75" s="18">
        <v>1</v>
      </c>
      <c r="S75" s="18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179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69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179</v>
      </c>
    </row>
    <row r="77" ht="28" customHeight="1" spans="1:51" x14ac:dyDescent="0.25">
      <c r="A77" s="14"/>
      <c r="B77" s="14" t="s">
        <v>180</v>
      </c>
      <c r="C77" s="14" t="s">
        <v>181</v>
      </c>
      <c r="D77" s="14" t="s">
        <v>182</v>
      </c>
      <c r="E77" s="14" t="s">
        <v>99</v>
      </c>
      <c r="F77" s="15" t="s">
        <v>63</v>
      </c>
      <c r="G77" s="15" t="s">
        <v>100</v>
      </c>
      <c r="H77" s="14" t="s">
        <v>65</v>
      </c>
      <c r="I77" s="16">
        <v>1</v>
      </c>
      <c r="J77" s="17">
        <v>1</v>
      </c>
      <c r="K77" s="14" t="s">
        <v>66</v>
      </c>
      <c r="L77" s="14" t="s">
        <v>67</v>
      </c>
      <c r="M77" s="14"/>
      <c r="N77" s="14"/>
      <c r="O77" s="15"/>
      <c r="P77" s="18">
        <v>1</v>
      </c>
      <c r="Q77" s="18">
        <v>1</v>
      </c>
      <c r="R77" s="18">
        <v>1</v>
      </c>
      <c r="S77" s="18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180</v>
      </c>
      <c r="AY77" t="s">
        <v>183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69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180</v>
      </c>
      <c r="AY78" t="s">
        <v>183</v>
      </c>
    </row>
    <row r="79" ht="28" customHeight="1" spans="1:51" x14ac:dyDescent="0.25">
      <c r="A79" s="14"/>
      <c r="B79" s="14"/>
      <c r="C79" s="14"/>
      <c r="D79" s="14"/>
      <c r="E79" s="14"/>
      <c r="F79" s="15" t="s">
        <v>102</v>
      </c>
      <c r="G79" s="15" t="s">
        <v>74</v>
      </c>
      <c r="H79" s="14" t="s">
        <v>65</v>
      </c>
      <c r="I79" s="16">
        <v>5</v>
      </c>
      <c r="J79" s="17">
        <v>10000</v>
      </c>
      <c r="K79" s="14" t="s">
        <v>75</v>
      </c>
      <c r="L79" s="14" t="s">
        <v>76</v>
      </c>
      <c r="M79" s="14"/>
      <c r="N79" s="14"/>
      <c r="O79" s="15"/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180</v>
      </c>
      <c r="AY79" t="s">
        <v>184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69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180</v>
      </c>
      <c r="AY80" t="s">
        <v>184</v>
      </c>
    </row>
    <row r="81" ht="28" customHeight="1" spans="1:51" x14ac:dyDescent="0.25">
      <c r="A81" s="14"/>
      <c r="B81" s="14"/>
      <c r="C81" s="14"/>
      <c r="D81" s="14"/>
      <c r="E81" s="14"/>
      <c r="F81" s="15" t="s">
        <v>185</v>
      </c>
      <c r="G81" s="15" t="s">
        <v>115</v>
      </c>
      <c r="H81" s="14" t="s">
        <v>65</v>
      </c>
      <c r="I81" s="16">
        <v>1</v>
      </c>
      <c r="J81" s="17">
        <v>8</v>
      </c>
      <c r="K81" s="14" t="s">
        <v>172</v>
      </c>
      <c r="L81" s="14" t="s">
        <v>76</v>
      </c>
      <c r="M81" s="14"/>
      <c r="N81" s="14" t="s">
        <v>93</v>
      </c>
      <c r="O81" s="15"/>
      <c r="P81" s="18">
        <v>1</v>
      </c>
      <c r="Q81" s="18">
        <v>1</v>
      </c>
      <c r="R81" s="18">
        <v>1</v>
      </c>
      <c r="S81" s="18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180</v>
      </c>
      <c r="AY81" t="s">
        <v>186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69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180</v>
      </c>
      <c r="AY82" t="s">
        <v>186</v>
      </c>
    </row>
    <row r="83" ht="28" customHeight="1" spans="1:51" x14ac:dyDescent="0.25">
      <c r="A83" s="14"/>
      <c r="B83" s="14"/>
      <c r="C83" s="14"/>
      <c r="D83" s="14"/>
      <c r="E83" s="14"/>
      <c r="F83" s="15" t="s">
        <v>187</v>
      </c>
      <c r="G83" s="15" t="s">
        <v>115</v>
      </c>
      <c r="H83" s="14" t="s">
        <v>65</v>
      </c>
      <c r="I83" s="16">
        <v>1</v>
      </c>
      <c r="J83" s="17">
        <v>40</v>
      </c>
      <c r="K83" s="14" t="s">
        <v>92</v>
      </c>
      <c r="L83" s="14" t="s">
        <v>76</v>
      </c>
      <c r="M83" s="14"/>
      <c r="N83" s="14" t="s">
        <v>93</v>
      </c>
      <c r="O83" s="15"/>
      <c r="P83" s="18">
        <v>1</v>
      </c>
      <c r="Q83" s="18">
        <v>1</v>
      </c>
      <c r="R83" s="18">
        <v>1</v>
      </c>
      <c r="S83" s="18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180</v>
      </c>
      <c r="AY83" t="s">
        <v>188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69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180</v>
      </c>
      <c r="AY84" t="s">
        <v>188</v>
      </c>
    </row>
    <row r="85" ht="28" customHeight="1" spans="1:51" x14ac:dyDescent="0.25">
      <c r="A85" s="14"/>
      <c r="B85" s="14"/>
      <c r="C85" s="14"/>
      <c r="D85" s="14"/>
      <c r="E85" s="14"/>
      <c r="F85" s="15" t="s">
        <v>189</v>
      </c>
      <c r="G85" s="15" t="s">
        <v>115</v>
      </c>
      <c r="H85" s="14" t="s">
        <v>65</v>
      </c>
      <c r="I85" s="16">
        <v>1</v>
      </c>
      <c r="J85" s="17">
        <v>120</v>
      </c>
      <c r="K85" s="14" t="s">
        <v>130</v>
      </c>
      <c r="L85" s="14" t="s">
        <v>76</v>
      </c>
      <c r="M85" s="14"/>
      <c r="N85" s="14" t="s">
        <v>93</v>
      </c>
      <c r="O85" s="15"/>
      <c r="P85" s="18">
        <v>1</v>
      </c>
      <c r="Q85" s="18">
        <v>1</v>
      </c>
      <c r="R85" s="18">
        <v>1</v>
      </c>
      <c r="S85" s="18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180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69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180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178</v>
      </c>
      <c r="G87" s="15" t="s">
        <v>115</v>
      </c>
      <c r="H87" s="14" t="s">
        <v>65</v>
      </c>
      <c r="I87" s="16">
        <v>1</v>
      </c>
      <c r="J87" s="17">
        <v>1</v>
      </c>
      <c r="K87" s="14" t="s">
        <v>66</v>
      </c>
      <c r="L87" s="14" t="s">
        <v>67</v>
      </c>
      <c r="M87" s="14"/>
      <c r="N87" s="14"/>
      <c r="O87" s="15"/>
      <c r="P87" s="18">
        <v>1</v>
      </c>
      <c r="Q87" s="18">
        <v>1</v>
      </c>
      <c r="R87" s="18">
        <v>1</v>
      </c>
      <c r="S87" s="18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180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69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180</v>
      </c>
      <c r="AY88" t="s">
        <v>191</v>
      </c>
    </row>
    <row r="89" ht="28" customHeight="1" spans="1:51" x14ac:dyDescent="0.25">
      <c r="A89" s="14" t="s">
        <v>192</v>
      </c>
      <c r="B89" s="14" t="s">
        <v>193</v>
      </c>
      <c r="C89" s="14" t="s">
        <v>194</v>
      </c>
      <c r="D89" s="14" t="s">
        <v>195</v>
      </c>
      <c r="E89" s="14" t="s">
        <v>196</v>
      </c>
      <c r="F89" s="15" t="s">
        <v>63</v>
      </c>
      <c r="G89" s="15" t="s">
        <v>100</v>
      </c>
      <c r="H89" s="14" t="s">
        <v>65</v>
      </c>
      <c r="I89" s="16">
        <v>1</v>
      </c>
      <c r="J89" s="17">
        <v>1</v>
      </c>
      <c r="K89" s="14" t="s">
        <v>66</v>
      </c>
      <c r="L89" s="14" t="s">
        <v>67</v>
      </c>
      <c r="M89" s="14"/>
      <c r="N89" s="14"/>
      <c r="O89" s="15"/>
      <c r="P89" s="18">
        <v>1</v>
      </c>
      <c r="Q89" s="18">
        <v>1</v>
      </c>
      <c r="R89" s="18">
        <v>1</v>
      </c>
      <c r="S89" s="18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193</v>
      </c>
      <c r="AY89" t="s">
        <v>197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69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193</v>
      </c>
      <c r="AY90" t="s">
        <v>197</v>
      </c>
    </row>
    <row r="91" ht="28" customHeight="1" spans="1:51" x14ac:dyDescent="0.25">
      <c r="A91" s="14"/>
      <c r="B91" s="14"/>
      <c r="C91" s="14"/>
      <c r="D91" s="14"/>
      <c r="E91" s="14"/>
      <c r="F91" s="15" t="s">
        <v>198</v>
      </c>
      <c r="G91" s="15" t="s">
        <v>199</v>
      </c>
      <c r="H91" s="14" t="s">
        <v>65</v>
      </c>
      <c r="I91" s="16">
        <v>2</v>
      </c>
      <c r="J91" s="17">
        <v>1</v>
      </c>
      <c r="K91" s="14" t="s">
        <v>107</v>
      </c>
      <c r="L91" s="14" t="s">
        <v>67</v>
      </c>
      <c r="M91" s="14"/>
      <c r="N91" s="14"/>
      <c r="O91" s="15"/>
      <c r="P91" s="19">
        <v>0</v>
      </c>
      <c r="Q91" s="19">
        <v>0</v>
      </c>
      <c r="R91" s="23">
        <v>2</v>
      </c>
      <c r="S91" s="19">
        <v>0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193</v>
      </c>
      <c r="AY91" t="s">
        <v>200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69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193</v>
      </c>
      <c r="AY92" t="s">
        <v>200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201</v>
      </c>
      <c r="H93" s="14" t="s">
        <v>65</v>
      </c>
      <c r="I93" s="16">
        <v>5</v>
      </c>
      <c r="J93" s="17">
        <v>12</v>
      </c>
      <c r="K93" s="14" t="s">
        <v>202</v>
      </c>
      <c r="L93" s="14" t="s">
        <v>67</v>
      </c>
      <c r="M93" s="14"/>
      <c r="N93" s="14"/>
      <c r="O93" s="15"/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193</v>
      </c>
      <c r="AY93" t="s">
        <v>203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69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193</v>
      </c>
      <c r="AY94" t="s">
        <v>203</v>
      </c>
    </row>
    <row r="95" ht="28" customHeight="1" spans="1:51" x14ac:dyDescent="0.25">
      <c r="A95" s="14"/>
      <c r="B95" s="14"/>
      <c r="C95" s="14"/>
      <c r="D95" s="14"/>
      <c r="E95" s="14"/>
      <c r="F95" s="15" t="s">
        <v>102</v>
      </c>
      <c r="G95" s="15" t="s">
        <v>103</v>
      </c>
      <c r="H95" s="14" t="s">
        <v>65</v>
      </c>
      <c r="I95" s="16">
        <v>3</v>
      </c>
      <c r="J95" s="17">
        <v>2000</v>
      </c>
      <c r="K95" s="14" t="s">
        <v>124</v>
      </c>
      <c r="L95" s="14" t="s">
        <v>76</v>
      </c>
      <c r="M95" s="14"/>
      <c r="N95" s="14" t="s">
        <v>125</v>
      </c>
      <c r="O95" s="15"/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193</v>
      </c>
      <c r="AY95" t="s">
        <v>204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69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193</v>
      </c>
      <c r="AY96" t="s">
        <v>204</v>
      </c>
    </row>
    <row r="97" ht="28" customHeight="1" spans="1:51" x14ac:dyDescent="0.25">
      <c r="A97" s="14"/>
      <c r="B97" s="14"/>
      <c r="C97" s="14"/>
      <c r="D97" s="14"/>
      <c r="E97" s="14"/>
      <c r="F97" s="15" t="s">
        <v>102</v>
      </c>
      <c r="G97" s="15" t="s">
        <v>74</v>
      </c>
      <c r="H97" s="14" t="s">
        <v>65</v>
      </c>
      <c r="I97" s="16">
        <v>5</v>
      </c>
      <c r="J97" s="17">
        <v>10000</v>
      </c>
      <c r="K97" s="14" t="s">
        <v>75</v>
      </c>
      <c r="L97" s="14" t="s">
        <v>76</v>
      </c>
      <c r="M97" s="14"/>
      <c r="N97" s="14"/>
      <c r="O97" s="15"/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193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69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193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65</v>
      </c>
      <c r="I99" s="16">
        <v>2</v>
      </c>
      <c r="J99" s="17">
        <v>1</v>
      </c>
      <c r="K99" s="14" t="s">
        <v>107</v>
      </c>
      <c r="L99" s="14" t="s">
        <v>67</v>
      </c>
      <c r="M99" s="14"/>
      <c r="N99" s="14"/>
      <c r="O99" s="15"/>
      <c r="P99" s="19">
        <v>0</v>
      </c>
      <c r="Q99" s="19">
        <v>0</v>
      </c>
      <c r="R99" s="23">
        <v>2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193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69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193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209</v>
      </c>
      <c r="G101" s="15" t="s">
        <v>210</v>
      </c>
      <c r="H101" s="14" t="s">
        <v>65</v>
      </c>
      <c r="I101" s="16">
        <v>2</v>
      </c>
      <c r="J101" s="17">
        <v>1</v>
      </c>
      <c r="K101" s="14" t="s">
        <v>107</v>
      </c>
      <c r="L101" s="14" t="s">
        <v>67</v>
      </c>
      <c r="M101" s="14"/>
      <c r="N101" s="14"/>
      <c r="O101" s="15"/>
      <c r="P101" s="19">
        <v>0</v>
      </c>
      <c r="Q101" s="19">
        <v>0</v>
      </c>
      <c r="R101" s="23">
        <v>2</v>
      </c>
      <c r="S101" s="19">
        <v>0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193</v>
      </c>
      <c r="AY101" t="s">
        <v>211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69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193</v>
      </c>
      <c r="AY102" t="s">
        <v>211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212</v>
      </c>
      <c r="G103" s="15" t="s">
        <v>213</v>
      </c>
      <c r="H103" s="14" t="s">
        <v>65</v>
      </c>
      <c r="I103" s="16">
        <v>2</v>
      </c>
      <c r="J103" s="17">
        <v>1</v>
      </c>
      <c r="K103" s="14" t="s">
        <v>107</v>
      </c>
      <c r="L103" s="14" t="s">
        <v>67</v>
      </c>
      <c r="M103" s="14"/>
      <c r="N103" s="14"/>
      <c r="O103" s="15"/>
      <c r="P103" s="19">
        <v>0</v>
      </c>
      <c r="Q103" s="19">
        <v>0</v>
      </c>
      <c r="R103" s="23">
        <v>2</v>
      </c>
      <c r="S103" s="19">
        <v>0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193</v>
      </c>
      <c r="AY103" t="s">
        <v>214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69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193</v>
      </c>
      <c r="AY104" t="s">
        <v>214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215</v>
      </c>
      <c r="G105" s="15" t="s">
        <v>216</v>
      </c>
      <c r="H105" s="14" t="s">
        <v>65</v>
      </c>
      <c r="I105" s="16">
        <v>1</v>
      </c>
      <c r="J105" s="17">
        <v>1</v>
      </c>
      <c r="K105" s="14" t="s">
        <v>66</v>
      </c>
      <c r="L105" s="14" t="s">
        <v>67</v>
      </c>
      <c r="M105" s="14"/>
      <c r="N105" s="14"/>
      <c r="O105" s="15"/>
      <c r="P105" s="18">
        <v>1</v>
      </c>
      <c r="Q105" s="18">
        <v>1</v>
      </c>
      <c r="R105" s="18">
        <v>1</v>
      </c>
      <c r="S105" s="18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193</v>
      </c>
      <c r="AY105" t="s">
        <v>217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69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193</v>
      </c>
      <c r="AY106" t="s">
        <v>217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218</v>
      </c>
      <c r="G107" s="15" t="s">
        <v>219</v>
      </c>
      <c r="H107" s="14" t="s">
        <v>65</v>
      </c>
      <c r="I107" s="16">
        <v>1</v>
      </c>
      <c r="J107" s="17">
        <v>1</v>
      </c>
      <c r="K107" s="14" t="s">
        <v>66</v>
      </c>
      <c r="L107" s="14" t="s">
        <v>67</v>
      </c>
      <c r="M107" s="14"/>
      <c r="N107" s="14"/>
      <c r="O107" s="15"/>
      <c r="P107" s="18">
        <v>1</v>
      </c>
      <c r="Q107" s="18">
        <v>1</v>
      </c>
      <c r="R107" s="18">
        <v>1</v>
      </c>
      <c r="S107" s="18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193</v>
      </c>
      <c r="AY107" t="s">
        <v>220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69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193</v>
      </c>
      <c r="AY108" t="s">
        <v>220</v>
      </c>
    </row>
    <row r="109" ht="28" customHeight="1" spans="1:51" x14ac:dyDescent="0.25">
      <c r="A109" s="14" t="s">
        <v>221</v>
      </c>
      <c r="B109" s="14" t="s">
        <v>222</v>
      </c>
      <c r="C109" s="14" t="s">
        <v>223</v>
      </c>
      <c r="D109" s="14" t="s">
        <v>224</v>
      </c>
      <c r="E109" s="14" t="s">
        <v>196</v>
      </c>
      <c r="F109" s="15" t="s">
        <v>63</v>
      </c>
      <c r="G109" s="15" t="s">
        <v>100</v>
      </c>
      <c r="H109" s="14" t="s">
        <v>65</v>
      </c>
      <c r="I109" s="16">
        <v>1</v>
      </c>
      <c r="J109" s="17">
        <v>1</v>
      </c>
      <c r="K109" s="14" t="s">
        <v>66</v>
      </c>
      <c r="L109" s="14" t="s">
        <v>67</v>
      </c>
      <c r="M109" s="14"/>
      <c r="N109" s="14"/>
      <c r="O109" s="15"/>
      <c r="P109" s="18">
        <v>1</v>
      </c>
      <c r="Q109" s="18">
        <v>1</v>
      </c>
      <c r="R109" s="18">
        <v>1</v>
      </c>
      <c r="S109" s="18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222</v>
      </c>
      <c r="AY109" t="s">
        <v>225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69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222</v>
      </c>
      <c r="AY110" t="s">
        <v>225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102</v>
      </c>
      <c r="G111" s="15" t="s">
        <v>103</v>
      </c>
      <c r="H111" s="14" t="s">
        <v>65</v>
      </c>
      <c r="I111" s="16">
        <v>3</v>
      </c>
      <c r="J111" s="17">
        <v>2000</v>
      </c>
      <c r="K111" s="14" t="s">
        <v>124</v>
      </c>
      <c r="L111" s="14" t="s">
        <v>76</v>
      </c>
      <c r="M111" s="14"/>
      <c r="N111" s="14" t="s">
        <v>125</v>
      </c>
      <c r="O111" s="15"/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222</v>
      </c>
      <c r="AY111" t="s">
        <v>226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69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222</v>
      </c>
      <c r="AY112" t="s">
        <v>226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102</v>
      </c>
      <c r="G113" s="15" t="s">
        <v>74</v>
      </c>
      <c r="H113" s="14" t="s">
        <v>65</v>
      </c>
      <c r="I113" s="16">
        <v>5</v>
      </c>
      <c r="J113" s="17">
        <v>10000</v>
      </c>
      <c r="K113" s="14" t="s">
        <v>75</v>
      </c>
      <c r="L113" s="14" t="s">
        <v>76</v>
      </c>
      <c r="M113" s="14"/>
      <c r="N113" s="14"/>
      <c r="O113" s="15"/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222</v>
      </c>
      <c r="AY113" t="s">
        <v>227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69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222</v>
      </c>
      <c r="AY114" t="s">
        <v>227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209</v>
      </c>
      <c r="G115" s="15" t="s">
        <v>228</v>
      </c>
      <c r="H115" s="14" t="s">
        <v>65</v>
      </c>
      <c r="I115" s="16">
        <v>2</v>
      </c>
      <c r="J115" s="17">
        <v>1</v>
      </c>
      <c r="K115" s="14" t="s">
        <v>107</v>
      </c>
      <c r="L115" s="14" t="s">
        <v>67</v>
      </c>
      <c r="M115" s="14"/>
      <c r="N115" s="14"/>
      <c r="O115" s="15"/>
      <c r="P115" s="19">
        <v>0</v>
      </c>
      <c r="Q115" s="19">
        <v>0</v>
      </c>
      <c r="R115" s="23">
        <v>2</v>
      </c>
      <c r="S115" s="19">
        <v>0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222</v>
      </c>
      <c r="AY115" t="s">
        <v>229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69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222</v>
      </c>
      <c r="AY116" t="s">
        <v>229</v>
      </c>
    </row>
    <row r="117" ht="28" customHeight="1" spans="1:51" x14ac:dyDescent="0.25">
      <c r="A117" s="14"/>
      <c r="B117" s="14" t="s">
        <v>230</v>
      </c>
      <c r="C117" s="14" t="s">
        <v>231</v>
      </c>
      <c r="D117" s="14" t="s">
        <v>232</v>
      </c>
      <c r="E117" s="14" t="s">
        <v>233</v>
      </c>
      <c r="F117" s="15" t="s">
        <v>63</v>
      </c>
      <c r="G117" s="15" t="s">
        <v>234</v>
      </c>
      <c r="H117" s="14" t="s">
        <v>65</v>
      </c>
      <c r="I117" s="16">
        <v>1</v>
      </c>
      <c r="J117" s="17">
        <v>1</v>
      </c>
      <c r="K117" s="14" t="s">
        <v>66</v>
      </c>
      <c r="L117" s="14" t="s">
        <v>67</v>
      </c>
      <c r="M117" s="14"/>
      <c r="N117" s="14"/>
      <c r="O117" s="15"/>
      <c r="P117" s="18">
        <v>1</v>
      </c>
      <c r="Q117" s="18">
        <v>1</v>
      </c>
      <c r="R117" s="18">
        <v>1</v>
      </c>
      <c r="S117" s="18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230</v>
      </c>
      <c r="AY117" t="s">
        <v>235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69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230</v>
      </c>
      <c r="AY118" t="s">
        <v>235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102</v>
      </c>
      <c r="G119" s="15" t="s">
        <v>236</v>
      </c>
      <c r="H119" s="14" t="s">
        <v>65</v>
      </c>
      <c r="I119" s="16">
        <v>3</v>
      </c>
      <c r="J119" s="17">
        <v>2000</v>
      </c>
      <c r="K119" s="14" t="s">
        <v>124</v>
      </c>
      <c r="L119" s="14" t="s">
        <v>76</v>
      </c>
      <c r="M119" s="14"/>
      <c r="N119" s="14" t="s">
        <v>125</v>
      </c>
      <c r="O119" s="15"/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230</v>
      </c>
      <c r="AY119" t="s">
        <v>237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69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230</v>
      </c>
      <c r="AY120" t="s">
        <v>237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102</v>
      </c>
      <c r="G121" s="15" t="s">
        <v>238</v>
      </c>
      <c r="H121" s="14" t="s">
        <v>65</v>
      </c>
      <c r="I121" s="16">
        <v>5</v>
      </c>
      <c r="J121" s="17">
        <v>10000</v>
      </c>
      <c r="K121" s="14" t="s">
        <v>75</v>
      </c>
      <c r="L121" s="14" t="s">
        <v>76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230</v>
      </c>
      <c r="AY121" t="s">
        <v>239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69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230</v>
      </c>
      <c r="AY122" t="s">
        <v>239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240</v>
      </c>
      <c r="G123" s="15" t="s">
        <v>241</v>
      </c>
      <c r="H123" s="14" t="s">
        <v>65</v>
      </c>
      <c r="I123" s="16">
        <v>3</v>
      </c>
      <c r="J123" s="17">
        <v>1000</v>
      </c>
      <c r="K123" s="14" t="s">
        <v>84</v>
      </c>
      <c r="L123" s="14" t="s">
        <v>76</v>
      </c>
      <c r="M123" s="14"/>
      <c r="N123" s="14" t="s">
        <v>85</v>
      </c>
      <c r="O123" s="15"/>
      <c r="P123" s="19">
        <v>0</v>
      </c>
      <c r="Q123" s="22">
        <v>3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230</v>
      </c>
      <c r="AY123" t="s">
        <v>242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69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230</v>
      </c>
      <c r="AY124" t="s">
        <v>242</v>
      </c>
    </row>
    <row r="125" ht="28" customHeight="1" spans="1:51" x14ac:dyDescent="0.25">
      <c r="A125" s="14"/>
      <c r="B125" s="14" t="s">
        <v>243</v>
      </c>
      <c r="C125" s="14" t="s">
        <v>244</v>
      </c>
      <c r="D125" s="14" t="s">
        <v>245</v>
      </c>
      <c r="E125" s="14" t="s">
        <v>233</v>
      </c>
      <c r="F125" s="15" t="s">
        <v>63</v>
      </c>
      <c r="G125" s="15" t="s">
        <v>234</v>
      </c>
      <c r="H125" s="14" t="s">
        <v>65</v>
      </c>
      <c r="I125" s="16">
        <v>1</v>
      </c>
      <c r="J125" s="17">
        <v>1</v>
      </c>
      <c r="K125" s="14" t="s">
        <v>66</v>
      </c>
      <c r="L125" s="14" t="s">
        <v>67</v>
      </c>
      <c r="M125" s="14"/>
      <c r="N125" s="14"/>
      <c r="O125" s="15"/>
      <c r="P125" s="18">
        <v>1</v>
      </c>
      <c r="Q125" s="18">
        <v>1</v>
      </c>
      <c r="R125" s="18">
        <v>1</v>
      </c>
      <c r="S125" s="18">
        <v>1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243</v>
      </c>
      <c r="AY125" t="s">
        <v>246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69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243</v>
      </c>
      <c r="AY126" t="s">
        <v>246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102</v>
      </c>
      <c r="G127" s="15" t="s">
        <v>236</v>
      </c>
      <c r="H127" s="14" t="s">
        <v>65</v>
      </c>
      <c r="I127" s="16">
        <v>3</v>
      </c>
      <c r="J127" s="17">
        <v>2000</v>
      </c>
      <c r="K127" s="14" t="s">
        <v>124</v>
      </c>
      <c r="L127" s="14" t="s">
        <v>76</v>
      </c>
      <c r="M127" s="14"/>
      <c r="N127" s="14" t="s">
        <v>125</v>
      </c>
      <c r="O127" s="15"/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243</v>
      </c>
      <c r="AY127" t="s">
        <v>247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69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243</v>
      </c>
      <c r="AY128" t="s">
        <v>247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102</v>
      </c>
      <c r="G129" s="15" t="s">
        <v>238</v>
      </c>
      <c r="H129" s="14" t="s">
        <v>65</v>
      </c>
      <c r="I129" s="16">
        <v>5</v>
      </c>
      <c r="J129" s="17">
        <v>10000</v>
      </c>
      <c r="K129" s="14" t="s">
        <v>75</v>
      </c>
      <c r="L129" s="14" t="s">
        <v>76</v>
      </c>
      <c r="M129" s="14"/>
      <c r="N129" s="14"/>
      <c r="O129" s="15"/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243</v>
      </c>
      <c r="AY129" t="s">
        <v>248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69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243</v>
      </c>
      <c r="AY130" t="s">
        <v>248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240</v>
      </c>
      <c r="G131" s="15" t="s">
        <v>241</v>
      </c>
      <c r="H131" s="14" t="s">
        <v>65</v>
      </c>
      <c r="I131" s="16">
        <v>3</v>
      </c>
      <c r="J131" s="17">
        <v>1000</v>
      </c>
      <c r="K131" s="14" t="s">
        <v>84</v>
      </c>
      <c r="L131" s="14" t="s">
        <v>76</v>
      </c>
      <c r="M131" s="14"/>
      <c r="N131" s="14" t="s">
        <v>85</v>
      </c>
      <c r="O131" s="15"/>
      <c r="P131" s="19">
        <v>0</v>
      </c>
      <c r="Q131" s="22">
        <v>3</v>
      </c>
      <c r="R131" s="19">
        <v>0</v>
      </c>
      <c r="S131" s="19">
        <v>0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243</v>
      </c>
      <c r="AY131" t="s">
        <v>249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69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243</v>
      </c>
      <c r="AY132" t="s">
        <v>249</v>
      </c>
    </row>
    <row r="133" ht="28" customHeight="1" spans="1:51" x14ac:dyDescent="0.25">
      <c r="A133" s="14"/>
      <c r="B133" s="14" t="s">
        <v>250</v>
      </c>
      <c r="C133" s="14" t="s">
        <v>251</v>
      </c>
      <c r="D133" s="14" t="s">
        <v>252</v>
      </c>
      <c r="E133" s="14" t="s">
        <v>233</v>
      </c>
      <c r="F133" s="15" t="s">
        <v>63</v>
      </c>
      <c r="G133" s="15" t="s">
        <v>234</v>
      </c>
      <c r="H133" s="14" t="s">
        <v>65</v>
      </c>
      <c r="I133" s="16">
        <v>1</v>
      </c>
      <c r="J133" s="17">
        <v>1</v>
      </c>
      <c r="K133" s="14" t="s">
        <v>66</v>
      </c>
      <c r="L133" s="14" t="s">
        <v>67</v>
      </c>
      <c r="M133" s="14"/>
      <c r="N133" s="14"/>
      <c r="O133" s="15"/>
      <c r="P133" s="18">
        <v>1</v>
      </c>
      <c r="Q133" s="18">
        <v>1</v>
      </c>
      <c r="R133" s="18">
        <v>1</v>
      </c>
      <c r="S133" s="18">
        <v>1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250</v>
      </c>
      <c r="AY133" t="s">
        <v>253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69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250</v>
      </c>
      <c r="AY134" t="s">
        <v>253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102</v>
      </c>
      <c r="G135" s="15" t="s">
        <v>236</v>
      </c>
      <c r="H135" s="14" t="s">
        <v>65</v>
      </c>
      <c r="I135" s="16">
        <v>3</v>
      </c>
      <c r="J135" s="17">
        <v>2000</v>
      </c>
      <c r="K135" s="14" t="s">
        <v>124</v>
      </c>
      <c r="L135" s="14" t="s">
        <v>76</v>
      </c>
      <c r="M135" s="14"/>
      <c r="N135" s="14" t="s">
        <v>125</v>
      </c>
      <c r="O135" s="15"/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250</v>
      </c>
      <c r="AY135" t="s">
        <v>254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69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250</v>
      </c>
      <c r="AY136" t="s">
        <v>254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102</v>
      </c>
      <c r="G137" s="15" t="s">
        <v>238</v>
      </c>
      <c r="H137" s="14" t="s">
        <v>65</v>
      </c>
      <c r="I137" s="16">
        <v>5</v>
      </c>
      <c r="J137" s="17">
        <v>10000</v>
      </c>
      <c r="K137" s="14" t="s">
        <v>75</v>
      </c>
      <c r="L137" s="14" t="s">
        <v>76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250</v>
      </c>
      <c r="AY137" t="s">
        <v>255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69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250</v>
      </c>
      <c r="AY138" t="s">
        <v>255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240</v>
      </c>
      <c r="G139" s="15" t="s">
        <v>241</v>
      </c>
      <c r="H139" s="14" t="s">
        <v>65</v>
      </c>
      <c r="I139" s="16">
        <v>3</v>
      </c>
      <c r="J139" s="17">
        <v>1000</v>
      </c>
      <c r="K139" s="14" t="s">
        <v>84</v>
      </c>
      <c r="L139" s="14" t="s">
        <v>76</v>
      </c>
      <c r="M139" s="14"/>
      <c r="N139" s="14" t="s">
        <v>85</v>
      </c>
      <c r="O139" s="15"/>
      <c r="P139" s="19">
        <v>0</v>
      </c>
      <c r="Q139" s="22">
        <v>3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250</v>
      </c>
      <c r="AY139" t="s">
        <v>256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69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250</v>
      </c>
      <c r="AY140" t="s">
        <v>256</v>
      </c>
    </row>
    <row r="141" ht="28" customHeight="1" spans="1:51" x14ac:dyDescent="0.25">
      <c r="A141" s="14"/>
      <c r="B141" s="14" t="s">
        <v>257</v>
      </c>
      <c r="C141" s="14" t="s">
        <v>258</v>
      </c>
      <c r="D141" s="14" t="s">
        <v>259</v>
      </c>
      <c r="E141" s="14" t="s">
        <v>233</v>
      </c>
      <c r="F141" s="15" t="s">
        <v>63</v>
      </c>
      <c r="G141" s="15" t="s">
        <v>234</v>
      </c>
      <c r="H141" s="14" t="s">
        <v>65</v>
      </c>
      <c r="I141" s="16">
        <v>1</v>
      </c>
      <c r="J141" s="17">
        <v>1</v>
      </c>
      <c r="K141" s="14" t="s">
        <v>66</v>
      </c>
      <c r="L141" s="14" t="s">
        <v>67</v>
      </c>
      <c r="M141" s="14"/>
      <c r="N141" s="14"/>
      <c r="O141" s="15"/>
      <c r="P141" s="18">
        <v>1</v>
      </c>
      <c r="Q141" s="18">
        <v>1</v>
      </c>
      <c r="R141" s="18">
        <v>1</v>
      </c>
      <c r="S141" s="18">
        <v>1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257</v>
      </c>
      <c r="AY141" t="s">
        <v>260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69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257</v>
      </c>
      <c r="AY142" t="s">
        <v>260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102</v>
      </c>
      <c r="G143" s="15" t="s">
        <v>236</v>
      </c>
      <c r="H143" s="14" t="s">
        <v>65</v>
      </c>
      <c r="I143" s="16">
        <v>3</v>
      </c>
      <c r="J143" s="17">
        <v>2000</v>
      </c>
      <c r="K143" s="14" t="s">
        <v>124</v>
      </c>
      <c r="L143" s="14" t="s">
        <v>76</v>
      </c>
      <c r="M143" s="14"/>
      <c r="N143" s="14" t="s">
        <v>125</v>
      </c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257</v>
      </c>
      <c r="AY143" t="s">
        <v>261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69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257</v>
      </c>
      <c r="AY144" t="s">
        <v>261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102</v>
      </c>
      <c r="G145" s="15" t="s">
        <v>238</v>
      </c>
      <c r="H145" s="14" t="s">
        <v>65</v>
      </c>
      <c r="I145" s="16">
        <v>5</v>
      </c>
      <c r="J145" s="17">
        <v>10000</v>
      </c>
      <c r="K145" s="14" t="s">
        <v>75</v>
      </c>
      <c r="L145" s="14" t="s">
        <v>76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257</v>
      </c>
      <c r="AY145" t="s">
        <v>262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69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257</v>
      </c>
      <c r="AY146" t="s">
        <v>262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240</v>
      </c>
      <c r="G147" s="15" t="s">
        <v>241</v>
      </c>
      <c r="H147" s="14" t="s">
        <v>65</v>
      </c>
      <c r="I147" s="16">
        <v>3</v>
      </c>
      <c r="J147" s="17">
        <v>1000</v>
      </c>
      <c r="K147" s="14" t="s">
        <v>84</v>
      </c>
      <c r="L147" s="14" t="s">
        <v>76</v>
      </c>
      <c r="M147" s="14"/>
      <c r="N147" s="14" t="s">
        <v>85</v>
      </c>
      <c r="O147" s="15"/>
      <c r="P147" s="19">
        <v>0</v>
      </c>
      <c r="Q147" s="22">
        <v>3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257</v>
      </c>
      <c r="AY147" t="s">
        <v>263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69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257</v>
      </c>
      <c r="AY148" t="s">
        <v>263</v>
      </c>
    </row>
    <row r="149" ht="28" customHeight="1" spans="1:51" x14ac:dyDescent="0.25">
      <c r="A149" s="14"/>
      <c r="B149" s="14" t="s">
        <v>264</v>
      </c>
      <c r="C149" s="14" t="s">
        <v>265</v>
      </c>
      <c r="D149" s="14" t="s">
        <v>266</v>
      </c>
      <c r="E149" s="14" t="s">
        <v>233</v>
      </c>
      <c r="F149" s="15" t="s">
        <v>63</v>
      </c>
      <c r="G149" s="15" t="s">
        <v>234</v>
      </c>
      <c r="H149" s="14" t="s">
        <v>65</v>
      </c>
      <c r="I149" s="16">
        <v>1</v>
      </c>
      <c r="J149" s="17">
        <v>1</v>
      </c>
      <c r="K149" s="14" t="s">
        <v>66</v>
      </c>
      <c r="L149" s="14" t="s">
        <v>67</v>
      </c>
      <c r="M149" s="14"/>
      <c r="N149" s="14"/>
      <c r="O149" s="15"/>
      <c r="P149" s="18">
        <v>1</v>
      </c>
      <c r="Q149" s="18">
        <v>1</v>
      </c>
      <c r="R149" s="18">
        <v>1</v>
      </c>
      <c r="S149" s="18">
        <v>1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264</v>
      </c>
      <c r="AY149" t="s">
        <v>267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69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264</v>
      </c>
      <c r="AY150" t="s">
        <v>267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102</v>
      </c>
      <c r="G151" s="15" t="s">
        <v>236</v>
      </c>
      <c r="H151" s="14" t="s">
        <v>65</v>
      </c>
      <c r="I151" s="16">
        <v>3</v>
      </c>
      <c r="J151" s="17">
        <v>2000</v>
      </c>
      <c r="K151" s="14" t="s">
        <v>124</v>
      </c>
      <c r="L151" s="14" t="s">
        <v>76</v>
      </c>
      <c r="M151" s="14"/>
      <c r="N151" s="14" t="s">
        <v>125</v>
      </c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264</v>
      </c>
      <c r="AY151" t="s">
        <v>268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69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264</v>
      </c>
      <c r="AY152" t="s">
        <v>268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102</v>
      </c>
      <c r="G153" s="15" t="s">
        <v>238</v>
      </c>
      <c r="H153" s="14" t="s">
        <v>65</v>
      </c>
      <c r="I153" s="16">
        <v>5</v>
      </c>
      <c r="J153" s="17">
        <v>10000</v>
      </c>
      <c r="K153" s="14" t="s">
        <v>75</v>
      </c>
      <c r="L153" s="14" t="s">
        <v>76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264</v>
      </c>
      <c r="AY153" t="s">
        <v>269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69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264</v>
      </c>
      <c r="AY154" t="s">
        <v>269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240</v>
      </c>
      <c r="G155" s="15" t="s">
        <v>241</v>
      </c>
      <c r="H155" s="14" t="s">
        <v>65</v>
      </c>
      <c r="I155" s="16">
        <v>3</v>
      </c>
      <c r="J155" s="17">
        <v>1000</v>
      </c>
      <c r="K155" s="14" t="s">
        <v>84</v>
      </c>
      <c r="L155" s="14" t="s">
        <v>76</v>
      </c>
      <c r="M155" s="14"/>
      <c r="N155" s="14" t="s">
        <v>85</v>
      </c>
      <c r="O155" s="15"/>
      <c r="P155" s="19">
        <v>0</v>
      </c>
      <c r="Q155" s="22">
        <v>3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264</v>
      </c>
      <c r="AY155" t="s">
        <v>270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69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264</v>
      </c>
      <c r="AY156" t="s">
        <v>270</v>
      </c>
    </row>
    <row r="157" ht="28" customHeight="1" spans="1:51" x14ac:dyDescent="0.25">
      <c r="A157" s="14"/>
      <c r="B157" s="14" t="s">
        <v>271</v>
      </c>
      <c r="C157" s="14" t="s">
        <v>272</v>
      </c>
      <c r="D157" s="14" t="s">
        <v>273</v>
      </c>
      <c r="E157" s="14" t="s">
        <v>233</v>
      </c>
      <c r="F157" s="15" t="s">
        <v>63</v>
      </c>
      <c r="G157" s="15" t="s">
        <v>234</v>
      </c>
      <c r="H157" s="14" t="s">
        <v>65</v>
      </c>
      <c r="I157" s="16">
        <v>1</v>
      </c>
      <c r="J157" s="17">
        <v>1</v>
      </c>
      <c r="K157" s="14" t="s">
        <v>66</v>
      </c>
      <c r="L157" s="14" t="s">
        <v>67</v>
      </c>
      <c r="M157" s="14"/>
      <c r="N157" s="14"/>
      <c r="O157" s="15"/>
      <c r="P157" s="18">
        <v>1</v>
      </c>
      <c r="Q157" s="18">
        <v>1</v>
      </c>
      <c r="R157" s="18">
        <v>1</v>
      </c>
      <c r="S157" s="18">
        <v>1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271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69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271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102</v>
      </c>
      <c r="G159" s="15" t="s">
        <v>236</v>
      </c>
      <c r="H159" s="14" t="s">
        <v>65</v>
      </c>
      <c r="I159" s="16">
        <v>3</v>
      </c>
      <c r="J159" s="17">
        <v>2000</v>
      </c>
      <c r="K159" s="14" t="s">
        <v>124</v>
      </c>
      <c r="L159" s="14" t="s">
        <v>76</v>
      </c>
      <c r="M159" s="14"/>
      <c r="N159" s="14" t="s">
        <v>125</v>
      </c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271</v>
      </c>
      <c r="AY159" t="s">
        <v>275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69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271</v>
      </c>
      <c r="AY160" t="s">
        <v>275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102</v>
      </c>
      <c r="G161" s="15" t="s">
        <v>238</v>
      </c>
      <c r="H161" s="14" t="s">
        <v>65</v>
      </c>
      <c r="I161" s="16">
        <v>5</v>
      </c>
      <c r="J161" s="17">
        <v>10000</v>
      </c>
      <c r="K161" s="14" t="s">
        <v>75</v>
      </c>
      <c r="L161" s="14" t="s">
        <v>76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271</v>
      </c>
      <c r="AY161" t="s">
        <v>276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69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271</v>
      </c>
      <c r="AY162" t="s">
        <v>276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240</v>
      </c>
      <c r="G163" s="15" t="s">
        <v>241</v>
      </c>
      <c r="H163" s="14" t="s">
        <v>65</v>
      </c>
      <c r="I163" s="16">
        <v>3</v>
      </c>
      <c r="J163" s="17">
        <v>1000</v>
      </c>
      <c r="K163" s="14" t="s">
        <v>84</v>
      </c>
      <c r="L163" s="14" t="s">
        <v>76</v>
      </c>
      <c r="M163" s="14"/>
      <c r="N163" s="14" t="s">
        <v>85</v>
      </c>
      <c r="O163" s="15"/>
      <c r="P163" s="19">
        <v>0</v>
      </c>
      <c r="Q163" s="22">
        <v>3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271</v>
      </c>
      <c r="AY163" t="s">
        <v>277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69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271</v>
      </c>
      <c r="AY164" t="s">
        <v>277</v>
      </c>
    </row>
    <row r="165" ht="28" customHeight="1" spans="1:51" x14ac:dyDescent="0.25">
      <c r="A165" s="14"/>
      <c r="B165" s="14" t="s">
        <v>278</v>
      </c>
      <c r="C165" s="14" t="s">
        <v>279</v>
      </c>
      <c r="D165" s="14" t="s">
        <v>280</v>
      </c>
      <c r="E165" s="14" t="s">
        <v>233</v>
      </c>
      <c r="F165" s="15" t="s">
        <v>63</v>
      </c>
      <c r="G165" s="15" t="s">
        <v>234</v>
      </c>
      <c r="H165" s="14" t="s">
        <v>65</v>
      </c>
      <c r="I165" s="16">
        <v>1</v>
      </c>
      <c r="J165" s="17">
        <v>1</v>
      </c>
      <c r="K165" s="14" t="s">
        <v>66</v>
      </c>
      <c r="L165" s="14" t="s">
        <v>67</v>
      </c>
      <c r="M165" s="14"/>
      <c r="N165" s="14"/>
      <c r="O165" s="15"/>
      <c r="P165" s="18">
        <v>1</v>
      </c>
      <c r="Q165" s="18">
        <v>1</v>
      </c>
      <c r="R165" s="18">
        <v>1</v>
      </c>
      <c r="S165" s="18">
        <v>1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278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69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278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102</v>
      </c>
      <c r="G167" s="15" t="s">
        <v>236</v>
      </c>
      <c r="H167" s="14" t="s">
        <v>65</v>
      </c>
      <c r="I167" s="16">
        <v>3</v>
      </c>
      <c r="J167" s="17">
        <v>2000</v>
      </c>
      <c r="K167" s="14" t="s">
        <v>124</v>
      </c>
      <c r="L167" s="14" t="s">
        <v>76</v>
      </c>
      <c r="M167" s="14"/>
      <c r="N167" s="14" t="s">
        <v>125</v>
      </c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278</v>
      </c>
      <c r="AY167" t="s">
        <v>282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69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278</v>
      </c>
      <c r="AY168" t="s">
        <v>282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102</v>
      </c>
      <c r="G169" s="15" t="s">
        <v>238</v>
      </c>
      <c r="H169" s="14" t="s">
        <v>65</v>
      </c>
      <c r="I169" s="16">
        <v>5</v>
      </c>
      <c r="J169" s="17">
        <v>10000</v>
      </c>
      <c r="K169" s="14" t="s">
        <v>75</v>
      </c>
      <c r="L169" s="14" t="s">
        <v>76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278</v>
      </c>
      <c r="AY169" t="s">
        <v>283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69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278</v>
      </c>
      <c r="AY170" t="s">
        <v>283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240</v>
      </c>
      <c r="G171" s="15" t="s">
        <v>241</v>
      </c>
      <c r="H171" s="14" t="s">
        <v>65</v>
      </c>
      <c r="I171" s="16">
        <v>2</v>
      </c>
      <c r="J171" s="17">
        <v>1</v>
      </c>
      <c r="K171" s="14" t="s">
        <v>107</v>
      </c>
      <c r="L171" s="14" t="s">
        <v>67</v>
      </c>
      <c r="M171" s="14"/>
      <c r="N171" s="14"/>
      <c r="O171" s="15"/>
      <c r="P171" s="19">
        <v>0</v>
      </c>
      <c r="Q171" s="19">
        <v>0</v>
      </c>
      <c r="R171" s="23">
        <v>2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278</v>
      </c>
      <c r="AY171" t="s">
        <v>284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69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278</v>
      </c>
      <c r="AY172" t="s">
        <v>284</v>
      </c>
    </row>
    <row r="173" ht="28" customHeight="1" spans="1:51" x14ac:dyDescent="0.25">
      <c r="A173" s="14" t="s">
        <v>285</v>
      </c>
      <c r="B173" s="14" t="s">
        <v>286</v>
      </c>
      <c r="C173" s="14" t="s">
        <v>287</v>
      </c>
      <c r="D173" s="14" t="s">
        <v>288</v>
      </c>
      <c r="E173" s="14" t="s">
        <v>289</v>
      </c>
      <c r="F173" s="15" t="s">
        <v>63</v>
      </c>
      <c r="G173" s="15" t="s">
        <v>290</v>
      </c>
      <c r="H173" s="14" t="s">
        <v>65</v>
      </c>
      <c r="I173" s="16">
        <v>1</v>
      </c>
      <c r="J173" s="17">
        <v>1</v>
      </c>
      <c r="K173" s="14" t="s">
        <v>66</v>
      </c>
      <c r="L173" s="14" t="s">
        <v>67</v>
      </c>
      <c r="M173" s="14"/>
      <c r="N173" s="14"/>
      <c r="O173" s="15"/>
      <c r="P173" s="18">
        <v>1</v>
      </c>
      <c r="Q173" s="18">
        <v>1</v>
      </c>
      <c r="R173" s="18">
        <v>1</v>
      </c>
      <c r="S173" s="18">
        <v>1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286</v>
      </c>
      <c r="AY173" t="s">
        <v>291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69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286</v>
      </c>
      <c r="AY174" t="s">
        <v>291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102</v>
      </c>
      <c r="G175" s="15" t="s">
        <v>236</v>
      </c>
      <c r="H175" s="14" t="s">
        <v>65</v>
      </c>
      <c r="I175" s="16">
        <v>3</v>
      </c>
      <c r="J175" s="17">
        <v>3</v>
      </c>
      <c r="K175" s="14" t="s">
        <v>292</v>
      </c>
      <c r="L175" s="14" t="s">
        <v>67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286</v>
      </c>
      <c r="AY175" t="s">
        <v>293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69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286</v>
      </c>
      <c r="AY176" t="s">
        <v>293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102</v>
      </c>
      <c r="G177" s="15" t="s">
        <v>238</v>
      </c>
      <c r="H177" s="14" t="s">
        <v>65</v>
      </c>
      <c r="I177" s="16">
        <v>5</v>
      </c>
      <c r="J177" s="17">
        <v>10000</v>
      </c>
      <c r="K177" s="14" t="s">
        <v>75</v>
      </c>
      <c r="L177" s="14" t="s">
        <v>76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286</v>
      </c>
      <c r="AY177" t="s">
        <v>294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69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286</v>
      </c>
      <c r="AY178" t="s">
        <v>294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206</v>
      </c>
      <c r="G179" s="15" t="s">
        <v>295</v>
      </c>
      <c r="H179" s="14" t="s">
        <v>65</v>
      </c>
      <c r="I179" s="16">
        <v>2</v>
      </c>
      <c r="J179" s="17">
        <v>500</v>
      </c>
      <c r="K179" s="14" t="s">
        <v>296</v>
      </c>
      <c r="L179" s="14" t="s">
        <v>76</v>
      </c>
      <c r="M179" s="14"/>
      <c r="N179" s="14" t="s">
        <v>297</v>
      </c>
      <c r="O179" s="15"/>
      <c r="P179" s="23">
        <v>2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286</v>
      </c>
      <c r="AY179" t="s">
        <v>298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69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286</v>
      </c>
      <c r="AY180" t="s">
        <v>298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299</v>
      </c>
      <c r="G181" s="15" t="s">
        <v>300</v>
      </c>
      <c r="H181" s="14" t="s">
        <v>65</v>
      </c>
      <c r="I181" s="16">
        <v>2</v>
      </c>
      <c r="J181" s="17">
        <v>300</v>
      </c>
      <c r="K181" s="14" t="s">
        <v>301</v>
      </c>
      <c r="L181" s="14" t="s">
        <v>76</v>
      </c>
      <c r="M181" s="14"/>
      <c r="N181" s="14" t="s">
        <v>302</v>
      </c>
      <c r="O181" s="15"/>
      <c r="P181" s="19">
        <v>0</v>
      </c>
      <c r="Q181" s="23">
        <v>2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286</v>
      </c>
      <c r="AY181" t="s">
        <v>303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69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286</v>
      </c>
      <c r="AY182" t="s">
        <v>303</v>
      </c>
    </row>
    <row r="183" ht="28" customHeight="1" spans="1:51" x14ac:dyDescent="0.25">
      <c r="A183" s="14"/>
      <c r="B183" s="14"/>
      <c r="C183" s="14"/>
      <c r="D183" s="14"/>
      <c r="E183" s="14"/>
      <c r="F183" s="15" t="s">
        <v>304</v>
      </c>
      <c r="G183" s="15" t="s">
        <v>305</v>
      </c>
      <c r="H183" s="14" t="s">
        <v>65</v>
      </c>
      <c r="I183" s="16">
        <v>2</v>
      </c>
      <c r="J183" s="17">
        <v>300</v>
      </c>
      <c r="K183" s="14" t="s">
        <v>301</v>
      </c>
      <c r="L183" s="14" t="s">
        <v>76</v>
      </c>
      <c r="M183" s="14"/>
      <c r="N183" s="14" t="s">
        <v>302</v>
      </c>
      <c r="O183" s="15"/>
      <c r="P183" s="19">
        <v>0</v>
      </c>
      <c r="Q183" s="23">
        <v>2</v>
      </c>
      <c r="R183" s="19">
        <v>0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286</v>
      </c>
      <c r="AY183" t="s">
        <v>306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69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286</v>
      </c>
      <c r="AY184" t="s">
        <v>306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304</v>
      </c>
      <c r="G185" s="15" t="s">
        <v>307</v>
      </c>
      <c r="H185" s="14" t="s">
        <v>65</v>
      </c>
      <c r="I185" s="16">
        <v>2</v>
      </c>
      <c r="J185" s="17">
        <v>300</v>
      </c>
      <c r="K185" s="14" t="s">
        <v>301</v>
      </c>
      <c r="L185" s="14" t="s">
        <v>76</v>
      </c>
      <c r="M185" s="14"/>
      <c r="N185" s="14" t="s">
        <v>302</v>
      </c>
      <c r="O185" s="15"/>
      <c r="P185" s="19">
        <v>0</v>
      </c>
      <c r="Q185" s="23">
        <v>2</v>
      </c>
      <c r="R185" s="19">
        <v>0</v>
      </c>
      <c r="S185" s="19">
        <v>0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286</v>
      </c>
      <c r="AY185" t="s">
        <v>308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69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286</v>
      </c>
      <c r="AY186" t="s">
        <v>308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309</v>
      </c>
      <c r="G187" s="15" t="s">
        <v>310</v>
      </c>
      <c r="H187" s="14" t="s">
        <v>65</v>
      </c>
      <c r="I187" s="16">
        <v>3</v>
      </c>
      <c r="J187" s="17">
        <v>3</v>
      </c>
      <c r="K187" s="14" t="s">
        <v>292</v>
      </c>
      <c r="L187" s="14" t="s">
        <v>67</v>
      </c>
      <c r="M187" s="14"/>
      <c r="N187" s="14"/>
      <c r="O187" s="15"/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286</v>
      </c>
      <c r="AY187" t="s">
        <v>311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69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286</v>
      </c>
      <c r="AY188" t="s">
        <v>311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312</v>
      </c>
      <c r="G189" s="15" t="s">
        <v>313</v>
      </c>
      <c r="H189" s="14" t="s">
        <v>65</v>
      </c>
      <c r="I189" s="16">
        <v>2</v>
      </c>
      <c r="J189" s="17">
        <v>500</v>
      </c>
      <c r="K189" s="14" t="s">
        <v>296</v>
      </c>
      <c r="L189" s="14" t="s">
        <v>76</v>
      </c>
      <c r="M189" s="14"/>
      <c r="N189" s="14" t="s">
        <v>297</v>
      </c>
      <c r="O189" s="15"/>
      <c r="P189" s="23">
        <v>2</v>
      </c>
      <c r="Q189" s="19">
        <v>0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286</v>
      </c>
      <c r="AY189" t="s">
        <v>314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69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286</v>
      </c>
      <c r="AY190" t="s">
        <v>314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315</v>
      </c>
      <c r="G191" s="15" t="s">
        <v>316</v>
      </c>
      <c r="H191" s="14" t="s">
        <v>65</v>
      </c>
      <c r="I191" s="16">
        <v>2</v>
      </c>
      <c r="J191" s="17">
        <v>200</v>
      </c>
      <c r="K191" s="14" t="s">
        <v>317</v>
      </c>
      <c r="L191" s="14" t="s">
        <v>76</v>
      </c>
      <c r="M191" s="14"/>
      <c r="N191" s="14" t="s">
        <v>318</v>
      </c>
      <c r="O191" s="15"/>
      <c r="P191" s="19">
        <v>0</v>
      </c>
      <c r="Q191" s="23">
        <v>2</v>
      </c>
      <c r="R191" s="19">
        <v>0</v>
      </c>
      <c r="S191" s="23">
        <v>2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286</v>
      </c>
      <c r="AY191" t="s">
        <v>319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69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286</v>
      </c>
      <c r="AY192" t="s">
        <v>319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320</v>
      </c>
      <c r="G193" s="15" t="s">
        <v>321</v>
      </c>
      <c r="H193" s="14" t="s">
        <v>65</v>
      </c>
      <c r="I193" s="16">
        <v>2</v>
      </c>
      <c r="J193" s="17">
        <v>200</v>
      </c>
      <c r="K193" s="14" t="s">
        <v>317</v>
      </c>
      <c r="L193" s="14" t="s">
        <v>76</v>
      </c>
      <c r="M193" s="14"/>
      <c r="N193" s="14" t="s">
        <v>318</v>
      </c>
      <c r="O193" s="15"/>
      <c r="P193" s="19">
        <v>0</v>
      </c>
      <c r="Q193" s="23">
        <v>2</v>
      </c>
      <c r="R193" s="19">
        <v>0</v>
      </c>
      <c r="S193" s="23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286</v>
      </c>
      <c r="AY193" t="s">
        <v>322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69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286</v>
      </c>
      <c r="AY194" t="s">
        <v>322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323</v>
      </c>
      <c r="G195" s="15" t="s">
        <v>324</v>
      </c>
      <c r="H195" s="14" t="s">
        <v>65</v>
      </c>
      <c r="I195" s="16">
        <v>3</v>
      </c>
      <c r="J195" s="17">
        <v>1000</v>
      </c>
      <c r="K195" s="14" t="s">
        <v>84</v>
      </c>
      <c r="L195" s="14" t="s">
        <v>76</v>
      </c>
      <c r="M195" s="14"/>
      <c r="N195" s="14" t="s">
        <v>85</v>
      </c>
      <c r="O195" s="15"/>
      <c r="P195" s="19">
        <v>0</v>
      </c>
      <c r="Q195" s="22">
        <v>3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286</v>
      </c>
      <c r="AY195" t="s">
        <v>325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69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286</v>
      </c>
      <c r="AY196" t="s">
        <v>325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326</v>
      </c>
      <c r="G197" s="15" t="s">
        <v>324</v>
      </c>
      <c r="H197" s="14" t="s">
        <v>65</v>
      </c>
      <c r="I197" s="16">
        <v>2</v>
      </c>
      <c r="J197" s="17">
        <v>500</v>
      </c>
      <c r="K197" s="14" t="s">
        <v>296</v>
      </c>
      <c r="L197" s="14" t="s">
        <v>76</v>
      </c>
      <c r="M197" s="14"/>
      <c r="N197" s="14" t="s">
        <v>297</v>
      </c>
      <c r="O197" s="15"/>
      <c r="P197" s="23">
        <v>2</v>
      </c>
      <c r="Q197" s="19">
        <v>0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286</v>
      </c>
      <c r="AY197" t="s">
        <v>327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69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286</v>
      </c>
      <c r="AY198" t="s">
        <v>327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328</v>
      </c>
      <c r="G199" s="15" t="s">
        <v>329</v>
      </c>
      <c r="H199" s="14" t="s">
        <v>65</v>
      </c>
      <c r="I199" s="16">
        <v>1</v>
      </c>
      <c r="J199" s="17">
        <v>1</v>
      </c>
      <c r="K199" s="14" t="s">
        <v>66</v>
      </c>
      <c r="L199" s="14" t="s">
        <v>67</v>
      </c>
      <c r="M199" s="14"/>
      <c r="N199" s="14"/>
      <c r="O199" s="15"/>
      <c r="P199" s="18">
        <v>1</v>
      </c>
      <c r="Q199" s="18">
        <v>1</v>
      </c>
      <c r="R199" s="18">
        <v>1</v>
      </c>
      <c r="S199" s="18">
        <v>1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286</v>
      </c>
      <c r="AY199" t="s">
        <v>330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69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286</v>
      </c>
      <c r="AY200" t="s">
        <v>330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328</v>
      </c>
      <c r="G201" s="15" t="s">
        <v>331</v>
      </c>
      <c r="H201" s="14" t="s">
        <v>65</v>
      </c>
      <c r="I201" s="16">
        <v>1</v>
      </c>
      <c r="J201" s="17">
        <v>1</v>
      </c>
      <c r="K201" s="14" t="s">
        <v>66</v>
      </c>
      <c r="L201" s="14" t="s">
        <v>67</v>
      </c>
      <c r="M201" s="14"/>
      <c r="N201" s="14"/>
      <c r="O201" s="15"/>
      <c r="P201" s="18">
        <v>1</v>
      </c>
      <c r="Q201" s="18">
        <v>1</v>
      </c>
      <c r="R201" s="18">
        <v>1</v>
      </c>
      <c r="S201" s="18">
        <v>1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286</v>
      </c>
      <c r="AY201" t="s">
        <v>332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69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286</v>
      </c>
      <c r="AY202" t="s">
        <v>332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333</v>
      </c>
      <c r="G203" s="15" t="s">
        <v>334</v>
      </c>
      <c r="H203" s="14" t="s">
        <v>65</v>
      </c>
      <c r="I203" s="16">
        <v>1</v>
      </c>
      <c r="J203" s="17">
        <v>1</v>
      </c>
      <c r="K203" s="14" t="s">
        <v>66</v>
      </c>
      <c r="L203" s="14" t="s">
        <v>67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286</v>
      </c>
      <c r="AY203" t="s">
        <v>335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69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286</v>
      </c>
      <c r="AY204" t="s">
        <v>335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336</v>
      </c>
      <c r="G205" s="15" t="s">
        <v>337</v>
      </c>
      <c r="H205" s="14" t="s">
        <v>65</v>
      </c>
      <c r="I205" s="16">
        <v>1</v>
      </c>
      <c r="J205" s="17">
        <v>1</v>
      </c>
      <c r="K205" s="14" t="s">
        <v>66</v>
      </c>
      <c r="L205" s="14" t="s">
        <v>67</v>
      </c>
      <c r="M205" s="14"/>
      <c r="N205" s="14"/>
      <c r="O205" s="15"/>
      <c r="P205" s="18">
        <v>1</v>
      </c>
      <c r="Q205" s="18">
        <v>1</v>
      </c>
      <c r="R205" s="18">
        <v>1</v>
      </c>
      <c r="S205" s="18">
        <v>1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286</v>
      </c>
      <c r="AY205" t="s">
        <v>338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69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286</v>
      </c>
      <c r="AY206" t="s">
        <v>338</v>
      </c>
    </row>
    <row r="207" ht="28" customHeight="1" spans="1:51" x14ac:dyDescent="0.25">
      <c r="A207" s="14"/>
      <c r="B207" s="14" t="s">
        <v>339</v>
      </c>
      <c r="C207" s="14" t="s">
        <v>340</v>
      </c>
      <c r="D207" s="14" t="s">
        <v>341</v>
      </c>
      <c r="E207" s="14" t="s">
        <v>342</v>
      </c>
      <c r="F207" s="15" t="s">
        <v>63</v>
      </c>
      <c r="G207" s="15" t="s">
        <v>100</v>
      </c>
      <c r="H207" s="14" t="s">
        <v>65</v>
      </c>
      <c r="I207" s="16">
        <v>1</v>
      </c>
      <c r="J207" s="17">
        <v>1</v>
      </c>
      <c r="K207" s="14" t="s">
        <v>66</v>
      </c>
      <c r="L207" s="14" t="s">
        <v>67</v>
      </c>
      <c r="M207" s="14"/>
      <c r="N207" s="14"/>
      <c r="O207" s="15"/>
      <c r="P207" s="18">
        <v>1</v>
      </c>
      <c r="Q207" s="18">
        <v>1</v>
      </c>
      <c r="R207" s="18">
        <v>1</v>
      </c>
      <c r="S207" s="18">
        <v>1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339</v>
      </c>
      <c r="AY207" t="s">
        <v>343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69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339</v>
      </c>
      <c r="AY208" t="s">
        <v>343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344</v>
      </c>
      <c r="G209" s="15" t="s">
        <v>115</v>
      </c>
      <c r="H209" s="14" t="s">
        <v>65</v>
      </c>
      <c r="I209" s="16">
        <v>2</v>
      </c>
      <c r="J209" s="17">
        <v>200</v>
      </c>
      <c r="K209" s="14" t="s">
        <v>317</v>
      </c>
      <c r="L209" s="14" t="s">
        <v>76</v>
      </c>
      <c r="M209" s="14"/>
      <c r="N209" s="14" t="s">
        <v>318</v>
      </c>
      <c r="O209" s="15"/>
      <c r="P209" s="19">
        <v>0</v>
      </c>
      <c r="Q209" s="23">
        <v>2</v>
      </c>
      <c r="R209" s="19">
        <v>0</v>
      </c>
      <c r="S209" s="23">
        <v>2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339</v>
      </c>
      <c r="AY209" t="s">
        <v>345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69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339</v>
      </c>
      <c r="AY210" t="s">
        <v>345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346</v>
      </c>
      <c r="G211" s="15" t="s">
        <v>347</v>
      </c>
      <c r="H211" s="14" t="s">
        <v>65</v>
      </c>
      <c r="I211" s="16">
        <v>5</v>
      </c>
      <c r="J211" s="17">
        <v>10000</v>
      </c>
      <c r="K211" s="14" t="s">
        <v>75</v>
      </c>
      <c r="L211" s="14" t="s">
        <v>76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339</v>
      </c>
      <c r="AY211" t="s">
        <v>348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69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339</v>
      </c>
      <c r="AY212" t="s">
        <v>348</v>
      </c>
    </row>
    <row r="213" ht="28" customHeight="1" spans="1:51" x14ac:dyDescent="0.25">
      <c r="A213" s="14"/>
      <c r="B213" s="14"/>
      <c r="C213" s="14"/>
      <c r="D213" s="14"/>
      <c r="E213" s="14"/>
      <c r="F213" s="15" t="s">
        <v>349</v>
      </c>
      <c r="G213" s="15" t="s">
        <v>79</v>
      </c>
      <c r="H213" s="14" t="s">
        <v>65</v>
      </c>
      <c r="I213" s="16">
        <v>2</v>
      </c>
      <c r="J213" s="17">
        <v>500</v>
      </c>
      <c r="K213" s="14" t="s">
        <v>296</v>
      </c>
      <c r="L213" s="14" t="s">
        <v>76</v>
      </c>
      <c r="M213" s="14"/>
      <c r="N213" s="14" t="s">
        <v>297</v>
      </c>
      <c r="O213" s="15"/>
      <c r="P213" s="23">
        <v>2</v>
      </c>
      <c r="Q213" s="19">
        <v>0</v>
      </c>
      <c r="R213" s="19">
        <v>0</v>
      </c>
      <c r="S213" s="19">
        <v>0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339</v>
      </c>
      <c r="AY213" t="s">
        <v>350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69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339</v>
      </c>
      <c r="AY214" t="s">
        <v>350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351</v>
      </c>
      <c r="G215" s="15" t="s">
        <v>79</v>
      </c>
      <c r="H215" s="14" t="s">
        <v>65</v>
      </c>
      <c r="I215" s="16">
        <v>2</v>
      </c>
      <c r="J215" s="17">
        <v>500</v>
      </c>
      <c r="K215" s="14" t="s">
        <v>296</v>
      </c>
      <c r="L215" s="14" t="s">
        <v>76</v>
      </c>
      <c r="M215" s="14"/>
      <c r="N215" s="14" t="s">
        <v>297</v>
      </c>
      <c r="O215" s="15"/>
      <c r="P215" s="23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339</v>
      </c>
      <c r="AY215" t="s">
        <v>352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69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339</v>
      </c>
      <c r="AY216" t="s">
        <v>352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304</v>
      </c>
      <c r="G217" s="15" t="s">
        <v>79</v>
      </c>
      <c r="H217" s="14" t="s">
        <v>65</v>
      </c>
      <c r="I217" s="16">
        <v>2</v>
      </c>
      <c r="J217" s="17">
        <v>500</v>
      </c>
      <c r="K217" s="14" t="s">
        <v>296</v>
      </c>
      <c r="L217" s="14" t="s">
        <v>76</v>
      </c>
      <c r="M217" s="14"/>
      <c r="N217" s="14" t="s">
        <v>297</v>
      </c>
      <c r="O217" s="15"/>
      <c r="P217" s="23">
        <v>2</v>
      </c>
      <c r="Q217" s="19">
        <v>0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339</v>
      </c>
      <c r="AY217" t="s">
        <v>353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69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339</v>
      </c>
      <c r="AY218" t="s">
        <v>353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354</v>
      </c>
      <c r="G219" s="15" t="s">
        <v>115</v>
      </c>
      <c r="H219" s="14" t="s">
        <v>65</v>
      </c>
      <c r="I219" s="16">
        <v>2</v>
      </c>
      <c r="J219" s="17">
        <v>500</v>
      </c>
      <c r="K219" s="14" t="s">
        <v>296</v>
      </c>
      <c r="L219" s="14" t="s">
        <v>76</v>
      </c>
      <c r="M219" s="14"/>
      <c r="N219" s="14" t="s">
        <v>297</v>
      </c>
      <c r="O219" s="15"/>
      <c r="P219" s="23">
        <v>2</v>
      </c>
      <c r="Q219" s="19">
        <v>0</v>
      </c>
      <c r="R219" s="19">
        <v>0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339</v>
      </c>
      <c r="AY219" t="s">
        <v>355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69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339</v>
      </c>
      <c r="AY220" t="s">
        <v>355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326</v>
      </c>
      <c r="G221" s="15" t="s">
        <v>115</v>
      </c>
      <c r="H221" s="14" t="s">
        <v>65</v>
      </c>
      <c r="I221" s="16">
        <v>3</v>
      </c>
      <c r="J221" s="17">
        <v>1000</v>
      </c>
      <c r="K221" s="14" t="s">
        <v>84</v>
      </c>
      <c r="L221" s="14" t="s">
        <v>76</v>
      </c>
      <c r="M221" s="14"/>
      <c r="N221" s="14" t="s">
        <v>85</v>
      </c>
      <c r="O221" s="15"/>
      <c r="P221" s="19">
        <v>0</v>
      </c>
      <c r="Q221" s="22">
        <v>3</v>
      </c>
      <c r="R221" s="19">
        <v>0</v>
      </c>
      <c r="S221" s="19">
        <v>0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339</v>
      </c>
      <c r="AY221" t="s">
        <v>356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69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339</v>
      </c>
      <c r="AY222" t="s">
        <v>356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357</v>
      </c>
      <c r="G223" s="15" t="s">
        <v>115</v>
      </c>
      <c r="H223" s="14" t="s">
        <v>65</v>
      </c>
      <c r="I223" s="16">
        <v>2</v>
      </c>
      <c r="J223" s="17">
        <v>500</v>
      </c>
      <c r="K223" s="14" t="s">
        <v>296</v>
      </c>
      <c r="L223" s="14" t="s">
        <v>76</v>
      </c>
      <c r="M223" s="14"/>
      <c r="N223" s="14" t="s">
        <v>297</v>
      </c>
      <c r="O223" s="15"/>
      <c r="P223" s="23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339</v>
      </c>
      <c r="AY223" t="s">
        <v>358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69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339</v>
      </c>
      <c r="AY224" t="s">
        <v>358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328</v>
      </c>
      <c r="G225" s="15" t="s">
        <v>359</v>
      </c>
      <c r="H225" s="14" t="s">
        <v>65</v>
      </c>
      <c r="I225" s="16">
        <v>1</v>
      </c>
      <c r="J225" s="17">
        <v>1</v>
      </c>
      <c r="K225" s="14" t="s">
        <v>66</v>
      </c>
      <c r="L225" s="14" t="s">
        <v>67</v>
      </c>
      <c r="M225" s="14"/>
      <c r="N225" s="14"/>
      <c r="O225" s="15"/>
      <c r="P225" s="18">
        <v>1</v>
      </c>
      <c r="Q225" s="18">
        <v>1</v>
      </c>
      <c r="R225" s="18">
        <v>1</v>
      </c>
      <c r="S225" s="18">
        <v>1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339</v>
      </c>
      <c r="AY225" t="s">
        <v>360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69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339</v>
      </c>
      <c r="AY226" t="s">
        <v>360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328</v>
      </c>
      <c r="G227" s="15" t="s">
        <v>361</v>
      </c>
      <c r="H227" s="14" t="s">
        <v>65</v>
      </c>
      <c r="I227" s="16">
        <v>1</v>
      </c>
      <c r="J227" s="17">
        <v>1</v>
      </c>
      <c r="K227" s="14" t="s">
        <v>66</v>
      </c>
      <c r="L227" s="14" t="s">
        <v>67</v>
      </c>
      <c r="M227" s="14"/>
      <c r="N227" s="14"/>
      <c r="O227" s="15"/>
      <c r="P227" s="18">
        <v>1</v>
      </c>
      <c r="Q227" s="18">
        <v>1</v>
      </c>
      <c r="R227" s="18">
        <v>1</v>
      </c>
      <c r="S227" s="18">
        <v>1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339</v>
      </c>
      <c r="AY227" t="s">
        <v>362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69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339</v>
      </c>
      <c r="AY228" t="s">
        <v>362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363</v>
      </c>
      <c r="G229" s="15" t="s">
        <v>364</v>
      </c>
      <c r="H229" s="14" t="s">
        <v>65</v>
      </c>
      <c r="I229" s="16">
        <v>1</v>
      </c>
      <c r="J229" s="17">
        <v>1</v>
      </c>
      <c r="K229" s="14" t="s">
        <v>66</v>
      </c>
      <c r="L229" s="14" t="s">
        <v>67</v>
      </c>
      <c r="M229" s="14"/>
      <c r="N229" s="14"/>
      <c r="O229" s="15"/>
      <c r="P229" s="18">
        <v>1</v>
      </c>
      <c r="Q229" s="18">
        <v>1</v>
      </c>
      <c r="R229" s="18">
        <v>1</v>
      </c>
      <c r="S229" s="18">
        <v>1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339</v>
      </c>
      <c r="AY229" t="s">
        <v>365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69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339</v>
      </c>
      <c r="AY230" t="s">
        <v>365</v>
      </c>
    </row>
    <row r="231" ht="28" customHeight="1" spans="1:51" x14ac:dyDescent="0.25">
      <c r="A231" s="14"/>
      <c r="B231" s="14" t="s">
        <v>366</v>
      </c>
      <c r="C231" s="14" t="s">
        <v>367</v>
      </c>
      <c r="D231" s="14" t="s">
        <v>368</v>
      </c>
      <c r="E231" s="14" t="s">
        <v>369</v>
      </c>
      <c r="F231" s="15" t="s">
        <v>370</v>
      </c>
      <c r="G231" s="15" t="s">
        <v>371</v>
      </c>
      <c r="H231" s="14" t="s">
        <v>65</v>
      </c>
      <c r="I231" s="16">
        <v>2</v>
      </c>
      <c r="J231" s="17">
        <v>1</v>
      </c>
      <c r="K231" s="14" t="s">
        <v>107</v>
      </c>
      <c r="L231" s="14" t="s">
        <v>67</v>
      </c>
      <c r="M231" s="14"/>
      <c r="N231" s="14"/>
      <c r="O231" s="15"/>
      <c r="P231" s="19">
        <v>0</v>
      </c>
      <c r="Q231" s="19">
        <v>0</v>
      </c>
      <c r="R231" s="23">
        <v>2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366</v>
      </c>
      <c r="AY231" t="s">
        <v>372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69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366</v>
      </c>
      <c r="AY232" t="s">
        <v>372</v>
      </c>
    </row>
    <row r="233" ht="28" customHeight="1" spans="1:51" x14ac:dyDescent="0.25">
      <c r="A233" s="14"/>
      <c r="B233" s="14"/>
      <c r="C233" s="14"/>
      <c r="D233" s="14"/>
      <c r="E233" s="14"/>
      <c r="F233" s="15" t="s">
        <v>373</v>
      </c>
      <c r="G233" s="15" t="s">
        <v>374</v>
      </c>
      <c r="H233" s="14" t="s">
        <v>65</v>
      </c>
      <c r="I233" s="16">
        <v>1</v>
      </c>
      <c r="J233" s="17">
        <v>1</v>
      </c>
      <c r="K233" s="14" t="s">
        <v>66</v>
      </c>
      <c r="L233" s="14" t="s">
        <v>67</v>
      </c>
      <c r="M233" s="14"/>
      <c r="N233" s="14"/>
      <c r="O233" s="15"/>
      <c r="P233" s="18">
        <v>1</v>
      </c>
      <c r="Q233" s="18">
        <v>1</v>
      </c>
      <c r="R233" s="18">
        <v>1</v>
      </c>
      <c r="S233" s="18">
        <v>1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366</v>
      </c>
      <c r="AY233" t="s">
        <v>375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69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366</v>
      </c>
      <c r="AY234" t="s">
        <v>375</v>
      </c>
    </row>
    <row r="235" ht="28" customHeight="1" spans="1:51" x14ac:dyDescent="0.25">
      <c r="A235" s="14"/>
      <c r="B235" s="14" t="s">
        <v>376</v>
      </c>
      <c r="C235" s="14" t="s">
        <v>377</v>
      </c>
      <c r="D235" s="14" t="s">
        <v>378</v>
      </c>
      <c r="E235" s="14" t="s">
        <v>233</v>
      </c>
      <c r="F235" s="15" t="s">
        <v>63</v>
      </c>
      <c r="G235" s="15" t="s">
        <v>234</v>
      </c>
      <c r="H235" s="14" t="s">
        <v>65</v>
      </c>
      <c r="I235" s="16">
        <v>1</v>
      </c>
      <c r="J235" s="17">
        <v>1</v>
      </c>
      <c r="K235" s="14" t="s">
        <v>66</v>
      </c>
      <c r="L235" s="14" t="s">
        <v>67</v>
      </c>
      <c r="M235" s="14"/>
      <c r="N235" s="14"/>
      <c r="O235" s="15"/>
      <c r="P235" s="18">
        <v>1</v>
      </c>
      <c r="Q235" s="18">
        <v>1</v>
      </c>
      <c r="R235" s="18">
        <v>1</v>
      </c>
      <c r="S235" s="18">
        <v>1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376</v>
      </c>
      <c r="AY235" t="s">
        <v>379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69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376</v>
      </c>
      <c r="AY236" t="s">
        <v>379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102</v>
      </c>
      <c r="G237" s="15" t="s">
        <v>236</v>
      </c>
      <c r="H237" s="14" t="s">
        <v>65</v>
      </c>
      <c r="I237" s="16">
        <v>3</v>
      </c>
      <c r="J237" s="17">
        <v>2000</v>
      </c>
      <c r="K237" s="14" t="s">
        <v>124</v>
      </c>
      <c r="L237" s="14" t="s">
        <v>76</v>
      </c>
      <c r="M237" s="14"/>
      <c r="N237" s="14" t="s">
        <v>125</v>
      </c>
      <c r="O237" s="15"/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376</v>
      </c>
      <c r="AY237" t="s">
        <v>380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69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376</v>
      </c>
      <c r="AY238" t="s">
        <v>380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102</v>
      </c>
      <c r="G239" s="15" t="s">
        <v>238</v>
      </c>
      <c r="H239" s="14" t="s">
        <v>65</v>
      </c>
      <c r="I239" s="16">
        <v>5</v>
      </c>
      <c r="J239" s="17">
        <v>10000</v>
      </c>
      <c r="K239" s="14" t="s">
        <v>75</v>
      </c>
      <c r="L239" s="14" t="s">
        <v>76</v>
      </c>
      <c r="M239" s="14"/>
      <c r="N239" s="14"/>
      <c r="O239" s="15"/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376</v>
      </c>
      <c r="AY239" t="s">
        <v>381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69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376</v>
      </c>
      <c r="AY240" t="s">
        <v>381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240</v>
      </c>
      <c r="G241" s="15" t="s">
        <v>241</v>
      </c>
      <c r="H241" s="14" t="s">
        <v>65</v>
      </c>
      <c r="I241" s="16">
        <v>3</v>
      </c>
      <c r="J241" s="17">
        <v>1000</v>
      </c>
      <c r="K241" s="14" t="s">
        <v>84</v>
      </c>
      <c r="L241" s="14" t="s">
        <v>76</v>
      </c>
      <c r="M241" s="14"/>
      <c r="N241" s="14" t="s">
        <v>85</v>
      </c>
      <c r="O241" s="15"/>
      <c r="P241" s="19">
        <v>0</v>
      </c>
      <c r="Q241" s="22">
        <v>3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376</v>
      </c>
      <c r="AY241" t="s">
        <v>382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69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376</v>
      </c>
      <c r="AY242" t="s">
        <v>382</v>
      </c>
    </row>
    <row r="243" ht="28" customHeight="1" spans="1:51" x14ac:dyDescent="0.25">
      <c r="A243" s="14"/>
      <c r="B243" s="14" t="s">
        <v>383</v>
      </c>
      <c r="C243" s="14" t="s">
        <v>384</v>
      </c>
      <c r="D243" s="14" t="s">
        <v>385</v>
      </c>
      <c r="E243" s="14" t="s">
        <v>233</v>
      </c>
      <c r="F243" s="15" t="s">
        <v>63</v>
      </c>
      <c r="G243" s="15" t="s">
        <v>234</v>
      </c>
      <c r="H243" s="14" t="s">
        <v>65</v>
      </c>
      <c r="I243" s="16">
        <v>1</v>
      </c>
      <c r="J243" s="17">
        <v>1</v>
      </c>
      <c r="K243" s="14" t="s">
        <v>66</v>
      </c>
      <c r="L243" s="14" t="s">
        <v>67</v>
      </c>
      <c r="M243" s="14"/>
      <c r="N243" s="14"/>
      <c r="O243" s="15"/>
      <c r="P243" s="18">
        <v>1</v>
      </c>
      <c r="Q243" s="18">
        <v>1</v>
      </c>
      <c r="R243" s="18">
        <v>1</v>
      </c>
      <c r="S243" s="18">
        <v>1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383</v>
      </c>
      <c r="AY243" t="s">
        <v>386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69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383</v>
      </c>
      <c r="AY244" t="s">
        <v>386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102</v>
      </c>
      <c r="G245" s="15" t="s">
        <v>236</v>
      </c>
      <c r="H245" s="14" t="s">
        <v>65</v>
      </c>
      <c r="I245" s="16">
        <v>3</v>
      </c>
      <c r="J245" s="17">
        <v>2000</v>
      </c>
      <c r="K245" s="14" t="s">
        <v>124</v>
      </c>
      <c r="L245" s="14" t="s">
        <v>76</v>
      </c>
      <c r="M245" s="14"/>
      <c r="N245" s="14" t="s">
        <v>125</v>
      </c>
      <c r="O245" s="15"/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383</v>
      </c>
      <c r="AY245" t="s">
        <v>387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69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383</v>
      </c>
      <c r="AY246" t="s">
        <v>387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102</v>
      </c>
      <c r="G247" s="15" t="s">
        <v>238</v>
      </c>
      <c r="H247" s="14" t="s">
        <v>65</v>
      </c>
      <c r="I247" s="16">
        <v>5</v>
      </c>
      <c r="J247" s="17">
        <v>10000</v>
      </c>
      <c r="K247" s="14" t="s">
        <v>75</v>
      </c>
      <c r="L247" s="14" t="s">
        <v>76</v>
      </c>
      <c r="M247" s="14"/>
      <c r="N247" s="14"/>
      <c r="O247" s="15"/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383</v>
      </c>
      <c r="AY247" t="s">
        <v>388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69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383</v>
      </c>
      <c r="AY248" t="s">
        <v>388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240</v>
      </c>
      <c r="G249" s="15" t="s">
        <v>241</v>
      </c>
      <c r="H249" s="14" t="s">
        <v>65</v>
      </c>
      <c r="I249" s="16">
        <v>3</v>
      </c>
      <c r="J249" s="17">
        <v>1000</v>
      </c>
      <c r="K249" s="14" t="s">
        <v>84</v>
      </c>
      <c r="L249" s="14" t="s">
        <v>76</v>
      </c>
      <c r="M249" s="14"/>
      <c r="N249" s="14" t="s">
        <v>85</v>
      </c>
      <c r="O249" s="15"/>
      <c r="P249" s="19">
        <v>0</v>
      </c>
      <c r="Q249" s="22">
        <v>3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383</v>
      </c>
      <c r="AY249" t="s">
        <v>389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69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383</v>
      </c>
      <c r="AY250" t="s">
        <v>389</v>
      </c>
    </row>
    <row r="251" ht="28" customHeight="1" spans="1:51" x14ac:dyDescent="0.25">
      <c r="A251" s="14"/>
      <c r="B251" s="14" t="s">
        <v>390</v>
      </c>
      <c r="C251" s="14" t="s">
        <v>391</v>
      </c>
      <c r="D251" s="14" t="s">
        <v>392</v>
      </c>
      <c r="E251" s="14" t="s">
        <v>233</v>
      </c>
      <c r="F251" s="15" t="s">
        <v>63</v>
      </c>
      <c r="G251" s="15" t="s">
        <v>234</v>
      </c>
      <c r="H251" s="14" t="s">
        <v>65</v>
      </c>
      <c r="I251" s="16">
        <v>1</v>
      </c>
      <c r="J251" s="17">
        <v>1</v>
      </c>
      <c r="K251" s="14" t="s">
        <v>66</v>
      </c>
      <c r="L251" s="14" t="s">
        <v>67</v>
      </c>
      <c r="M251" s="14"/>
      <c r="N251" s="14"/>
      <c r="O251" s="15"/>
      <c r="P251" s="18">
        <v>1</v>
      </c>
      <c r="Q251" s="18">
        <v>1</v>
      </c>
      <c r="R251" s="18">
        <v>1</v>
      </c>
      <c r="S251" s="18">
        <v>1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390</v>
      </c>
      <c r="AY251" t="s">
        <v>393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69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390</v>
      </c>
      <c r="AY252" t="s">
        <v>393</v>
      </c>
    </row>
    <row r="253" ht="28" customHeight="1" spans="1:51" x14ac:dyDescent="0.25">
      <c r="A253" s="14"/>
      <c r="B253" s="14"/>
      <c r="C253" s="14"/>
      <c r="D253" s="14"/>
      <c r="E253" s="14"/>
      <c r="F253" s="15" t="s">
        <v>102</v>
      </c>
      <c r="G253" s="15" t="s">
        <v>236</v>
      </c>
      <c r="H253" s="14" t="s">
        <v>65</v>
      </c>
      <c r="I253" s="16">
        <v>3</v>
      </c>
      <c r="J253" s="17">
        <v>2000</v>
      </c>
      <c r="K253" s="14" t="s">
        <v>124</v>
      </c>
      <c r="L253" s="14" t="s">
        <v>76</v>
      </c>
      <c r="M253" s="14"/>
      <c r="N253" s="14" t="s">
        <v>125</v>
      </c>
      <c r="O253" s="15"/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390</v>
      </c>
      <c r="AY253" t="s">
        <v>394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69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390</v>
      </c>
      <c r="AY254" t="s">
        <v>394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102</v>
      </c>
      <c r="G255" s="15" t="s">
        <v>238</v>
      </c>
      <c r="H255" s="14" t="s">
        <v>65</v>
      </c>
      <c r="I255" s="16">
        <v>5</v>
      </c>
      <c r="J255" s="17">
        <v>10000</v>
      </c>
      <c r="K255" s="14" t="s">
        <v>75</v>
      </c>
      <c r="L255" s="14" t="s">
        <v>76</v>
      </c>
      <c r="M255" s="14"/>
      <c r="N255" s="14"/>
      <c r="O255" s="15"/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390</v>
      </c>
      <c r="AY255" t="s">
        <v>395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69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390</v>
      </c>
      <c r="AY256" t="s">
        <v>395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240</v>
      </c>
      <c r="G257" s="15" t="s">
        <v>241</v>
      </c>
      <c r="H257" s="14" t="s">
        <v>65</v>
      </c>
      <c r="I257" s="16">
        <v>3</v>
      </c>
      <c r="J257" s="17">
        <v>1000</v>
      </c>
      <c r="K257" s="14" t="s">
        <v>84</v>
      </c>
      <c r="L257" s="14" t="s">
        <v>76</v>
      </c>
      <c r="M257" s="14"/>
      <c r="N257" s="14" t="s">
        <v>85</v>
      </c>
      <c r="O257" s="15"/>
      <c r="P257" s="19">
        <v>0</v>
      </c>
      <c r="Q257" s="22">
        <v>3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390</v>
      </c>
      <c r="AY257" t="s">
        <v>396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69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390</v>
      </c>
      <c r="AY258" t="s">
        <v>396</v>
      </c>
    </row>
    <row r="259" ht="28" customHeight="1" spans="1:51" x14ac:dyDescent="0.25">
      <c r="A259" s="14"/>
      <c r="B259" s="14" t="s">
        <v>397</v>
      </c>
      <c r="C259" s="14" t="s">
        <v>398</v>
      </c>
      <c r="D259" s="14" t="s">
        <v>399</v>
      </c>
      <c r="E259" s="14" t="s">
        <v>400</v>
      </c>
      <c r="F259" s="15" t="s">
        <v>167</v>
      </c>
      <c r="G259" s="15" t="s">
        <v>100</v>
      </c>
      <c r="H259" s="14" t="s">
        <v>65</v>
      </c>
      <c r="I259" s="16">
        <v>1</v>
      </c>
      <c r="J259" s="17">
        <v>1</v>
      </c>
      <c r="K259" s="14" t="s">
        <v>66</v>
      </c>
      <c r="L259" s="14" t="s">
        <v>67</v>
      </c>
      <c r="M259" s="14"/>
      <c r="N259" s="14"/>
      <c r="O259" s="15"/>
      <c r="P259" s="18">
        <v>1</v>
      </c>
      <c r="Q259" s="18">
        <v>1</v>
      </c>
      <c r="R259" s="18">
        <v>1</v>
      </c>
      <c r="S259" s="18">
        <v>1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397</v>
      </c>
      <c r="AY259" t="s">
        <v>401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69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397</v>
      </c>
      <c r="AY260" t="s">
        <v>401</v>
      </c>
    </row>
    <row r="261" ht="28" customHeight="1" spans="1:51" x14ac:dyDescent="0.25">
      <c r="A261" s="14"/>
      <c r="B261" s="14" t="s">
        <v>402</v>
      </c>
      <c r="C261" s="14" t="s">
        <v>403</v>
      </c>
      <c r="D261" s="14" t="s">
        <v>404</v>
      </c>
      <c r="E261" s="14" t="s">
        <v>400</v>
      </c>
      <c r="F261" s="15" t="s">
        <v>167</v>
      </c>
      <c r="G261" s="15" t="s">
        <v>100</v>
      </c>
      <c r="H261" s="14" t="s">
        <v>65</v>
      </c>
      <c r="I261" s="16">
        <v>1</v>
      </c>
      <c r="J261" s="17">
        <v>1</v>
      </c>
      <c r="K261" s="14" t="s">
        <v>66</v>
      </c>
      <c r="L261" s="14" t="s">
        <v>67</v>
      </c>
      <c r="M261" s="14"/>
      <c r="N261" s="14"/>
      <c r="O261" s="15"/>
      <c r="P261" s="18">
        <v>1</v>
      </c>
      <c r="Q261" s="18">
        <v>1</v>
      </c>
      <c r="R261" s="18">
        <v>1</v>
      </c>
      <c r="S261" s="18">
        <v>1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402</v>
      </c>
      <c r="AY261" t="s">
        <v>405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69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402</v>
      </c>
      <c r="AY262" t="s">
        <v>405</v>
      </c>
    </row>
    <row r="263" ht="28" customHeight="1" spans="1:51" x14ac:dyDescent="0.25">
      <c r="A263" s="14"/>
      <c r="B263" s="14" t="s">
        <v>406</v>
      </c>
      <c r="C263" s="14" t="s">
        <v>407</v>
      </c>
      <c r="D263" s="14" t="s">
        <v>408</v>
      </c>
      <c r="E263" s="14" t="s">
        <v>409</v>
      </c>
      <c r="F263" s="15" t="s">
        <v>63</v>
      </c>
      <c r="G263" s="15" t="s">
        <v>64</v>
      </c>
      <c r="H263" s="14" t="s">
        <v>65</v>
      </c>
      <c r="I263" s="16">
        <v>1</v>
      </c>
      <c r="J263" s="17">
        <v>1</v>
      </c>
      <c r="K263" s="14" t="s">
        <v>66</v>
      </c>
      <c r="L263" s="14" t="s">
        <v>67</v>
      </c>
      <c r="M263" s="14"/>
      <c r="N263" s="14"/>
      <c r="O263" s="15"/>
      <c r="P263" s="18">
        <v>1</v>
      </c>
      <c r="Q263" s="18">
        <v>1</v>
      </c>
      <c r="R263" s="18">
        <v>1</v>
      </c>
      <c r="S263" s="18">
        <v>1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406</v>
      </c>
      <c r="AY263" t="s">
        <v>410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69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406</v>
      </c>
      <c r="AY264" t="s">
        <v>410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159</v>
      </c>
      <c r="G265" s="15" t="s">
        <v>411</v>
      </c>
      <c r="H265" s="14" t="s">
        <v>65</v>
      </c>
      <c r="I265" s="16">
        <v>3</v>
      </c>
      <c r="J265" s="17">
        <v>3</v>
      </c>
      <c r="K265" s="14" t="s">
        <v>292</v>
      </c>
      <c r="L265" s="14" t="s">
        <v>67</v>
      </c>
      <c r="M265" s="14"/>
      <c r="N265" s="14"/>
      <c r="O265" s="15"/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406</v>
      </c>
      <c r="AY265" t="s">
        <v>412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69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406</v>
      </c>
      <c r="AY266" t="s">
        <v>412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413</v>
      </c>
      <c r="G267" s="15" t="s">
        <v>411</v>
      </c>
      <c r="H267" s="14" t="s">
        <v>65</v>
      </c>
      <c r="I267" s="16">
        <v>1</v>
      </c>
      <c r="J267" s="17">
        <v>1</v>
      </c>
      <c r="K267" s="14" t="s">
        <v>66</v>
      </c>
      <c r="L267" s="14" t="s">
        <v>67</v>
      </c>
      <c r="M267" s="14"/>
      <c r="N267" s="14"/>
      <c r="O267" s="15"/>
      <c r="P267" s="18">
        <v>1</v>
      </c>
      <c r="Q267" s="18">
        <v>1</v>
      </c>
      <c r="R267" s="18">
        <v>1</v>
      </c>
      <c r="S267" s="18">
        <v>1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406</v>
      </c>
      <c r="AY267" t="s">
        <v>414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69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406</v>
      </c>
      <c r="AY268" t="s">
        <v>414</v>
      </c>
    </row>
    <row r="269" ht="28" customHeight="1" spans="1:51" x14ac:dyDescent="0.25">
      <c r="A269" s="14"/>
      <c r="B269" s="14" t="s">
        <v>415</v>
      </c>
      <c r="C269" s="14" t="s">
        <v>221</v>
      </c>
      <c r="D269" s="14" t="s">
        <v>416</v>
      </c>
      <c r="E269" s="14" t="s">
        <v>417</v>
      </c>
      <c r="F269" s="15" t="s">
        <v>63</v>
      </c>
      <c r="G269" s="15" t="s">
        <v>234</v>
      </c>
      <c r="H269" s="14" t="s">
        <v>65</v>
      </c>
      <c r="I269" s="16">
        <v>1</v>
      </c>
      <c r="J269" s="17">
        <v>1</v>
      </c>
      <c r="K269" s="14" t="s">
        <v>66</v>
      </c>
      <c r="L269" s="14" t="s">
        <v>67</v>
      </c>
      <c r="M269" s="14"/>
      <c r="N269" s="14"/>
      <c r="O269" s="15"/>
      <c r="P269" s="18">
        <v>1</v>
      </c>
      <c r="Q269" s="18">
        <v>1</v>
      </c>
      <c r="R269" s="18">
        <v>1</v>
      </c>
      <c r="S269" s="18">
        <v>1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415</v>
      </c>
      <c r="AY269" t="s">
        <v>418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69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415</v>
      </c>
      <c r="AY270" t="s">
        <v>418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102</v>
      </c>
      <c r="G271" s="15" t="s">
        <v>236</v>
      </c>
      <c r="H271" s="14" t="s">
        <v>65</v>
      </c>
      <c r="I271" s="16">
        <v>3</v>
      </c>
      <c r="J271" s="17">
        <v>2000</v>
      </c>
      <c r="K271" s="14" t="s">
        <v>124</v>
      </c>
      <c r="L271" s="14" t="s">
        <v>76</v>
      </c>
      <c r="M271" s="14"/>
      <c r="N271" s="14" t="s">
        <v>125</v>
      </c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415</v>
      </c>
      <c r="AY271" t="s">
        <v>419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69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415</v>
      </c>
      <c r="AY272" t="s">
        <v>419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102</v>
      </c>
      <c r="G273" s="15" t="s">
        <v>238</v>
      </c>
      <c r="H273" s="14" t="s">
        <v>65</v>
      </c>
      <c r="I273" s="16">
        <v>5</v>
      </c>
      <c r="J273" s="17">
        <v>10000</v>
      </c>
      <c r="K273" s="14" t="s">
        <v>75</v>
      </c>
      <c r="L273" s="14" t="s">
        <v>76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415</v>
      </c>
      <c r="AY273" t="s">
        <v>420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69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415</v>
      </c>
      <c r="AY274" t="s">
        <v>420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240</v>
      </c>
      <c r="G275" s="15" t="s">
        <v>241</v>
      </c>
      <c r="H275" s="14" t="s">
        <v>65</v>
      </c>
      <c r="I275" s="16">
        <v>3</v>
      </c>
      <c r="J275" s="17">
        <v>1000</v>
      </c>
      <c r="K275" s="14" t="s">
        <v>84</v>
      </c>
      <c r="L275" s="14" t="s">
        <v>76</v>
      </c>
      <c r="M275" s="14"/>
      <c r="N275" s="14" t="s">
        <v>85</v>
      </c>
      <c r="O275" s="15"/>
      <c r="P275" s="19">
        <v>0</v>
      </c>
      <c r="Q275" s="22">
        <v>3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415</v>
      </c>
      <c r="AY275" t="s">
        <v>421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69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415</v>
      </c>
      <c r="AY276" t="s">
        <v>421</v>
      </c>
    </row>
    <row r="277" ht="18" customHeight="1" spans="1:25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19"/>
      <c r="Q277" s="19"/>
      <c r="R277" s="19"/>
      <c r="S277" s="19"/>
      <c r="T277" s="19"/>
      <c r="U277" s="24"/>
      <c r="V277" s="24"/>
      <c r="W277" s="24"/>
      <c r="X277" s="24"/>
      <c r="Y277" s="24"/>
    </row>
    <row r="278" ht="18" customHeight="1" spans="1:25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19"/>
      <c r="Q278" s="19"/>
      <c r="R278" s="19"/>
      <c r="S278" s="19"/>
      <c r="T278" s="19"/>
      <c r="U278" s="24"/>
      <c r="V278" s="24"/>
      <c r="W278" s="24"/>
      <c r="X278" s="24"/>
      <c r="Y278" s="24"/>
    </row>
    <row r="279" ht="18" customHeight="1" spans="1:25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19"/>
      <c r="Q279" s="19"/>
      <c r="R279" s="19"/>
      <c r="S279" s="19"/>
      <c r="T279" s="19"/>
      <c r="U279" s="24"/>
      <c r="V279" s="24"/>
      <c r="W279" s="24"/>
      <c r="X279" s="24"/>
      <c r="Y279" s="24"/>
    </row>
    <row r="280" ht="18" customHeight="1" spans="1:25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19"/>
      <c r="Q280" s="19"/>
      <c r="R280" s="19"/>
      <c r="S280" s="19"/>
      <c r="T280" s="19"/>
      <c r="U280" s="24"/>
      <c r="V280" s="24"/>
      <c r="W280" s="24"/>
      <c r="X280" s="24"/>
      <c r="Y280" s="24"/>
    </row>
    <row r="281" ht="18" customHeight="1" spans="1:25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19"/>
      <c r="Q281" s="19"/>
      <c r="R281" s="19"/>
      <c r="S281" s="19"/>
      <c r="T281" s="19"/>
      <c r="U281" s="24"/>
      <c r="V281" s="24"/>
      <c r="W281" s="24"/>
      <c r="X281" s="24"/>
      <c r="Y281" s="24"/>
    </row>
    <row r="282" ht="18" customHeight="1" spans="1:25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19"/>
      <c r="Q282" s="19"/>
      <c r="R282" s="19"/>
      <c r="S282" s="19"/>
      <c r="T282" s="19"/>
      <c r="U282" s="24"/>
      <c r="V282" s="24"/>
      <c r="W282" s="24"/>
      <c r="X282" s="24"/>
      <c r="Y282" s="24"/>
    </row>
    <row r="283" ht="18" customHeight="1" spans="1:25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19"/>
      <c r="Q283" s="19"/>
      <c r="R283" s="19"/>
      <c r="S283" s="19"/>
      <c r="T283" s="19"/>
      <c r="U283" s="24"/>
      <c r="V283" s="24"/>
      <c r="W283" s="24"/>
      <c r="X283" s="24"/>
      <c r="Y283" s="24"/>
    </row>
    <row r="284" ht="18" customHeight="1" spans="1:25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19"/>
      <c r="Q284" s="19"/>
      <c r="R284" s="19"/>
      <c r="S284" s="19"/>
      <c r="T284" s="19"/>
      <c r="U284" s="24"/>
      <c r="V284" s="24"/>
      <c r="W284" s="24"/>
      <c r="X284" s="24"/>
      <c r="Y284" s="24"/>
    </row>
    <row r="285" ht="18" customHeight="1" spans="1:25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19"/>
      <c r="Q285" s="19"/>
      <c r="R285" s="19"/>
      <c r="S285" s="19"/>
      <c r="T285" s="19"/>
      <c r="U285" s="24"/>
      <c r="V285" s="24"/>
      <c r="W285" s="24"/>
      <c r="X285" s="24"/>
      <c r="Y285" s="24"/>
    </row>
    <row r="286" ht="18" customHeight="1" spans="1:25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19"/>
      <c r="Q286" s="19"/>
      <c r="R286" s="19"/>
      <c r="S286" s="19"/>
      <c r="T286" s="19"/>
      <c r="U286" s="24"/>
      <c r="V286" s="24"/>
      <c r="W286" s="24"/>
      <c r="X286" s="24"/>
      <c r="Y286" s="24"/>
    </row>
    <row r="287" ht="18" customHeight="1" spans="1:25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19"/>
      <c r="Q287" s="19"/>
      <c r="R287" s="19"/>
      <c r="S287" s="19"/>
      <c r="T287" s="19"/>
      <c r="U287" s="24"/>
      <c r="V287" s="24"/>
      <c r="W287" s="24"/>
      <c r="X287" s="24"/>
      <c r="Y287" s="24"/>
    </row>
    <row r="288" ht="18" customHeight="1" spans="1:25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19"/>
      <c r="Q288" s="19"/>
      <c r="R288" s="19"/>
      <c r="S288" s="19"/>
      <c r="T288" s="19"/>
      <c r="U288" s="24"/>
      <c r="V288" s="24"/>
      <c r="W288" s="24"/>
      <c r="X288" s="24"/>
      <c r="Y288" s="24"/>
    </row>
    <row r="289" ht="18" customHeight="1" spans="1:25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19"/>
      <c r="Q289" s="19"/>
      <c r="R289" s="19"/>
      <c r="S289" s="19"/>
      <c r="T289" s="19"/>
      <c r="U289" s="24"/>
      <c r="V289" s="24"/>
      <c r="W289" s="24"/>
      <c r="X289" s="24"/>
      <c r="Y289" s="24"/>
    </row>
    <row r="290" ht="18" customHeight="1" spans="1:25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19"/>
      <c r="Q290" s="19"/>
      <c r="R290" s="19"/>
      <c r="S290" s="19"/>
      <c r="T290" s="19"/>
      <c r="U290" s="24"/>
      <c r="V290" s="24"/>
      <c r="W290" s="24"/>
      <c r="X290" s="24"/>
      <c r="Y290" s="24"/>
    </row>
    <row r="291" ht="18" customHeight="1" spans="1:25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19"/>
      <c r="Q291" s="19"/>
      <c r="R291" s="19"/>
      <c r="S291" s="19"/>
      <c r="T291" s="19"/>
      <c r="U291" s="24"/>
      <c r="V291" s="24"/>
      <c r="W291" s="24"/>
      <c r="X291" s="24"/>
      <c r="Y291" s="24"/>
    </row>
    <row r="292" ht="18" customHeight="1" spans="1:25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19"/>
      <c r="Q292" s="19"/>
      <c r="R292" s="19"/>
      <c r="S292" s="19"/>
      <c r="T292" s="19"/>
      <c r="U292" s="24"/>
      <c r="V292" s="24"/>
      <c r="W292" s="24"/>
      <c r="X292" s="24"/>
      <c r="Y292" s="24"/>
    </row>
    <row r="293" ht="18" customHeight="1" spans="1:25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19"/>
      <c r="Q293" s="19"/>
      <c r="R293" s="19"/>
      <c r="S293" s="19"/>
      <c r="T293" s="19"/>
      <c r="U293" s="24"/>
      <c r="V293" s="24"/>
      <c r="W293" s="24"/>
      <c r="X293" s="24"/>
      <c r="Y293" s="24"/>
    </row>
    <row r="294" ht="18" customHeight="1" spans="1:25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19"/>
      <c r="Q294" s="19"/>
      <c r="R294" s="19"/>
      <c r="S294" s="19"/>
      <c r="T294" s="19"/>
      <c r="U294" s="24"/>
      <c r="V294" s="24"/>
      <c r="W294" s="24"/>
      <c r="X294" s="24"/>
      <c r="Y294" s="24"/>
    </row>
    <row r="295" ht="18" customHeight="1" spans="1:25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19"/>
      <c r="Q295" s="19"/>
      <c r="R295" s="19"/>
      <c r="S295" s="19"/>
      <c r="T295" s="19"/>
      <c r="U295" s="24"/>
      <c r="V295" s="24"/>
      <c r="W295" s="24"/>
      <c r="X295" s="24"/>
      <c r="Y295" s="24"/>
    </row>
    <row r="296" ht="18" customHeight="1" spans="1:25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19"/>
      <c r="Q296" s="19"/>
      <c r="R296" s="19"/>
      <c r="S296" s="19"/>
      <c r="T296" s="19"/>
      <c r="U296" s="24"/>
      <c r="V296" s="24"/>
      <c r="W296" s="24"/>
      <c r="X296" s="24"/>
      <c r="Y296" s="24"/>
    </row>
    <row r="297" ht="18" customHeight="1" spans="1:25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19"/>
      <c r="Q297" s="19"/>
      <c r="R297" s="19"/>
      <c r="S297" s="19"/>
      <c r="T297" s="19"/>
      <c r="U297" s="24"/>
      <c r="V297" s="24"/>
      <c r="W297" s="24"/>
      <c r="X297" s="24"/>
      <c r="Y297" s="24"/>
    </row>
    <row r="298" ht="18" customHeight="1" spans="1:25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19"/>
      <c r="Q298" s="19"/>
      <c r="R298" s="19"/>
      <c r="S298" s="19"/>
      <c r="T298" s="19"/>
      <c r="U298" s="24"/>
      <c r="V298" s="24"/>
      <c r="W298" s="24"/>
      <c r="X298" s="24"/>
      <c r="Y298" s="24"/>
    </row>
    <row r="299" ht="18" customHeight="1" spans="1:25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19"/>
      <c r="Q299" s="19"/>
      <c r="R299" s="19"/>
      <c r="S299" s="19"/>
      <c r="T299" s="19"/>
      <c r="U299" s="24"/>
      <c r="V299" s="24"/>
      <c r="W299" s="24"/>
      <c r="X299" s="24"/>
      <c r="Y299" s="24"/>
    </row>
    <row r="300" ht="18" customHeight="1" spans="1:25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19"/>
      <c r="Q300" s="19"/>
      <c r="R300" s="19"/>
      <c r="S300" s="19"/>
      <c r="T300" s="19"/>
      <c r="U300" s="24"/>
      <c r="V300" s="24"/>
      <c r="W300" s="24"/>
      <c r="X300" s="24"/>
      <c r="Y300" s="24"/>
    </row>
    <row r="301" ht="18" customHeight="1" spans="1:25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19"/>
      <c r="Q301" s="19"/>
      <c r="R301" s="19"/>
      <c r="S301" s="19"/>
      <c r="T301" s="19"/>
      <c r="U301" s="24"/>
      <c r="V301" s="24"/>
      <c r="W301" s="24"/>
      <c r="X301" s="24"/>
      <c r="Y301" s="24"/>
    </row>
    <row r="302" ht="18" customHeight="1" spans="1:25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19"/>
      <c r="Q302" s="19"/>
      <c r="R302" s="19"/>
      <c r="S302" s="19"/>
      <c r="T302" s="19"/>
      <c r="U302" s="24"/>
      <c r="V302" s="24"/>
      <c r="W302" s="24"/>
      <c r="X302" s="24"/>
      <c r="Y302" s="24"/>
    </row>
    <row r="303" ht="18" customHeight="1" spans="1:25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19"/>
      <c r="Q303" s="19"/>
      <c r="R303" s="19"/>
      <c r="S303" s="19"/>
      <c r="T303" s="19"/>
      <c r="U303" s="24"/>
      <c r="V303" s="24"/>
      <c r="W303" s="24"/>
      <c r="X303" s="24"/>
      <c r="Y303" s="24"/>
    </row>
    <row r="304" ht="18" customHeight="1" spans="1:25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19"/>
      <c r="Q304" s="19"/>
      <c r="R304" s="19"/>
      <c r="S304" s="19"/>
      <c r="T304" s="19"/>
      <c r="U304" s="24"/>
      <c r="V304" s="24"/>
      <c r="W304" s="24"/>
      <c r="X304" s="24"/>
      <c r="Y304" s="24"/>
    </row>
    <row r="305" ht="18" customHeight="1" spans="1:25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19"/>
      <c r="Q305" s="19"/>
      <c r="R305" s="19"/>
      <c r="S305" s="19"/>
      <c r="T305" s="19"/>
      <c r="U305" s="24"/>
      <c r="V305" s="24"/>
      <c r="W305" s="24"/>
      <c r="X305" s="24"/>
      <c r="Y305" s="24"/>
    </row>
    <row r="306" ht="18" customHeight="1" spans="1:25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19"/>
      <c r="Q306" s="19"/>
      <c r="R306" s="19"/>
      <c r="S306" s="19"/>
      <c r="T306" s="19"/>
      <c r="U306" s="24"/>
      <c r="V306" s="24"/>
      <c r="W306" s="24"/>
      <c r="X306" s="24"/>
      <c r="Y306" s="24"/>
    </row>
    <row r="307" ht="18" customHeight="1" spans="1:25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19"/>
      <c r="Q307" s="19"/>
      <c r="R307" s="19"/>
      <c r="S307" s="19"/>
      <c r="T307" s="19"/>
      <c r="U307" s="24"/>
      <c r="V307" s="24"/>
      <c r="W307" s="24"/>
      <c r="X307" s="24"/>
      <c r="Y307" s="24"/>
    </row>
    <row r="308" ht="18" customHeight="1" spans="1:25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19"/>
      <c r="Q308" s="19"/>
      <c r="R308" s="19"/>
      <c r="S308" s="19"/>
      <c r="T308" s="19"/>
      <c r="U308" s="24"/>
      <c r="V308" s="24"/>
      <c r="W308" s="24"/>
      <c r="X308" s="24"/>
      <c r="Y308" s="24"/>
    </row>
    <row r="309" ht="18" customHeight="1" spans="1:25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19"/>
      <c r="Q309" s="19"/>
      <c r="R309" s="19"/>
      <c r="S309" s="19"/>
      <c r="T309" s="19"/>
      <c r="U309" s="24"/>
      <c r="V309" s="24"/>
      <c r="W309" s="24"/>
      <c r="X309" s="24"/>
      <c r="Y309" s="24"/>
    </row>
    <row r="310" ht="18" customHeight="1" spans="1:25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19"/>
      <c r="Q310" s="19"/>
      <c r="R310" s="19"/>
      <c r="S310" s="19"/>
      <c r="T310" s="19"/>
      <c r="U310" s="24"/>
      <c r="V310" s="24"/>
      <c r="W310" s="24"/>
      <c r="X310" s="24"/>
      <c r="Y310" s="24"/>
    </row>
    <row r="311" ht="18" customHeight="1" spans="1:25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19"/>
      <c r="Q311" s="19"/>
      <c r="R311" s="19"/>
      <c r="S311" s="19"/>
      <c r="T311" s="19"/>
      <c r="U311" s="24"/>
      <c r="V311" s="24"/>
      <c r="W311" s="24"/>
      <c r="X311" s="24"/>
      <c r="Y311" s="24"/>
    </row>
    <row r="312" ht="18" customHeight="1" spans="1:25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19"/>
      <c r="Q312" s="19"/>
      <c r="R312" s="19"/>
      <c r="S312" s="19"/>
      <c r="T312" s="19"/>
      <c r="U312" s="24"/>
      <c r="V312" s="24"/>
      <c r="W312" s="24"/>
      <c r="X312" s="24"/>
      <c r="Y312" s="24"/>
    </row>
    <row r="313" ht="18" customHeight="1" spans="1:25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19"/>
      <c r="Q313" s="19"/>
      <c r="R313" s="19"/>
      <c r="S313" s="19"/>
      <c r="T313" s="19"/>
      <c r="U313" s="24"/>
      <c r="V313" s="24"/>
      <c r="W313" s="24"/>
      <c r="X313" s="24"/>
      <c r="Y313" s="24"/>
    </row>
    <row r="314" ht="18" customHeight="1" spans="1:25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19"/>
      <c r="Q314" s="19"/>
      <c r="R314" s="19"/>
      <c r="S314" s="19"/>
      <c r="T314" s="19"/>
      <c r="U314" s="24"/>
      <c r="V314" s="24"/>
      <c r="W314" s="24"/>
      <c r="X314" s="24"/>
      <c r="Y314" s="24"/>
    </row>
    <row r="315" ht="18" customHeight="1" spans="1:25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19"/>
      <c r="Q315" s="19"/>
      <c r="R315" s="19"/>
      <c r="S315" s="19"/>
      <c r="T315" s="19"/>
      <c r="U315" s="24"/>
      <c r="V315" s="24"/>
      <c r="W315" s="24"/>
      <c r="X315" s="24"/>
      <c r="Y315" s="24"/>
    </row>
    <row r="316" ht="18" customHeight="1" spans="1:25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19"/>
      <c r="Q316" s="19"/>
      <c r="R316" s="19"/>
      <c r="S316" s="19"/>
      <c r="T316" s="19"/>
      <c r="U316" s="24"/>
      <c r="V316" s="24"/>
      <c r="W316" s="24"/>
      <c r="X316" s="24"/>
      <c r="Y316" s="24"/>
    </row>
    <row r="317" ht="18" customHeight="1" spans="1:25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19"/>
      <c r="Q317" s="19"/>
      <c r="R317" s="19"/>
      <c r="S317" s="19"/>
      <c r="T317" s="19"/>
      <c r="U317" s="24"/>
      <c r="V317" s="24"/>
      <c r="W317" s="24"/>
      <c r="X317" s="24"/>
      <c r="Y317" s="24"/>
    </row>
    <row r="318" ht="18" customHeight="1" spans="1:25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19"/>
      <c r="Q318" s="19"/>
      <c r="R318" s="19"/>
      <c r="S318" s="19"/>
      <c r="T318" s="19"/>
      <c r="U318" s="24"/>
      <c r="V318" s="24"/>
      <c r="W318" s="24"/>
      <c r="X318" s="24"/>
      <c r="Y318" s="24"/>
    </row>
    <row r="319" ht="18" customHeight="1" spans="1:25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19"/>
      <c r="Q319" s="19"/>
      <c r="R319" s="19"/>
      <c r="S319" s="19"/>
      <c r="T319" s="19"/>
      <c r="U319" s="24"/>
      <c r="V319" s="24"/>
      <c r="W319" s="24"/>
      <c r="X319" s="24"/>
      <c r="Y319" s="24"/>
    </row>
    <row r="320" ht="18" customHeight="1" spans="1:25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19"/>
      <c r="Q320" s="19"/>
      <c r="R320" s="19"/>
      <c r="S320" s="19"/>
      <c r="T320" s="19"/>
      <c r="U320" s="24"/>
      <c r="V320" s="24"/>
      <c r="W320" s="24"/>
      <c r="X320" s="24"/>
      <c r="Y320" s="24"/>
    </row>
    <row r="321" ht="18" customHeight="1" spans="1:25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19"/>
      <c r="Q321" s="19"/>
      <c r="R321" s="19"/>
      <c r="S321" s="19"/>
      <c r="T321" s="19"/>
      <c r="U321" s="24"/>
      <c r="V321" s="24"/>
      <c r="W321" s="24"/>
      <c r="X321" s="24"/>
      <c r="Y321" s="24"/>
    </row>
    <row r="322" ht="18" customHeight="1" spans="1:25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19"/>
      <c r="Q322" s="19"/>
      <c r="R322" s="19"/>
      <c r="S322" s="19"/>
      <c r="T322" s="19"/>
      <c r="U322" s="24"/>
      <c r="V322" s="24"/>
      <c r="W322" s="24"/>
      <c r="X322" s="24"/>
      <c r="Y322" s="24"/>
    </row>
    <row r="323" ht="18" customHeight="1" spans="1:25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19"/>
      <c r="Q323" s="19"/>
      <c r="R323" s="19"/>
      <c r="S323" s="19"/>
      <c r="T323" s="19"/>
      <c r="U323" s="24"/>
      <c r="V323" s="24"/>
      <c r="W323" s="24"/>
      <c r="X323" s="24"/>
      <c r="Y323" s="24"/>
    </row>
    <row r="324" ht="18" customHeight="1" spans="1:25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19"/>
      <c r="Q324" s="19"/>
      <c r="R324" s="19"/>
      <c r="S324" s="19"/>
      <c r="T324" s="19"/>
      <c r="U324" s="24"/>
      <c r="V324" s="24"/>
      <c r="W324" s="24"/>
      <c r="X324" s="24"/>
      <c r="Y324" s="24"/>
    </row>
    <row r="325" ht="18" customHeight="1" spans="1:25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19"/>
      <c r="Q325" s="19"/>
      <c r="R325" s="19"/>
      <c r="S325" s="19"/>
      <c r="T325" s="19"/>
      <c r="U325" s="24"/>
      <c r="V325" s="24"/>
      <c r="W325" s="24"/>
      <c r="X325" s="24"/>
      <c r="Y325" s="24"/>
    </row>
    <row r="326" ht="18" customHeight="1" spans="1:25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19"/>
      <c r="Q326" s="19"/>
      <c r="R326" s="19"/>
      <c r="S326" s="19"/>
      <c r="T326" s="19"/>
      <c r="U326" s="24"/>
      <c r="V326" s="24"/>
      <c r="W326" s="24"/>
      <c r="X326" s="24"/>
      <c r="Y326" s="24"/>
    </row>
    <row r="327" ht="18" customHeight="1" spans="1:25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19"/>
      <c r="Q327" s="19"/>
      <c r="R327" s="19"/>
      <c r="S327" s="19"/>
      <c r="T327" s="19"/>
      <c r="U327" s="24"/>
      <c r="V327" s="24"/>
      <c r="W327" s="24"/>
      <c r="X327" s="24"/>
      <c r="Y327" s="24"/>
    </row>
    <row r="328" ht="18" customHeight="1" spans="1:25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19"/>
      <c r="Q328" s="19"/>
      <c r="R328" s="19"/>
      <c r="S328" s="19"/>
      <c r="T328" s="19"/>
      <c r="U328" s="24"/>
      <c r="V328" s="24"/>
      <c r="W328" s="24"/>
      <c r="X328" s="24"/>
      <c r="Y328" s="24"/>
    </row>
    <row r="329" ht="18" customHeight="1" spans="1:25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19"/>
      <c r="Q329" s="19"/>
      <c r="R329" s="19"/>
      <c r="S329" s="19"/>
      <c r="T329" s="19"/>
      <c r="U329" s="24"/>
      <c r="V329" s="24"/>
      <c r="W329" s="24"/>
      <c r="X329" s="24"/>
      <c r="Y329" s="24"/>
    </row>
    <row r="330" ht="18" customHeight="1" spans="1:25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19"/>
      <c r="Q330" s="19"/>
      <c r="R330" s="19"/>
      <c r="S330" s="19"/>
      <c r="T330" s="19"/>
      <c r="U330" s="24"/>
      <c r="V330" s="24"/>
      <c r="W330" s="24"/>
      <c r="X330" s="24"/>
      <c r="Y330" s="24"/>
    </row>
    <row r="331" ht="18" customHeight="1" spans="1:25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19"/>
      <c r="Q331" s="19"/>
      <c r="R331" s="19"/>
      <c r="S331" s="19"/>
      <c r="T331" s="19"/>
      <c r="U331" s="24"/>
      <c r="V331" s="24"/>
      <c r="W331" s="24"/>
      <c r="X331" s="24"/>
      <c r="Y331" s="24"/>
    </row>
    <row r="332" ht="18" customHeight="1" spans="1:25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19"/>
      <c r="Q332" s="19"/>
      <c r="R332" s="19"/>
      <c r="S332" s="19"/>
      <c r="T332" s="19"/>
      <c r="U332" s="24"/>
      <c r="V332" s="24"/>
      <c r="W332" s="24"/>
      <c r="X332" s="24"/>
      <c r="Y332" s="24"/>
    </row>
    <row r="333" ht="18" customHeight="1" spans="1:25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19"/>
      <c r="Q333" s="19"/>
      <c r="R333" s="19"/>
      <c r="S333" s="19"/>
      <c r="T333" s="19"/>
      <c r="U333" s="24"/>
      <c r="V333" s="24"/>
      <c r="W333" s="24"/>
      <c r="X333" s="24"/>
      <c r="Y333" s="24"/>
    </row>
    <row r="334" ht="18" customHeight="1" spans="1:25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19"/>
      <c r="Q334" s="19"/>
      <c r="R334" s="19"/>
      <c r="S334" s="19"/>
      <c r="T334" s="19"/>
      <c r="U334" s="24"/>
      <c r="V334" s="24"/>
      <c r="W334" s="24"/>
      <c r="X334" s="24"/>
      <c r="Y334" s="24"/>
    </row>
    <row r="335" ht="18" customHeight="1" spans="1:25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19"/>
      <c r="Q335" s="19"/>
      <c r="R335" s="19"/>
      <c r="S335" s="19"/>
      <c r="T335" s="19"/>
      <c r="U335" s="24"/>
      <c r="V335" s="24"/>
      <c r="W335" s="24"/>
      <c r="X335" s="24"/>
      <c r="Y335" s="24"/>
    </row>
    <row r="336" ht="18" customHeight="1" spans="1:25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19"/>
      <c r="Q336" s="19"/>
      <c r="R336" s="19"/>
      <c r="S336" s="19"/>
      <c r="T336" s="19"/>
      <c r="U336" s="24"/>
      <c r="V336" s="24"/>
      <c r="W336" s="24"/>
      <c r="X336" s="24"/>
      <c r="Y336" s="24"/>
    </row>
    <row r="337" ht="18" customHeight="1" spans="1:25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19"/>
      <c r="Q337" s="19"/>
      <c r="R337" s="19"/>
      <c r="S337" s="19"/>
      <c r="T337" s="19"/>
      <c r="U337" s="24"/>
      <c r="V337" s="24"/>
      <c r="W337" s="24"/>
      <c r="X337" s="24"/>
      <c r="Y337" s="24"/>
    </row>
    <row r="338" ht="18" customHeight="1" spans="1:25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19"/>
      <c r="Q338" s="19"/>
      <c r="R338" s="19"/>
      <c r="S338" s="19"/>
      <c r="T338" s="19"/>
      <c r="U338" s="24"/>
      <c r="V338" s="24"/>
      <c r="W338" s="24"/>
      <c r="X338" s="24"/>
      <c r="Y338" s="24"/>
    </row>
    <row r="339" ht="18" customHeight="1" spans="1:25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19"/>
      <c r="Q339" s="19"/>
      <c r="R339" s="19"/>
      <c r="S339" s="19"/>
      <c r="T339" s="19"/>
      <c r="U339" s="24"/>
      <c r="V339" s="24"/>
      <c r="W339" s="24"/>
      <c r="X339" s="24"/>
      <c r="Y339" s="24"/>
    </row>
    <row r="340" ht="18" customHeight="1" spans="1:25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19"/>
      <c r="Q340" s="19"/>
      <c r="R340" s="19"/>
      <c r="S340" s="19"/>
      <c r="T340" s="19"/>
      <c r="U340" s="24"/>
      <c r="V340" s="24"/>
      <c r="W340" s="24"/>
      <c r="X340" s="24"/>
      <c r="Y340" s="24"/>
    </row>
    <row r="341" ht="18" customHeight="1" spans="1:25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19"/>
      <c r="Q341" s="19"/>
      <c r="R341" s="19"/>
      <c r="S341" s="19"/>
      <c r="T341" s="19"/>
      <c r="U341" s="24"/>
      <c r="V341" s="24"/>
      <c r="W341" s="24"/>
      <c r="X341" s="24"/>
      <c r="Y341" s="24"/>
    </row>
    <row r="342" ht="18" customHeight="1" spans="1:25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19"/>
      <c r="Q342" s="19"/>
      <c r="R342" s="19"/>
      <c r="S342" s="19"/>
      <c r="T342" s="19"/>
      <c r="U342" s="24"/>
      <c r="V342" s="24"/>
      <c r="W342" s="24"/>
      <c r="X342" s="24"/>
      <c r="Y342" s="24"/>
    </row>
    <row r="343" ht="18" customHeight="1" spans="1:25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19"/>
      <c r="Q343" s="19"/>
      <c r="R343" s="19"/>
      <c r="S343" s="19"/>
      <c r="T343" s="19"/>
      <c r="U343" s="24"/>
      <c r="V343" s="24"/>
      <c r="W343" s="24"/>
      <c r="X343" s="24"/>
      <c r="Y343" s="24"/>
    </row>
    <row r="344" ht="18" customHeight="1" spans="1:25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19"/>
      <c r="Q344" s="19"/>
      <c r="R344" s="19"/>
      <c r="S344" s="19"/>
      <c r="T344" s="19"/>
      <c r="U344" s="24"/>
      <c r="V344" s="24"/>
      <c r="W344" s="24"/>
      <c r="X344" s="24"/>
      <c r="Y344" s="24"/>
    </row>
    <row r="345" ht="18" customHeight="1" spans="1:25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19"/>
      <c r="Q345" s="19"/>
      <c r="R345" s="19"/>
      <c r="S345" s="19"/>
      <c r="T345" s="19"/>
      <c r="U345" s="24"/>
      <c r="V345" s="24"/>
      <c r="W345" s="24"/>
      <c r="X345" s="24"/>
      <c r="Y345" s="24"/>
    </row>
    <row r="346" ht="18" customHeight="1" spans="1:25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19"/>
      <c r="Q346" s="19"/>
      <c r="R346" s="19"/>
      <c r="S346" s="19"/>
      <c r="T346" s="19"/>
      <c r="U346" s="24"/>
      <c r="V346" s="24"/>
      <c r="W346" s="24"/>
      <c r="X346" s="24"/>
      <c r="Y346" s="24"/>
    </row>
    <row r="347" ht="18" customHeight="1" spans="1:25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19"/>
      <c r="Q347" s="19"/>
      <c r="R347" s="19"/>
      <c r="S347" s="19"/>
      <c r="T347" s="19"/>
      <c r="U347" s="24"/>
      <c r="V347" s="24"/>
      <c r="W347" s="24"/>
      <c r="X347" s="24"/>
      <c r="Y347" s="24"/>
    </row>
    <row r="348" ht="18" customHeight="1" spans="1:25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19"/>
      <c r="Q348" s="19"/>
      <c r="R348" s="19"/>
      <c r="S348" s="19"/>
      <c r="T348" s="19"/>
      <c r="U348" s="24"/>
      <c r="V348" s="24"/>
      <c r="W348" s="24"/>
      <c r="X348" s="24"/>
      <c r="Y348" s="24"/>
    </row>
    <row r="349" ht="18" customHeight="1" spans="1:25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19"/>
      <c r="Q349" s="19"/>
      <c r="R349" s="19"/>
      <c r="S349" s="19"/>
      <c r="T349" s="19"/>
      <c r="U349" s="24"/>
      <c r="V349" s="24"/>
      <c r="W349" s="24"/>
      <c r="X349" s="24"/>
      <c r="Y349" s="24"/>
    </row>
    <row r="350" ht="18" customHeight="1" spans="1:25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19"/>
      <c r="Q350" s="19"/>
      <c r="R350" s="19"/>
      <c r="S350" s="19"/>
      <c r="T350" s="19"/>
      <c r="U350" s="24"/>
      <c r="V350" s="24"/>
      <c r="W350" s="24"/>
      <c r="X350" s="24"/>
      <c r="Y350" s="24"/>
    </row>
    <row r="351" ht="18" customHeight="1" spans="1:25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19"/>
      <c r="Q351" s="19"/>
      <c r="R351" s="19"/>
      <c r="S351" s="19"/>
      <c r="T351" s="19"/>
      <c r="U351" s="24"/>
      <c r="V351" s="24"/>
      <c r="W351" s="24"/>
      <c r="X351" s="24"/>
      <c r="Y351" s="24"/>
    </row>
    <row r="352" ht="18" customHeight="1" spans="1:25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19"/>
      <c r="Q352" s="19"/>
      <c r="R352" s="19"/>
      <c r="S352" s="19"/>
      <c r="T352" s="19"/>
      <c r="U352" s="24"/>
      <c r="V352" s="24"/>
      <c r="W352" s="24"/>
      <c r="X352" s="24"/>
      <c r="Y352" s="24"/>
    </row>
    <row r="353" ht="18" customHeight="1" spans="1:25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19"/>
      <c r="Q353" s="19"/>
      <c r="R353" s="19"/>
      <c r="S353" s="19"/>
      <c r="T353" s="19"/>
      <c r="U353" s="24"/>
      <c r="V353" s="24"/>
      <c r="W353" s="24"/>
      <c r="X353" s="24"/>
      <c r="Y353" s="24"/>
    </row>
    <row r="354" ht="18" customHeight="1" spans="1:25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19"/>
      <c r="Q354" s="19"/>
      <c r="R354" s="19"/>
      <c r="S354" s="19"/>
      <c r="T354" s="19"/>
      <c r="U354" s="24"/>
      <c r="V354" s="24"/>
      <c r="W354" s="24"/>
      <c r="X354" s="24"/>
      <c r="Y354" s="24"/>
    </row>
    <row r="355" ht="18" customHeight="1" spans="1:25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19"/>
      <c r="Q355" s="19"/>
      <c r="R355" s="19"/>
      <c r="S355" s="19"/>
      <c r="T355" s="19"/>
      <c r="U355" s="24"/>
      <c r="V355" s="24"/>
      <c r="W355" s="24"/>
      <c r="X355" s="24"/>
      <c r="Y355" s="24"/>
    </row>
    <row r="356" ht="18" customHeight="1" spans="1:25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19"/>
      <c r="Q356" s="19"/>
      <c r="R356" s="19"/>
      <c r="S356" s="19"/>
      <c r="T356" s="19"/>
      <c r="U356" s="24"/>
      <c r="V356" s="24"/>
      <c r="W356" s="24"/>
      <c r="X356" s="24"/>
      <c r="Y356" s="24"/>
    </row>
    <row r="357" ht="18" customHeight="1" spans="1:25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19"/>
      <c r="Q357" s="19"/>
      <c r="R357" s="19"/>
      <c r="S357" s="19"/>
      <c r="T357" s="19"/>
      <c r="U357" s="24"/>
      <c r="V357" s="24"/>
      <c r="W357" s="24"/>
      <c r="X357" s="24"/>
      <c r="Y357" s="24"/>
    </row>
    <row r="358" ht="18" customHeight="1" spans="1:25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19"/>
      <c r="Q358" s="19"/>
      <c r="R358" s="19"/>
      <c r="S358" s="19"/>
      <c r="T358" s="19"/>
      <c r="U358" s="24"/>
      <c r="V358" s="24"/>
      <c r="W358" s="24"/>
      <c r="X358" s="24"/>
      <c r="Y358" s="24"/>
    </row>
    <row r="359" ht="18" customHeight="1" spans="1:25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19"/>
      <c r="Q359" s="19"/>
      <c r="R359" s="19"/>
      <c r="S359" s="19"/>
      <c r="T359" s="19"/>
      <c r="U359" s="24"/>
      <c r="V359" s="24"/>
      <c r="W359" s="24"/>
      <c r="X359" s="24"/>
      <c r="Y359" s="24"/>
    </row>
    <row r="360" ht="18" customHeight="1" spans="1:25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19"/>
      <c r="Q360" s="19"/>
      <c r="R360" s="19"/>
      <c r="S360" s="19"/>
      <c r="T360" s="19"/>
      <c r="U360" s="24"/>
      <c r="V360" s="24"/>
      <c r="W360" s="24"/>
      <c r="X360" s="24"/>
      <c r="Y360" s="24"/>
    </row>
    <row r="361" ht="18" customHeight="1" spans="1:25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19"/>
      <c r="Q361" s="19"/>
      <c r="R361" s="19"/>
      <c r="S361" s="19"/>
      <c r="T361" s="19"/>
      <c r="U361" s="24"/>
      <c r="V361" s="24"/>
      <c r="W361" s="24"/>
      <c r="X361" s="24"/>
      <c r="Y361" s="24"/>
    </row>
    <row r="362" ht="18" customHeight="1" spans="1:25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19"/>
      <c r="Q362" s="19"/>
      <c r="R362" s="19"/>
      <c r="S362" s="19"/>
      <c r="T362" s="19"/>
      <c r="U362" s="24"/>
      <c r="V362" s="24"/>
      <c r="W362" s="24"/>
      <c r="X362" s="24"/>
      <c r="Y362" s="24"/>
    </row>
    <row r="363" ht="18" customHeight="1" spans="1:25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19"/>
      <c r="Q363" s="19"/>
      <c r="R363" s="19"/>
      <c r="S363" s="19"/>
      <c r="T363" s="19"/>
      <c r="U363" s="24"/>
      <c r="V363" s="24"/>
      <c r="W363" s="24"/>
      <c r="X363" s="24"/>
      <c r="Y363" s="24"/>
    </row>
    <row r="364" ht="18" customHeight="1" spans="1:25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19"/>
      <c r="Q364" s="19"/>
      <c r="R364" s="19"/>
      <c r="S364" s="19"/>
      <c r="T364" s="19"/>
      <c r="U364" s="24"/>
      <c r="V364" s="24"/>
      <c r="W364" s="24"/>
      <c r="X364" s="24"/>
      <c r="Y364" s="24"/>
    </row>
    <row r="365" ht="18" customHeight="1" spans="1:25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19"/>
      <c r="Q365" s="19"/>
      <c r="R365" s="19"/>
      <c r="S365" s="19"/>
      <c r="T365" s="19"/>
      <c r="U365" s="24"/>
      <c r="V365" s="24"/>
      <c r="W365" s="24"/>
      <c r="X365" s="24"/>
      <c r="Y365" s="24"/>
    </row>
    <row r="366" ht="18" customHeight="1" spans="1:25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19"/>
      <c r="Q366" s="19"/>
      <c r="R366" s="19"/>
      <c r="S366" s="19"/>
      <c r="T366" s="19"/>
      <c r="U366" s="24"/>
      <c r="V366" s="24"/>
      <c r="W366" s="24"/>
      <c r="X366" s="24"/>
      <c r="Y366" s="24"/>
    </row>
    <row r="367" ht="18" customHeight="1" spans="1:25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19"/>
      <c r="Q367" s="19"/>
      <c r="R367" s="19"/>
      <c r="S367" s="19"/>
      <c r="T367" s="19"/>
      <c r="U367" s="24"/>
      <c r="V367" s="24"/>
      <c r="W367" s="24"/>
      <c r="X367" s="24"/>
      <c r="Y367" s="24"/>
    </row>
    <row r="368" ht="18" customHeight="1" spans="1:25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19"/>
      <c r="Q368" s="19"/>
      <c r="R368" s="19"/>
      <c r="S368" s="19"/>
      <c r="T368" s="19"/>
      <c r="U368" s="24"/>
      <c r="V368" s="24"/>
      <c r="W368" s="24"/>
      <c r="X368" s="24"/>
      <c r="Y368" s="24"/>
    </row>
    <row r="369" ht="18" customHeight="1" spans="1:25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19"/>
      <c r="Q369" s="19"/>
      <c r="R369" s="19"/>
      <c r="S369" s="19"/>
      <c r="T369" s="19"/>
      <c r="U369" s="24"/>
      <c r="V369" s="24"/>
      <c r="W369" s="24"/>
      <c r="X369" s="24"/>
      <c r="Y369" s="24"/>
    </row>
    <row r="370" ht="18" customHeight="1" spans="1:25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19"/>
      <c r="Q370" s="19"/>
      <c r="R370" s="19"/>
      <c r="S370" s="19"/>
      <c r="T370" s="19"/>
      <c r="U370" s="24"/>
      <c r="V370" s="24"/>
      <c r="W370" s="24"/>
      <c r="X370" s="24"/>
      <c r="Y370" s="24"/>
    </row>
    <row r="371" ht="18" customHeight="1" spans="1:25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19"/>
      <c r="Q371" s="19"/>
      <c r="R371" s="19"/>
      <c r="S371" s="19"/>
      <c r="T371" s="19"/>
      <c r="U371" s="24"/>
      <c r="V371" s="24"/>
      <c r="W371" s="24"/>
      <c r="X371" s="24"/>
      <c r="Y371" s="24"/>
    </row>
    <row r="372" ht="18" customHeight="1" spans="1:25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19"/>
      <c r="Q372" s="19"/>
      <c r="R372" s="19"/>
      <c r="S372" s="19"/>
      <c r="T372" s="19"/>
      <c r="U372" s="24"/>
      <c r="V372" s="24"/>
      <c r="W372" s="24"/>
      <c r="X372" s="24"/>
      <c r="Y372" s="24"/>
    </row>
    <row r="373" ht="18" customHeight="1" spans="1:25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19"/>
      <c r="Q373" s="19"/>
      <c r="R373" s="19"/>
      <c r="S373" s="19"/>
      <c r="T373" s="19"/>
      <c r="U373" s="24"/>
      <c r="V373" s="24"/>
      <c r="W373" s="24"/>
      <c r="X373" s="24"/>
      <c r="Y373" s="24"/>
    </row>
    <row r="374" ht="18" customHeight="1" spans="1:25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19"/>
      <c r="Q374" s="19"/>
      <c r="R374" s="19"/>
      <c r="S374" s="19"/>
      <c r="T374" s="19"/>
      <c r="U374" s="24"/>
      <c r="V374" s="24"/>
      <c r="W374" s="24"/>
      <c r="X374" s="24"/>
      <c r="Y374" s="24"/>
    </row>
    <row r="375" ht="18" customHeight="1" spans="1:25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19"/>
      <c r="Q375" s="19"/>
      <c r="R375" s="19"/>
      <c r="S375" s="19"/>
      <c r="T375" s="19"/>
      <c r="U375" s="24"/>
      <c r="V375" s="24"/>
      <c r="W375" s="24"/>
      <c r="X375" s="24"/>
      <c r="Y375" s="24"/>
    </row>
    <row r="376" ht="18" customHeight="1" spans="1:25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19"/>
      <c r="Q376" s="19"/>
      <c r="R376" s="19"/>
      <c r="S376" s="19"/>
      <c r="T376" s="19"/>
      <c r="U376" s="24"/>
      <c r="V376" s="24"/>
      <c r="W376" s="24"/>
      <c r="X376" s="24"/>
      <c r="Y376" s="24"/>
    </row>
    <row r="377" ht="18" customHeight="1" spans="1:25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19"/>
      <c r="Q377" s="19"/>
      <c r="R377" s="19"/>
      <c r="S377" s="19"/>
      <c r="T377" s="19"/>
      <c r="U377" s="24"/>
      <c r="V377" s="24"/>
      <c r="W377" s="24"/>
      <c r="X377" s="24"/>
      <c r="Y377" s="24"/>
    </row>
    <row r="378" ht="18" customHeight="1" spans="1:25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19"/>
      <c r="Q378" s="19"/>
      <c r="R378" s="19"/>
      <c r="S378" s="19"/>
      <c r="T378" s="19"/>
      <c r="U378" s="24"/>
      <c r="V378" s="24"/>
      <c r="W378" s="24"/>
      <c r="X378" s="24"/>
      <c r="Y378" s="24"/>
    </row>
    <row r="379" ht="18" customHeight="1" spans="1:25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19"/>
      <c r="Q379" s="19"/>
      <c r="R379" s="19"/>
      <c r="S379" s="19"/>
      <c r="T379" s="19"/>
      <c r="U379" s="24"/>
      <c r="V379" s="24"/>
      <c r="W379" s="24"/>
      <c r="X379" s="24"/>
      <c r="Y379" s="24"/>
    </row>
    <row r="380" ht="18" customHeight="1" spans="1:25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19"/>
      <c r="Q380" s="19"/>
      <c r="R380" s="19"/>
      <c r="S380" s="19"/>
      <c r="T380" s="19"/>
      <c r="U380" s="24"/>
      <c r="V380" s="24"/>
      <c r="W380" s="24"/>
      <c r="X380" s="24"/>
      <c r="Y380" s="24"/>
    </row>
    <row r="381" ht="18" customHeight="1" spans="1:25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19"/>
      <c r="Q381" s="19"/>
      <c r="R381" s="19"/>
      <c r="S381" s="19"/>
      <c r="T381" s="19"/>
      <c r="U381" s="24"/>
      <c r="V381" s="24"/>
      <c r="W381" s="24"/>
      <c r="X381" s="24"/>
      <c r="Y381" s="24"/>
    </row>
    <row r="382" ht="18" customHeight="1" spans="1:25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19"/>
      <c r="Q382" s="19"/>
      <c r="R382" s="19"/>
      <c r="S382" s="19"/>
      <c r="T382" s="19"/>
      <c r="U382" s="24"/>
      <c r="V382" s="24"/>
      <c r="W382" s="24"/>
      <c r="X382" s="24"/>
      <c r="Y382" s="24"/>
    </row>
    <row r="383" ht="18" customHeight="1" spans="1:25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19"/>
      <c r="Q383" s="19"/>
      <c r="R383" s="19"/>
      <c r="S383" s="19"/>
      <c r="T383" s="19"/>
      <c r="U383" s="24"/>
      <c r="V383" s="24"/>
      <c r="W383" s="24"/>
      <c r="X383" s="24"/>
      <c r="Y383" s="24"/>
    </row>
    <row r="384" ht="18" customHeight="1" spans="1:25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19"/>
      <c r="Q384" s="19"/>
      <c r="R384" s="19"/>
      <c r="S384" s="19"/>
      <c r="T384" s="19"/>
      <c r="U384" s="24"/>
      <c r="V384" s="24"/>
      <c r="W384" s="24"/>
      <c r="X384" s="24"/>
      <c r="Y384" s="24"/>
    </row>
    <row r="385" ht="18" customHeight="1" spans="1:25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19"/>
      <c r="Q385" s="19"/>
      <c r="R385" s="19"/>
      <c r="S385" s="19"/>
      <c r="T385" s="19"/>
      <c r="U385" s="24"/>
      <c r="V385" s="24"/>
      <c r="W385" s="24"/>
      <c r="X385" s="24"/>
      <c r="Y385" s="24"/>
    </row>
    <row r="386" ht="18" customHeight="1" spans="1:25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19"/>
      <c r="Q386" s="19"/>
      <c r="R386" s="19"/>
      <c r="S386" s="19"/>
      <c r="T386" s="19"/>
      <c r="U386" s="24"/>
      <c r="V386" s="24"/>
      <c r="W386" s="24"/>
      <c r="X386" s="24"/>
      <c r="Y386" s="24"/>
    </row>
    <row r="387" ht="18" customHeight="1" spans="1:25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19"/>
      <c r="Q387" s="19"/>
      <c r="R387" s="19"/>
      <c r="S387" s="19"/>
      <c r="T387" s="19"/>
      <c r="U387" s="24"/>
      <c r="V387" s="24"/>
      <c r="W387" s="24"/>
      <c r="X387" s="24"/>
      <c r="Y387" s="24"/>
    </row>
    <row r="388" ht="18" customHeight="1" spans="1:25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19"/>
      <c r="Q388" s="19"/>
      <c r="R388" s="19"/>
      <c r="S388" s="19"/>
      <c r="T388" s="19"/>
      <c r="U388" s="24"/>
      <c r="V388" s="24"/>
      <c r="W388" s="24"/>
      <c r="X388" s="24"/>
      <c r="Y388" s="24"/>
    </row>
    <row r="389" ht="18" customHeight="1" spans="1:25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19"/>
      <c r="Q389" s="19"/>
      <c r="R389" s="19"/>
      <c r="S389" s="19"/>
      <c r="T389" s="19"/>
      <c r="U389" s="24"/>
      <c r="V389" s="24"/>
      <c r="W389" s="24"/>
      <c r="X389" s="24"/>
      <c r="Y389" s="24"/>
    </row>
    <row r="390" ht="18" customHeight="1" spans="1:25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19"/>
      <c r="Q390" s="19"/>
      <c r="R390" s="19"/>
      <c r="S390" s="19"/>
      <c r="T390" s="19"/>
      <c r="U390" s="24"/>
      <c r="V390" s="24"/>
      <c r="W390" s="24"/>
      <c r="X390" s="24"/>
      <c r="Y390" s="24"/>
    </row>
    <row r="391" ht="18" customHeight="1" spans="1:25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19"/>
      <c r="Q391" s="19"/>
      <c r="R391" s="19"/>
      <c r="S391" s="19"/>
      <c r="T391" s="19"/>
      <c r="U391" s="24"/>
      <c r="V391" s="24"/>
      <c r="W391" s="24"/>
      <c r="X391" s="24"/>
      <c r="Y391" s="24"/>
    </row>
    <row r="392" ht="18" customHeight="1" spans="1:25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19"/>
      <c r="Q392" s="19"/>
      <c r="R392" s="19"/>
      <c r="S392" s="19"/>
      <c r="T392" s="19"/>
      <c r="U392" s="24"/>
      <c r="V392" s="24"/>
      <c r="W392" s="24"/>
      <c r="X392" s="24"/>
      <c r="Y392" s="24"/>
    </row>
    <row r="393" ht="18" customHeight="1" spans="1:25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19"/>
      <c r="Q393" s="19"/>
      <c r="R393" s="19"/>
      <c r="S393" s="19"/>
      <c r="T393" s="19"/>
      <c r="U393" s="24"/>
      <c r="V393" s="24"/>
      <c r="W393" s="24"/>
      <c r="X393" s="24"/>
      <c r="Y393" s="24"/>
    </row>
    <row r="394" ht="18" customHeight="1" spans="1:25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19"/>
      <c r="Q394" s="19"/>
      <c r="R394" s="19"/>
      <c r="S394" s="19"/>
      <c r="T394" s="19"/>
      <c r="U394" s="24"/>
      <c r="V394" s="24"/>
      <c r="W394" s="24"/>
      <c r="X394" s="24"/>
      <c r="Y394" s="24"/>
    </row>
    <row r="395" ht="18" customHeight="1" spans="1:25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19"/>
      <c r="Q395" s="19"/>
      <c r="R395" s="19"/>
      <c r="S395" s="19"/>
      <c r="T395" s="19"/>
      <c r="U395" s="24"/>
      <c r="V395" s="24"/>
      <c r="W395" s="24"/>
      <c r="X395" s="24"/>
      <c r="Y395" s="24"/>
    </row>
    <row r="396" ht="18" customHeight="1" spans="1:25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19"/>
      <c r="Q396" s="19"/>
      <c r="R396" s="19"/>
      <c r="S396" s="19"/>
      <c r="T396" s="19"/>
      <c r="U396" s="24"/>
      <c r="V396" s="24"/>
      <c r="W396" s="24"/>
      <c r="X396" s="24"/>
      <c r="Y396" s="24"/>
    </row>
    <row r="397" ht="18" customHeight="1" spans="1:25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19"/>
      <c r="Q397" s="19"/>
      <c r="R397" s="19"/>
      <c r="S397" s="19"/>
      <c r="T397" s="19"/>
      <c r="U397" s="24"/>
      <c r="V397" s="24"/>
      <c r="W397" s="24"/>
      <c r="X397" s="24"/>
      <c r="Y397" s="24"/>
    </row>
    <row r="398" ht="18" customHeight="1" spans="1:25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19"/>
      <c r="Q398" s="19"/>
      <c r="R398" s="19"/>
      <c r="S398" s="19"/>
      <c r="T398" s="19"/>
      <c r="U398" s="24"/>
      <c r="V398" s="24"/>
      <c r="W398" s="24"/>
      <c r="X398" s="24"/>
      <c r="Y398" s="24"/>
    </row>
    <row r="399" ht="18" customHeight="1" spans="1:25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19"/>
      <c r="Q399" s="19"/>
      <c r="R399" s="19"/>
      <c r="S399" s="19"/>
      <c r="T399" s="19"/>
      <c r="U399" s="24"/>
      <c r="V399" s="24"/>
      <c r="W399" s="24"/>
      <c r="X399" s="24"/>
      <c r="Y399" s="24"/>
    </row>
    <row r="400" ht="18" customHeight="1" spans="1:25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19"/>
      <c r="Q400" s="19"/>
      <c r="R400" s="19"/>
      <c r="S400" s="19"/>
      <c r="T400" s="19"/>
      <c r="U400" s="24"/>
      <c r="V400" s="24"/>
      <c r="W400" s="24"/>
      <c r="X400" s="24"/>
      <c r="Y400" s="24"/>
    </row>
    <row r="401" ht="18" customHeight="1" spans="1:25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19"/>
      <c r="Q401" s="19"/>
      <c r="R401" s="19"/>
      <c r="S401" s="19"/>
      <c r="T401" s="19"/>
      <c r="U401" s="24"/>
      <c r="V401" s="24"/>
      <c r="W401" s="24"/>
      <c r="X401" s="24"/>
      <c r="Y401" s="24"/>
    </row>
    <row r="402" ht="18" customHeight="1" spans="1:25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19"/>
      <c r="Q402" s="19"/>
      <c r="R402" s="19"/>
      <c r="S402" s="19"/>
      <c r="T402" s="19"/>
      <c r="U402" s="24"/>
      <c r="V402" s="24"/>
      <c r="W402" s="24"/>
      <c r="X402" s="24"/>
      <c r="Y402" s="24"/>
    </row>
    <row r="403" ht="18" customHeight="1" spans="1:25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19"/>
      <c r="Q403" s="19"/>
      <c r="R403" s="19"/>
      <c r="S403" s="19"/>
      <c r="T403" s="19"/>
      <c r="U403" s="24"/>
      <c r="V403" s="24"/>
      <c r="W403" s="24"/>
      <c r="X403" s="24"/>
      <c r="Y403" s="24"/>
    </row>
    <row r="404" ht="18" customHeight="1" spans="1:25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19"/>
      <c r="Q404" s="19"/>
      <c r="R404" s="19"/>
      <c r="S404" s="19"/>
      <c r="T404" s="19"/>
      <c r="U404" s="24"/>
      <c r="V404" s="24"/>
      <c r="W404" s="24"/>
      <c r="X404" s="24"/>
      <c r="Y404" s="24"/>
    </row>
    <row r="405" ht="18" customHeight="1" spans="1:25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19"/>
      <c r="Q405" s="19"/>
      <c r="R405" s="19"/>
      <c r="S405" s="19"/>
      <c r="T405" s="19"/>
      <c r="U405" s="24"/>
      <c r="V405" s="24"/>
      <c r="W405" s="24"/>
      <c r="X405" s="24"/>
      <c r="Y405" s="24"/>
    </row>
    <row r="406" ht="18" customHeight="1" spans="1:25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19"/>
      <c r="Q406" s="19"/>
      <c r="R406" s="19"/>
      <c r="S406" s="19"/>
      <c r="T406" s="19"/>
      <c r="U406" s="24"/>
      <c r="V406" s="24"/>
      <c r="W406" s="24"/>
      <c r="X406" s="24"/>
      <c r="Y406" s="24"/>
    </row>
    <row r="407" ht="18" customHeight="1" spans="1:25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19"/>
      <c r="Q407" s="19"/>
      <c r="R407" s="19"/>
      <c r="S407" s="19"/>
      <c r="T407" s="19"/>
      <c r="U407" s="24"/>
      <c r="V407" s="24"/>
      <c r="W407" s="24"/>
      <c r="X407" s="24"/>
      <c r="Y407" s="24"/>
    </row>
    <row r="408" ht="18" customHeight="1" spans="1:25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19"/>
      <c r="Q408" s="19"/>
      <c r="R408" s="19"/>
      <c r="S408" s="19"/>
      <c r="T408" s="19"/>
      <c r="U408" s="24"/>
      <c r="V408" s="24"/>
      <c r="W408" s="24"/>
      <c r="X408" s="24"/>
      <c r="Y408" s="24"/>
    </row>
    <row r="409" ht="18" customHeight="1" spans="1:25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19"/>
      <c r="Q409" s="19"/>
      <c r="R409" s="19"/>
      <c r="S409" s="19"/>
      <c r="T409" s="19"/>
      <c r="U409" s="24"/>
      <c r="V409" s="24"/>
      <c r="W409" s="24"/>
      <c r="X409" s="24"/>
      <c r="Y409" s="24"/>
    </row>
    <row r="410" ht="18" customHeight="1" spans="1:25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19"/>
      <c r="Q410" s="19"/>
      <c r="R410" s="19"/>
      <c r="S410" s="19"/>
      <c r="T410" s="19"/>
      <c r="U410" s="24"/>
      <c r="V410" s="24"/>
      <c r="W410" s="24"/>
      <c r="X410" s="24"/>
      <c r="Y410" s="24"/>
    </row>
    <row r="411" ht="18" customHeight="1" spans="1:25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19"/>
      <c r="Q411" s="19"/>
      <c r="R411" s="19"/>
      <c r="S411" s="19"/>
      <c r="T411" s="19"/>
      <c r="U411" s="24"/>
      <c r="V411" s="24"/>
      <c r="W411" s="24"/>
      <c r="X411" s="24"/>
      <c r="Y411" s="24"/>
    </row>
    <row r="412" ht="18" customHeight="1" spans="1:25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19"/>
      <c r="Q412" s="19"/>
      <c r="R412" s="19"/>
      <c r="S412" s="19"/>
      <c r="T412" s="19"/>
      <c r="U412" s="24"/>
      <c r="V412" s="24"/>
      <c r="W412" s="24"/>
      <c r="X412" s="24"/>
      <c r="Y412" s="24"/>
    </row>
    <row r="413" ht="18" customHeight="1" spans="1:25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19"/>
      <c r="Q413" s="19"/>
      <c r="R413" s="19"/>
      <c r="S413" s="19"/>
      <c r="T413" s="19"/>
      <c r="U413" s="24"/>
      <c r="V413" s="24"/>
      <c r="W413" s="24"/>
      <c r="X413" s="24"/>
      <c r="Y413" s="24"/>
    </row>
    <row r="414" ht="18" customHeight="1" spans="1:25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19"/>
      <c r="Q414" s="19"/>
      <c r="R414" s="19"/>
      <c r="S414" s="19"/>
      <c r="T414" s="19"/>
      <c r="U414" s="24"/>
      <c r="V414" s="24"/>
      <c r="W414" s="24"/>
      <c r="X414" s="24"/>
      <c r="Y414" s="24"/>
    </row>
    <row r="415" ht="18" customHeight="1" spans="1:25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19"/>
      <c r="Q415" s="19"/>
      <c r="R415" s="19"/>
      <c r="S415" s="19"/>
      <c r="T415" s="19"/>
      <c r="U415" s="24"/>
      <c r="V415" s="24"/>
      <c r="W415" s="24"/>
      <c r="X415" s="24"/>
      <c r="Y415" s="24"/>
    </row>
    <row r="416" ht="18" customHeight="1" spans="1:25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19"/>
      <c r="Q416" s="19"/>
      <c r="R416" s="19"/>
      <c r="S416" s="19"/>
      <c r="T416" s="19"/>
      <c r="U416" s="24"/>
      <c r="V416" s="24"/>
      <c r="W416" s="24"/>
      <c r="X416" s="24"/>
      <c r="Y416" s="24"/>
    </row>
    <row r="417" ht="18" customHeight="1" spans="1:25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19"/>
      <c r="Q417" s="19"/>
      <c r="R417" s="19"/>
      <c r="S417" s="19"/>
      <c r="T417" s="19"/>
      <c r="U417" s="24"/>
      <c r="V417" s="24"/>
      <c r="W417" s="24"/>
      <c r="X417" s="24"/>
      <c r="Y417" s="24"/>
    </row>
    <row r="418" ht="18" customHeight="1" spans="1:25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19"/>
      <c r="Q418" s="19"/>
      <c r="R418" s="19"/>
      <c r="S418" s="19"/>
      <c r="T418" s="19"/>
      <c r="U418" s="24"/>
      <c r="V418" s="24"/>
      <c r="W418" s="24"/>
      <c r="X418" s="24"/>
      <c r="Y418" s="24"/>
    </row>
    <row r="419" ht="18" customHeight="1" spans="1:25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19"/>
      <c r="Q419" s="19"/>
      <c r="R419" s="19"/>
      <c r="S419" s="19"/>
      <c r="T419" s="19"/>
      <c r="U419" s="24"/>
      <c r="V419" s="24"/>
      <c r="W419" s="24"/>
      <c r="X419" s="24"/>
      <c r="Y419" s="24"/>
    </row>
    <row r="420" ht="18" customHeight="1" spans="1:25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19"/>
      <c r="Q420" s="19"/>
      <c r="R420" s="19"/>
      <c r="S420" s="19"/>
      <c r="T420" s="19"/>
      <c r="U420" s="24"/>
      <c r="V420" s="24"/>
      <c r="W420" s="24"/>
      <c r="X420" s="24"/>
      <c r="Y420" s="24"/>
    </row>
    <row r="421" ht="18" customHeight="1" spans="1:25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19"/>
      <c r="Q421" s="19"/>
      <c r="R421" s="19"/>
      <c r="S421" s="19"/>
      <c r="T421" s="19"/>
      <c r="U421" s="24"/>
      <c r="V421" s="24"/>
      <c r="W421" s="24"/>
      <c r="X421" s="24"/>
      <c r="Y421" s="24"/>
    </row>
    <row r="422" ht="18" customHeight="1" spans="1:25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19"/>
      <c r="Q422" s="19"/>
      <c r="R422" s="19"/>
      <c r="S422" s="19"/>
      <c r="T422" s="19"/>
      <c r="U422" s="24"/>
      <c r="V422" s="24"/>
      <c r="W422" s="24"/>
      <c r="X422" s="24"/>
      <c r="Y422" s="24"/>
    </row>
    <row r="423" ht="18" customHeight="1" spans="1:25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19"/>
      <c r="Q423" s="19"/>
      <c r="R423" s="19"/>
      <c r="S423" s="19"/>
      <c r="T423" s="19"/>
      <c r="U423" s="24"/>
      <c r="V423" s="24"/>
      <c r="W423" s="24"/>
      <c r="X423" s="24"/>
      <c r="Y423" s="24"/>
    </row>
    <row r="424" ht="18" customHeight="1" spans="1:25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19"/>
      <c r="Q424" s="19"/>
      <c r="R424" s="19"/>
      <c r="S424" s="19"/>
      <c r="T424" s="19"/>
      <c r="U424" s="24"/>
      <c r="V424" s="24"/>
      <c r="W424" s="24"/>
      <c r="X424" s="24"/>
      <c r="Y424" s="24"/>
    </row>
    <row r="425" ht="18" customHeight="1" spans="1:25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19"/>
      <c r="Q425" s="19"/>
      <c r="R425" s="19"/>
      <c r="S425" s="19"/>
      <c r="T425" s="19"/>
      <c r="U425" s="24"/>
      <c r="V425" s="24"/>
      <c r="W425" s="24"/>
      <c r="X425" s="24"/>
      <c r="Y425" s="24"/>
    </row>
    <row r="426" ht="18" customHeight="1" spans="1:25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19"/>
      <c r="Q426" s="19"/>
      <c r="R426" s="19"/>
      <c r="S426" s="19"/>
      <c r="T426" s="19"/>
      <c r="U426" s="24"/>
      <c r="V426" s="24"/>
      <c r="W426" s="24"/>
      <c r="X426" s="24"/>
      <c r="Y426" s="24"/>
    </row>
    <row r="427" ht="18" customHeight="1" spans="1:25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19"/>
      <c r="Q427" s="19"/>
      <c r="R427" s="19"/>
      <c r="S427" s="19"/>
      <c r="T427" s="19"/>
      <c r="U427" s="24"/>
      <c r="V427" s="24"/>
      <c r="W427" s="24"/>
      <c r="X427" s="24"/>
      <c r="Y427" s="24"/>
    </row>
    <row r="428" ht="18" customHeight="1" spans="1:25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19"/>
      <c r="Q428" s="19"/>
      <c r="R428" s="19"/>
      <c r="S428" s="19"/>
      <c r="T428" s="19"/>
      <c r="U428" s="24"/>
      <c r="V428" s="24"/>
      <c r="W428" s="24"/>
      <c r="X428" s="24"/>
      <c r="Y428" s="24"/>
    </row>
    <row r="429" ht="18" customHeight="1" spans="1:25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19"/>
      <c r="Q429" s="19"/>
      <c r="R429" s="19"/>
      <c r="S429" s="19"/>
      <c r="T429" s="19"/>
      <c r="U429" s="24"/>
      <c r="V429" s="24"/>
      <c r="W429" s="24"/>
      <c r="X429" s="24"/>
      <c r="Y429" s="24"/>
    </row>
    <row r="430" ht="18" customHeight="1" spans="1:25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19"/>
      <c r="Q430" s="19"/>
      <c r="R430" s="19"/>
      <c r="S430" s="19"/>
      <c r="T430" s="19"/>
      <c r="U430" s="24"/>
      <c r="V430" s="24"/>
      <c r="W430" s="24"/>
      <c r="X430" s="24"/>
      <c r="Y430" s="24"/>
    </row>
    <row r="431" ht="18" customHeight="1" spans="1:25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19"/>
      <c r="Q431" s="19"/>
      <c r="R431" s="19"/>
      <c r="S431" s="19"/>
      <c r="T431" s="19"/>
      <c r="U431" s="24"/>
      <c r="V431" s="24"/>
      <c r="W431" s="24"/>
      <c r="X431" s="24"/>
      <c r="Y431" s="24"/>
    </row>
    <row r="432" ht="18" customHeight="1" spans="1:25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19"/>
      <c r="Q432" s="19"/>
      <c r="R432" s="19"/>
      <c r="S432" s="19"/>
      <c r="T432" s="19"/>
      <c r="U432" s="24"/>
      <c r="V432" s="24"/>
      <c r="W432" s="24"/>
      <c r="X432" s="24"/>
      <c r="Y432" s="24"/>
    </row>
    <row r="433" ht="18" customHeight="1" spans="1:25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19"/>
      <c r="Q433" s="19"/>
      <c r="R433" s="19"/>
      <c r="S433" s="19"/>
      <c r="T433" s="19"/>
      <c r="U433" s="24"/>
      <c r="V433" s="24"/>
      <c r="W433" s="24"/>
      <c r="X433" s="24"/>
      <c r="Y433" s="24"/>
    </row>
    <row r="434" ht="18" customHeight="1" spans="1:25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19"/>
      <c r="Q434" s="19"/>
      <c r="R434" s="19"/>
      <c r="S434" s="19"/>
      <c r="T434" s="19"/>
      <c r="U434" s="24"/>
      <c r="V434" s="24"/>
      <c r="W434" s="24"/>
      <c r="X434" s="24"/>
      <c r="Y434" s="24"/>
    </row>
    <row r="435" ht="18" customHeight="1" spans="1:25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19"/>
      <c r="Q435" s="19"/>
      <c r="R435" s="19"/>
      <c r="S435" s="19"/>
      <c r="T435" s="19"/>
      <c r="U435" s="24"/>
      <c r="V435" s="24"/>
      <c r="W435" s="24"/>
      <c r="X435" s="24"/>
      <c r="Y435" s="24"/>
    </row>
    <row r="436" ht="18" customHeight="1" spans="1:25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19"/>
      <c r="Q436" s="19"/>
      <c r="R436" s="19"/>
      <c r="S436" s="19"/>
      <c r="T436" s="19"/>
      <c r="U436" s="24"/>
      <c r="V436" s="24"/>
      <c r="W436" s="24"/>
      <c r="X436" s="24"/>
      <c r="Y436" s="24"/>
    </row>
    <row r="437" ht="18" customHeight="1" spans="1:25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19"/>
      <c r="Q437" s="19"/>
      <c r="R437" s="19"/>
      <c r="S437" s="19"/>
      <c r="T437" s="19"/>
      <c r="U437" s="24"/>
      <c r="V437" s="24"/>
      <c r="W437" s="24"/>
      <c r="X437" s="24"/>
      <c r="Y437" s="24"/>
    </row>
    <row r="438" ht="18" customHeight="1" spans="1:25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19"/>
      <c r="Q438" s="19"/>
      <c r="R438" s="19"/>
      <c r="S438" s="19"/>
      <c r="T438" s="19"/>
      <c r="U438" s="24"/>
      <c r="V438" s="24"/>
      <c r="W438" s="24"/>
      <c r="X438" s="24"/>
      <c r="Y438" s="24"/>
    </row>
    <row r="439" ht="18" customHeight="1" spans="1:25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19"/>
      <c r="Q439" s="19"/>
      <c r="R439" s="19"/>
      <c r="S439" s="19"/>
      <c r="T439" s="19"/>
      <c r="U439" s="24"/>
      <c r="V439" s="24"/>
      <c r="W439" s="24"/>
      <c r="X439" s="24"/>
      <c r="Y439" s="24"/>
    </row>
    <row r="440" ht="18" customHeight="1" spans="1:25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19"/>
      <c r="Q440" s="19"/>
      <c r="R440" s="19"/>
      <c r="S440" s="19"/>
      <c r="T440" s="19"/>
      <c r="U440" s="24"/>
      <c r="V440" s="24"/>
      <c r="W440" s="24"/>
      <c r="X440" s="24"/>
      <c r="Y440" s="24"/>
    </row>
    <row r="441" ht="18" customHeight="1" spans="1:25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19"/>
      <c r="Q441" s="19"/>
      <c r="R441" s="19"/>
      <c r="S441" s="19"/>
      <c r="T441" s="19"/>
      <c r="U441" s="24"/>
      <c r="V441" s="24"/>
      <c r="W441" s="24"/>
      <c r="X441" s="24"/>
      <c r="Y441" s="24"/>
    </row>
    <row r="442" ht="18" customHeight="1" spans="1:25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19"/>
      <c r="Q442" s="19"/>
      <c r="R442" s="19"/>
      <c r="S442" s="19"/>
      <c r="T442" s="19"/>
      <c r="U442" s="24"/>
      <c r="V442" s="24"/>
      <c r="W442" s="24"/>
      <c r="X442" s="24"/>
      <c r="Y442" s="24"/>
    </row>
    <row r="443" ht="18" customHeight="1" spans="1:25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19"/>
      <c r="Q443" s="19"/>
      <c r="R443" s="19"/>
      <c r="S443" s="19"/>
      <c r="T443" s="19"/>
      <c r="U443" s="24"/>
      <c r="V443" s="24"/>
      <c r="W443" s="24"/>
      <c r="X443" s="24"/>
      <c r="Y443" s="24"/>
    </row>
    <row r="444" ht="18" customHeight="1" spans="1:25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19"/>
      <c r="Q444" s="19"/>
      <c r="R444" s="19"/>
      <c r="S444" s="19"/>
      <c r="T444" s="19"/>
      <c r="U444" s="24"/>
      <c r="V444" s="24"/>
      <c r="W444" s="24"/>
      <c r="X444" s="24"/>
      <c r="Y444" s="24"/>
    </row>
    <row r="445" ht="18" customHeight="1" spans="1:25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19"/>
      <c r="Q445" s="19"/>
      <c r="R445" s="19"/>
      <c r="S445" s="19"/>
      <c r="T445" s="19"/>
      <c r="U445" s="24"/>
      <c r="V445" s="24"/>
      <c r="W445" s="24"/>
      <c r="X445" s="24"/>
      <c r="Y445" s="24"/>
    </row>
    <row r="446" ht="18" customHeight="1" spans="1:25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19"/>
      <c r="Q446" s="19"/>
      <c r="R446" s="19"/>
      <c r="S446" s="19"/>
      <c r="T446" s="19"/>
      <c r="U446" s="24"/>
      <c r="V446" s="24"/>
      <c r="W446" s="24"/>
      <c r="X446" s="24"/>
      <c r="Y446" s="24"/>
    </row>
    <row r="447" ht="18" customHeight="1" spans="1:25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19"/>
      <c r="Q447" s="19"/>
      <c r="R447" s="19"/>
      <c r="S447" s="19"/>
      <c r="T447" s="19"/>
      <c r="U447" s="24"/>
      <c r="V447" s="24"/>
      <c r="W447" s="24"/>
      <c r="X447" s="24"/>
      <c r="Y447" s="24"/>
    </row>
    <row r="448" ht="18" customHeight="1" spans="1:25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19"/>
      <c r="Q448" s="19"/>
      <c r="R448" s="19"/>
      <c r="S448" s="19"/>
      <c r="T448" s="19"/>
      <c r="U448" s="24"/>
      <c r="V448" s="24"/>
      <c r="W448" s="24"/>
      <c r="X448" s="24"/>
      <c r="Y448" s="24"/>
    </row>
    <row r="449" ht="18" customHeight="1" spans="1:25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19"/>
      <c r="Q449" s="19"/>
      <c r="R449" s="19"/>
      <c r="S449" s="19"/>
      <c r="T449" s="19"/>
      <c r="U449" s="24"/>
      <c r="V449" s="24"/>
      <c r="W449" s="24"/>
      <c r="X449" s="24"/>
      <c r="Y449" s="24"/>
    </row>
    <row r="450" ht="18" customHeight="1" spans="1:25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19"/>
      <c r="Q450" s="19"/>
      <c r="R450" s="19"/>
      <c r="S450" s="19"/>
      <c r="T450" s="19"/>
      <c r="U450" s="24"/>
      <c r="V450" s="24"/>
      <c r="W450" s="24"/>
      <c r="X450" s="24"/>
      <c r="Y450" s="24"/>
    </row>
    <row r="451" ht="18" customHeight="1" spans="1:25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19"/>
      <c r="Q451" s="19"/>
      <c r="R451" s="19"/>
      <c r="S451" s="19"/>
      <c r="T451" s="19"/>
      <c r="U451" s="24"/>
      <c r="V451" s="24"/>
      <c r="W451" s="24"/>
      <c r="X451" s="24"/>
      <c r="Y451" s="24"/>
    </row>
    <row r="452" ht="18" customHeight="1" spans="1:25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19"/>
      <c r="Q452" s="19"/>
      <c r="R452" s="19"/>
      <c r="S452" s="19"/>
      <c r="T452" s="19"/>
      <c r="U452" s="24"/>
      <c r="V452" s="24"/>
      <c r="W452" s="24"/>
      <c r="X452" s="24"/>
      <c r="Y452" s="24"/>
    </row>
    <row r="453" ht="18" customHeight="1" spans="1:25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19"/>
      <c r="Q453" s="19"/>
      <c r="R453" s="19"/>
      <c r="S453" s="19"/>
      <c r="T453" s="19"/>
      <c r="U453" s="24"/>
      <c r="V453" s="24"/>
      <c r="W453" s="24"/>
      <c r="X453" s="24"/>
      <c r="Y453" s="24"/>
    </row>
    <row r="454" ht="18" customHeight="1" spans="1:25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19"/>
      <c r="Q454" s="19"/>
      <c r="R454" s="19"/>
      <c r="S454" s="19"/>
      <c r="T454" s="19"/>
      <c r="U454" s="24"/>
      <c r="V454" s="24"/>
      <c r="W454" s="24"/>
      <c r="X454" s="24"/>
      <c r="Y454" s="24"/>
    </row>
    <row r="455" ht="18" customHeight="1" spans="1:25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19"/>
      <c r="Q455" s="19"/>
      <c r="R455" s="19"/>
      <c r="S455" s="19"/>
      <c r="T455" s="19"/>
      <c r="U455" s="24"/>
      <c r="V455" s="24"/>
      <c r="W455" s="24"/>
      <c r="X455" s="24"/>
      <c r="Y455" s="24"/>
    </row>
    <row r="456" ht="18" customHeight="1" spans="1:25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19"/>
      <c r="Q456" s="19"/>
      <c r="R456" s="19"/>
      <c r="S456" s="19"/>
      <c r="T456" s="19"/>
      <c r="U456" s="24"/>
      <c r="V456" s="24"/>
      <c r="W456" s="24"/>
      <c r="X456" s="24"/>
      <c r="Y456" s="24"/>
    </row>
    <row r="457" ht="18" customHeight="1" spans="1:25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19"/>
      <c r="Q457" s="19"/>
      <c r="R457" s="19"/>
      <c r="S457" s="19"/>
      <c r="T457" s="19"/>
      <c r="U457" s="24"/>
      <c r="V457" s="24"/>
      <c r="W457" s="24"/>
      <c r="X457" s="24"/>
      <c r="Y457" s="24"/>
    </row>
    <row r="458" ht="18" customHeight="1" spans="1:25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19"/>
      <c r="Q458" s="19"/>
      <c r="R458" s="19"/>
      <c r="S458" s="19"/>
      <c r="T458" s="19"/>
      <c r="U458" s="24"/>
      <c r="V458" s="24"/>
      <c r="W458" s="24"/>
      <c r="X458" s="24"/>
      <c r="Y458" s="24"/>
    </row>
    <row r="459" ht="18" customHeight="1" spans="1:25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19"/>
      <c r="Q459" s="19"/>
      <c r="R459" s="19"/>
      <c r="S459" s="19"/>
      <c r="T459" s="19"/>
      <c r="U459" s="24"/>
      <c r="V459" s="24"/>
      <c r="W459" s="24"/>
      <c r="X459" s="24"/>
      <c r="Y459" s="24"/>
    </row>
    <row r="460" ht="18" customHeight="1" spans="1:25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19"/>
      <c r="Q460" s="19"/>
      <c r="R460" s="19"/>
      <c r="S460" s="19"/>
      <c r="T460" s="19"/>
      <c r="U460" s="24"/>
      <c r="V460" s="24"/>
      <c r="W460" s="24"/>
      <c r="X460" s="24"/>
      <c r="Y460" s="24"/>
    </row>
    <row r="461" ht="18" customHeight="1" spans="1:25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19"/>
      <c r="Q461" s="19"/>
      <c r="R461" s="19"/>
      <c r="S461" s="19"/>
      <c r="T461" s="19"/>
      <c r="U461" s="24"/>
      <c r="V461" s="24"/>
      <c r="W461" s="24"/>
      <c r="X461" s="24"/>
      <c r="Y461" s="24"/>
    </row>
    <row r="462" ht="18" customHeight="1" spans="1:25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19"/>
      <c r="Q462" s="19"/>
      <c r="R462" s="19"/>
      <c r="S462" s="19"/>
      <c r="T462" s="19"/>
      <c r="U462" s="24"/>
      <c r="V462" s="24"/>
      <c r="W462" s="24"/>
      <c r="X462" s="24"/>
      <c r="Y462" s="24"/>
    </row>
    <row r="463" ht="18" customHeight="1" spans="1:25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19"/>
      <c r="Q463" s="19"/>
      <c r="R463" s="19"/>
      <c r="S463" s="19"/>
      <c r="T463" s="19"/>
      <c r="U463" s="24"/>
      <c r="V463" s="24"/>
      <c r="W463" s="24"/>
      <c r="X463" s="24"/>
      <c r="Y463" s="24"/>
    </row>
    <row r="464" ht="18" customHeight="1" spans="1:25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19"/>
      <c r="Q464" s="19"/>
      <c r="R464" s="19"/>
      <c r="S464" s="19"/>
      <c r="T464" s="19"/>
      <c r="U464" s="24"/>
      <c r="V464" s="24"/>
      <c r="W464" s="24"/>
      <c r="X464" s="24"/>
      <c r="Y464" s="24"/>
    </row>
    <row r="465" ht="18" customHeight="1" spans="1:25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19"/>
      <c r="Q465" s="19"/>
      <c r="R465" s="19"/>
      <c r="S465" s="19"/>
      <c r="T465" s="19"/>
      <c r="U465" s="24"/>
      <c r="V465" s="24"/>
      <c r="W465" s="24"/>
      <c r="X465" s="24"/>
      <c r="Y465" s="24"/>
    </row>
    <row r="466" ht="18" customHeight="1" spans="1:25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19"/>
      <c r="Q466" s="19"/>
      <c r="R466" s="19"/>
      <c r="S466" s="19"/>
      <c r="T466" s="19"/>
      <c r="U466" s="24"/>
      <c r="V466" s="24"/>
      <c r="W466" s="24"/>
      <c r="X466" s="24"/>
      <c r="Y466" s="24"/>
    </row>
    <row r="467" ht="18" customHeight="1" spans="1:25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19"/>
      <c r="Q467" s="19"/>
      <c r="R467" s="19"/>
      <c r="S467" s="19"/>
      <c r="T467" s="19"/>
      <c r="U467" s="24"/>
      <c r="V467" s="24"/>
      <c r="W467" s="24"/>
      <c r="X467" s="24"/>
      <c r="Y467" s="24"/>
    </row>
    <row r="468" ht="18" customHeight="1" spans="1:25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19"/>
      <c r="Q468" s="19"/>
      <c r="R468" s="19"/>
      <c r="S468" s="19"/>
      <c r="T468" s="19"/>
      <c r="U468" s="24"/>
      <c r="V468" s="24"/>
      <c r="W468" s="24"/>
      <c r="X468" s="24"/>
      <c r="Y468" s="24"/>
    </row>
    <row r="469" ht="18" customHeight="1" spans="1:25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19"/>
      <c r="Q469" s="19"/>
      <c r="R469" s="19"/>
      <c r="S469" s="19"/>
      <c r="T469" s="19"/>
      <c r="U469" s="24"/>
      <c r="V469" s="24"/>
      <c r="W469" s="24"/>
      <c r="X469" s="24"/>
      <c r="Y469" s="24"/>
    </row>
    <row r="470" ht="18" customHeight="1" spans="1:25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19"/>
      <c r="Q470" s="19"/>
      <c r="R470" s="19"/>
      <c r="S470" s="19"/>
      <c r="T470" s="19"/>
      <c r="U470" s="24"/>
      <c r="V470" s="24"/>
      <c r="W470" s="24"/>
      <c r="X470" s="24"/>
      <c r="Y470" s="24"/>
    </row>
    <row r="471" ht="18" customHeight="1" spans="1:25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19"/>
      <c r="Q471" s="19"/>
      <c r="R471" s="19"/>
      <c r="S471" s="19"/>
      <c r="T471" s="19"/>
      <c r="U471" s="24"/>
      <c r="V471" s="24"/>
      <c r="W471" s="24"/>
      <c r="X471" s="24"/>
      <c r="Y471" s="24"/>
    </row>
    <row r="472" ht="18" customHeight="1" spans="1:25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19"/>
      <c r="Q472" s="19"/>
      <c r="R472" s="19"/>
      <c r="S472" s="19"/>
      <c r="T472" s="19"/>
      <c r="U472" s="24"/>
      <c r="V472" s="24"/>
      <c r="W472" s="24"/>
      <c r="X472" s="24"/>
      <c r="Y472" s="24"/>
    </row>
    <row r="473" ht="18" customHeight="1" spans="1:25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19"/>
      <c r="Q473" s="19"/>
      <c r="R473" s="19"/>
      <c r="S473" s="19"/>
      <c r="T473" s="19"/>
      <c r="U473" s="24"/>
      <c r="V473" s="24"/>
      <c r="W473" s="24"/>
      <c r="X473" s="24"/>
      <c r="Y473" s="24"/>
    </row>
    <row r="474" ht="18" customHeight="1" spans="1:25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19"/>
      <c r="Q474" s="19"/>
      <c r="R474" s="19"/>
      <c r="S474" s="19"/>
      <c r="T474" s="19"/>
      <c r="U474" s="24"/>
      <c r="V474" s="24"/>
      <c r="W474" s="24"/>
      <c r="X474" s="24"/>
      <c r="Y474" s="24"/>
    </row>
    <row r="475" ht="18" customHeight="1" spans="1:25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19"/>
      <c r="Q475" s="19"/>
      <c r="R475" s="19"/>
      <c r="S475" s="19"/>
      <c r="T475" s="19"/>
      <c r="U475" s="24"/>
      <c r="V475" s="24"/>
      <c r="W475" s="24"/>
      <c r="X475" s="24"/>
      <c r="Y475" s="24"/>
    </row>
    <row r="476" ht="18" customHeight="1" spans="1:25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19"/>
      <c r="Q476" s="19"/>
      <c r="R476" s="19"/>
      <c r="S476" s="19"/>
      <c r="T476" s="19"/>
      <c r="U476" s="24"/>
      <c r="V476" s="24"/>
      <c r="W476" s="24"/>
      <c r="X476" s="24"/>
      <c r="Y476" s="24"/>
    </row>
    <row r="477" ht="18" customHeight="1" spans="1:25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19"/>
      <c r="Q477" s="19"/>
      <c r="R477" s="19"/>
      <c r="S477" s="19"/>
      <c r="T477" s="19"/>
      <c r="U477" s="24"/>
      <c r="V477" s="24"/>
      <c r="W477" s="24"/>
      <c r="X477" s="24"/>
      <c r="Y477" s="24"/>
    </row>
    <row r="478" ht="18" customHeight="1" spans="1:25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19"/>
      <c r="Q478" s="19"/>
      <c r="R478" s="19"/>
      <c r="S478" s="19"/>
      <c r="T478" s="19"/>
      <c r="U478" s="24"/>
      <c r="V478" s="24"/>
      <c r="W478" s="24"/>
      <c r="X478" s="24"/>
      <c r="Y478" s="24"/>
    </row>
    <row r="479" ht="18" customHeight="1" spans="1:25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19"/>
      <c r="Q479" s="19"/>
      <c r="R479" s="19"/>
      <c r="S479" s="19"/>
      <c r="T479" s="19"/>
      <c r="U479" s="24"/>
      <c r="V479" s="24"/>
      <c r="W479" s="24"/>
      <c r="X479" s="24"/>
      <c r="Y479" s="24"/>
    </row>
    <row r="480" ht="18" customHeight="1" spans="1:25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19"/>
      <c r="Q480" s="19"/>
      <c r="R480" s="19"/>
      <c r="S480" s="19"/>
      <c r="T480" s="19"/>
      <c r="U480" s="24"/>
      <c r="V480" s="24"/>
      <c r="W480" s="24"/>
      <c r="X480" s="24"/>
      <c r="Y480" s="24"/>
    </row>
    <row r="481" ht="18" customHeight="1" spans="1:25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19"/>
      <c r="Q481" s="19"/>
      <c r="R481" s="19"/>
      <c r="S481" s="19"/>
      <c r="T481" s="19"/>
      <c r="U481" s="24"/>
      <c r="V481" s="24"/>
      <c r="W481" s="24"/>
      <c r="X481" s="24"/>
      <c r="Y481" s="24"/>
    </row>
    <row r="482" ht="18" customHeight="1" spans="1:25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19"/>
      <c r="Q482" s="19"/>
      <c r="R482" s="19"/>
      <c r="S482" s="19"/>
      <c r="T482" s="19"/>
      <c r="U482" s="24"/>
      <c r="V482" s="24"/>
      <c r="W482" s="24"/>
      <c r="X482" s="24"/>
      <c r="Y482" s="24"/>
    </row>
    <row r="483" ht="18" customHeight="1" spans="1:25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19"/>
      <c r="Q483" s="19"/>
      <c r="R483" s="19"/>
      <c r="S483" s="19"/>
      <c r="T483" s="19"/>
      <c r="U483" s="24"/>
      <c r="V483" s="24"/>
      <c r="W483" s="24"/>
      <c r="X483" s="24"/>
      <c r="Y483" s="24"/>
    </row>
    <row r="484" ht="18" customHeight="1" spans="1:25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19"/>
      <c r="Q484" s="19"/>
      <c r="R484" s="19"/>
      <c r="S484" s="19"/>
      <c r="T484" s="19"/>
      <c r="U484" s="24"/>
      <c r="V484" s="24"/>
      <c r="W484" s="24"/>
      <c r="X484" s="24"/>
      <c r="Y484" s="24"/>
    </row>
    <row r="485" ht="18" customHeight="1" spans="1:25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19"/>
      <c r="Q485" s="19"/>
      <c r="R485" s="19"/>
      <c r="S485" s="19"/>
      <c r="T485" s="19"/>
      <c r="U485" s="24"/>
      <c r="V485" s="24"/>
      <c r="W485" s="24"/>
      <c r="X485" s="24"/>
      <c r="Y485" s="24"/>
    </row>
    <row r="486" ht="18" customHeight="1" spans="1:25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19"/>
      <c r="Q486" s="19"/>
      <c r="R486" s="19"/>
      <c r="S486" s="19"/>
      <c r="T486" s="19"/>
      <c r="U486" s="24"/>
      <c r="V486" s="24"/>
      <c r="W486" s="24"/>
      <c r="X486" s="24"/>
      <c r="Y486" s="24"/>
    </row>
    <row r="487" ht="18" customHeight="1" spans="1:25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19"/>
      <c r="Q487" s="19"/>
      <c r="R487" s="19"/>
      <c r="S487" s="19"/>
      <c r="T487" s="19"/>
      <c r="U487" s="24"/>
      <c r="V487" s="24"/>
      <c r="W487" s="24"/>
      <c r="X487" s="24"/>
      <c r="Y487" s="24"/>
    </row>
    <row r="488" ht="18" customHeight="1" spans="1:25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19"/>
      <c r="Q488" s="19"/>
      <c r="R488" s="19"/>
      <c r="S488" s="19"/>
      <c r="T488" s="19"/>
      <c r="U488" s="24"/>
      <c r="V488" s="24"/>
      <c r="W488" s="24"/>
      <c r="X488" s="24"/>
      <c r="Y488" s="24"/>
    </row>
    <row r="489" ht="18" customHeight="1" spans="1:25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19"/>
      <c r="Q489" s="19"/>
      <c r="R489" s="19"/>
      <c r="S489" s="19"/>
      <c r="T489" s="19"/>
      <c r="U489" s="24"/>
      <c r="V489" s="24"/>
      <c r="W489" s="24"/>
      <c r="X489" s="24"/>
      <c r="Y489" s="24"/>
    </row>
    <row r="490" ht="18" customHeight="1" spans="1:25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19"/>
      <c r="Q490" s="19"/>
      <c r="R490" s="19"/>
      <c r="S490" s="19"/>
      <c r="T490" s="19"/>
      <c r="U490" s="24"/>
      <c r="V490" s="24"/>
      <c r="W490" s="24"/>
      <c r="X490" s="24"/>
      <c r="Y490" s="24"/>
    </row>
    <row r="491" ht="18" customHeight="1" spans="1:25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19"/>
      <c r="Q491" s="19"/>
      <c r="R491" s="19"/>
      <c r="S491" s="19"/>
      <c r="T491" s="19"/>
      <c r="U491" s="24"/>
      <c r="V491" s="24"/>
      <c r="W491" s="24"/>
      <c r="X491" s="24"/>
      <c r="Y491" s="24"/>
    </row>
    <row r="492" ht="18" customHeight="1" spans="1:25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19"/>
      <c r="Q492" s="19"/>
      <c r="R492" s="19"/>
      <c r="S492" s="19"/>
      <c r="T492" s="19"/>
      <c r="U492" s="24"/>
      <c r="V492" s="24"/>
      <c r="W492" s="24"/>
      <c r="X492" s="24"/>
      <c r="Y492" s="24"/>
    </row>
    <row r="493" ht="18" customHeight="1" spans="1:25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19"/>
      <c r="Q493" s="19"/>
      <c r="R493" s="19"/>
      <c r="S493" s="19"/>
      <c r="T493" s="19"/>
      <c r="U493" s="24"/>
      <c r="V493" s="24"/>
      <c r="W493" s="24"/>
      <c r="X493" s="24"/>
      <c r="Y493" s="24"/>
    </row>
    <row r="494" ht="18" customHeight="1" spans="1:25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19"/>
      <c r="Q494" s="19"/>
      <c r="R494" s="19"/>
      <c r="S494" s="19"/>
      <c r="T494" s="19"/>
      <c r="U494" s="24"/>
      <c r="V494" s="24"/>
      <c r="W494" s="24"/>
      <c r="X494" s="24"/>
      <c r="Y494" s="24"/>
    </row>
    <row r="495" ht="18" customHeight="1" spans="1:25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19"/>
      <c r="Q495" s="19"/>
      <c r="R495" s="19"/>
      <c r="S495" s="19"/>
      <c r="T495" s="19"/>
      <c r="U495" s="24"/>
      <c r="V495" s="24"/>
      <c r="W495" s="24"/>
      <c r="X495" s="24"/>
      <c r="Y495" s="24"/>
    </row>
    <row r="496" ht="18" customHeight="1" spans="1:25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19"/>
      <c r="Q496" s="19"/>
      <c r="R496" s="19"/>
      <c r="S496" s="19"/>
      <c r="T496" s="19"/>
      <c r="U496" s="24"/>
      <c r="V496" s="24"/>
      <c r="W496" s="24"/>
      <c r="X496" s="24"/>
      <c r="Y496" s="24"/>
    </row>
    <row r="497" ht="18" customHeight="1" spans="1:25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19"/>
      <c r="Q497" s="19"/>
      <c r="R497" s="19"/>
      <c r="S497" s="19"/>
      <c r="T497" s="19"/>
      <c r="U497" s="24"/>
      <c r="V497" s="24"/>
      <c r="W497" s="24"/>
      <c r="X497" s="24"/>
      <c r="Y497" s="24"/>
    </row>
    <row r="498" ht="18" customHeight="1" spans="1:25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19"/>
      <c r="Q498" s="19"/>
      <c r="R498" s="19"/>
      <c r="S498" s="19"/>
      <c r="T498" s="19"/>
      <c r="U498" s="24"/>
      <c r="V498" s="24"/>
      <c r="W498" s="24"/>
      <c r="X498" s="24"/>
      <c r="Y498" s="24"/>
    </row>
    <row r="499" ht="18" customHeight="1" spans="1:25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19"/>
      <c r="Q499" s="19"/>
      <c r="R499" s="19"/>
      <c r="S499" s="19"/>
      <c r="T499" s="19"/>
      <c r="U499" s="24"/>
      <c r="V499" s="24"/>
      <c r="W499" s="24"/>
      <c r="X499" s="24"/>
      <c r="Y499" s="24"/>
    </row>
    <row r="500" ht="18" customHeight="1" spans="1:25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19"/>
      <c r="Q500" s="19"/>
      <c r="R500" s="19"/>
      <c r="S500" s="19"/>
      <c r="T500" s="19"/>
      <c r="U500" s="24"/>
      <c r="V500" s="24"/>
      <c r="W500" s="24"/>
      <c r="X500" s="24"/>
      <c r="Y500" s="24"/>
    </row>
    <row r="501" ht="18" customHeight="1" spans="1:25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19"/>
      <c r="Q501" s="19"/>
      <c r="R501" s="19"/>
      <c r="S501" s="19"/>
      <c r="T501" s="19"/>
      <c r="U501" s="24"/>
      <c r="V501" s="24"/>
      <c r="W501" s="24"/>
      <c r="X501" s="24"/>
      <c r="Y501" s="24"/>
    </row>
    <row r="502" ht="18" customHeight="1" spans="1:25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19"/>
      <c r="Q502" s="19"/>
      <c r="R502" s="19"/>
      <c r="S502" s="19"/>
      <c r="T502" s="19"/>
      <c r="U502" s="24"/>
      <c r="V502" s="24"/>
      <c r="W502" s="24"/>
      <c r="X502" s="24"/>
      <c r="Y502" s="24"/>
    </row>
    <row r="503" ht="18" customHeight="1" spans="1:25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19"/>
      <c r="Q503" s="19"/>
      <c r="R503" s="19"/>
      <c r="S503" s="19"/>
      <c r="T503" s="19"/>
      <c r="U503" s="24"/>
      <c r="V503" s="24"/>
      <c r="W503" s="24"/>
      <c r="X503" s="24"/>
      <c r="Y503" s="24"/>
    </row>
    <row r="504" ht="18" customHeight="1" spans="1:25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19"/>
      <c r="Q504" s="19"/>
      <c r="R504" s="19"/>
      <c r="S504" s="19"/>
      <c r="T504" s="19"/>
      <c r="U504" s="24"/>
      <c r="V504" s="24"/>
      <c r="W504" s="24"/>
      <c r="X504" s="24"/>
      <c r="Y504" s="24"/>
    </row>
    <row r="505" ht="18" customHeight="1" spans="1:25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19"/>
      <c r="Q505" s="19"/>
      <c r="R505" s="19"/>
      <c r="S505" s="19"/>
      <c r="T505" s="19"/>
      <c r="U505" s="24"/>
      <c r="V505" s="24"/>
      <c r="W505" s="24"/>
      <c r="X505" s="24"/>
      <c r="Y505" s="24"/>
    </row>
    <row r="506" ht="18" customHeight="1" spans="1:25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19"/>
      <c r="Q506" s="19"/>
      <c r="R506" s="19"/>
      <c r="S506" s="19"/>
      <c r="T506" s="19"/>
      <c r="U506" s="24"/>
      <c r="V506" s="24"/>
      <c r="W506" s="24"/>
      <c r="X506" s="24"/>
      <c r="Y506" s="24"/>
    </row>
    <row r="507" ht="18" customHeight="1" spans="1:25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19"/>
      <c r="Q507" s="19"/>
      <c r="R507" s="19"/>
      <c r="S507" s="19"/>
      <c r="T507" s="19"/>
      <c r="U507" s="24"/>
      <c r="V507" s="24"/>
      <c r="W507" s="24"/>
      <c r="X507" s="24"/>
      <c r="Y507" s="24"/>
    </row>
  </sheetData>
  <mergeCells count="384">
    <mergeCell ref="A1:C1"/>
    <mergeCell ref="D1:J1"/>
    <mergeCell ref="K1:AK1"/>
    <mergeCell ref="P4:T4"/>
    <mergeCell ref="U4:Y4"/>
    <mergeCell ref="A7:A22"/>
    <mergeCell ref="B7:B22"/>
    <mergeCell ref="C7:C22"/>
    <mergeCell ref="D7:D22"/>
    <mergeCell ref="E7:E22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A23:A88"/>
    <mergeCell ref="B23:B28"/>
    <mergeCell ref="C23:C28"/>
    <mergeCell ref="D23:D28"/>
    <mergeCell ref="E23:E28"/>
    <mergeCell ref="F23:F24"/>
    <mergeCell ref="G23:G24"/>
    <mergeCell ref="F25:F26"/>
    <mergeCell ref="G25:G26"/>
    <mergeCell ref="F27:F28"/>
    <mergeCell ref="G27:G28"/>
    <mergeCell ref="B29:B34"/>
    <mergeCell ref="C29:C34"/>
    <mergeCell ref="D29:D34"/>
    <mergeCell ref="E29:E34"/>
    <mergeCell ref="F29:F30"/>
    <mergeCell ref="G29:G30"/>
    <mergeCell ref="F31:F32"/>
    <mergeCell ref="G31:G32"/>
    <mergeCell ref="F33:F34"/>
    <mergeCell ref="G33:G34"/>
    <mergeCell ref="B35:B46"/>
    <mergeCell ref="C35:C46"/>
    <mergeCell ref="D35:D46"/>
    <mergeCell ref="E35:E46"/>
    <mergeCell ref="F35:F36"/>
    <mergeCell ref="G35:G36"/>
    <mergeCell ref="F37:F38"/>
    <mergeCell ref="G37:G38"/>
    <mergeCell ref="F39:F40"/>
    <mergeCell ref="G39:G40"/>
    <mergeCell ref="F41:F42"/>
    <mergeCell ref="G41:G42"/>
    <mergeCell ref="F43:F44"/>
    <mergeCell ref="G43:G44"/>
    <mergeCell ref="F45:F46"/>
    <mergeCell ref="G45:G46"/>
    <mergeCell ref="B47:B64"/>
    <mergeCell ref="C47:C64"/>
    <mergeCell ref="D47:D64"/>
    <mergeCell ref="E47:E64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F59:F60"/>
    <mergeCell ref="G59:G60"/>
    <mergeCell ref="F61:F62"/>
    <mergeCell ref="G61:G62"/>
    <mergeCell ref="F63:F64"/>
    <mergeCell ref="G63:G64"/>
    <mergeCell ref="B65:B76"/>
    <mergeCell ref="C65:C76"/>
    <mergeCell ref="D65:D76"/>
    <mergeCell ref="E65:E76"/>
    <mergeCell ref="F65:F66"/>
    <mergeCell ref="G65:G66"/>
    <mergeCell ref="F67:F68"/>
    <mergeCell ref="G67:G68"/>
    <mergeCell ref="F69:F70"/>
    <mergeCell ref="G69:G70"/>
    <mergeCell ref="F71:F72"/>
    <mergeCell ref="G71:G72"/>
    <mergeCell ref="F73:F74"/>
    <mergeCell ref="G73:G74"/>
    <mergeCell ref="F75:F76"/>
    <mergeCell ref="G75:G76"/>
    <mergeCell ref="B77:B88"/>
    <mergeCell ref="C77:C88"/>
    <mergeCell ref="D77:D88"/>
    <mergeCell ref="E77:E88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A89:A108"/>
    <mergeCell ref="B89:B108"/>
    <mergeCell ref="C89:C108"/>
    <mergeCell ref="D89:D108"/>
    <mergeCell ref="E89:E10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A109:A172"/>
    <mergeCell ref="B109:B116"/>
    <mergeCell ref="C109:C116"/>
    <mergeCell ref="D109:D116"/>
    <mergeCell ref="E109:E116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B117:B124"/>
    <mergeCell ref="C117:C124"/>
    <mergeCell ref="D117:D124"/>
    <mergeCell ref="E117:E124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32"/>
    <mergeCell ref="C125:C132"/>
    <mergeCell ref="D125:D132"/>
    <mergeCell ref="E125:E132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B133:B140"/>
    <mergeCell ref="C133:C140"/>
    <mergeCell ref="D133:D140"/>
    <mergeCell ref="E133:E140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B141:B148"/>
    <mergeCell ref="C141:C148"/>
    <mergeCell ref="D141:D148"/>
    <mergeCell ref="E141:E148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B149:B156"/>
    <mergeCell ref="C149:C156"/>
    <mergeCell ref="D149:D156"/>
    <mergeCell ref="E149:E156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64"/>
    <mergeCell ref="C157:C164"/>
    <mergeCell ref="D157:D164"/>
    <mergeCell ref="E157:E164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B165:B172"/>
    <mergeCell ref="C165:C172"/>
    <mergeCell ref="D165:D172"/>
    <mergeCell ref="E165:E172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A173:A276"/>
    <mergeCell ref="B173:B206"/>
    <mergeCell ref="C173:C206"/>
    <mergeCell ref="D173:D206"/>
    <mergeCell ref="E173:E206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B207:B230"/>
    <mergeCell ref="C207:C230"/>
    <mergeCell ref="D207:D230"/>
    <mergeCell ref="E207:E230"/>
    <mergeCell ref="F207:F208"/>
    <mergeCell ref="G207:G208"/>
    <mergeCell ref="F209:F210"/>
    <mergeCell ref="G209:G210"/>
    <mergeCell ref="F211:F212"/>
    <mergeCell ref="G211:G21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B231:B234"/>
    <mergeCell ref="C231:C234"/>
    <mergeCell ref="D231:D234"/>
    <mergeCell ref="E231:E234"/>
    <mergeCell ref="F231:F232"/>
    <mergeCell ref="G231:G232"/>
    <mergeCell ref="F233:F234"/>
    <mergeCell ref="G233:G234"/>
    <mergeCell ref="B235:B242"/>
    <mergeCell ref="C235:C242"/>
    <mergeCell ref="D235:D242"/>
    <mergeCell ref="E235:E242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B243:B250"/>
    <mergeCell ref="C243:C250"/>
    <mergeCell ref="D243:D250"/>
    <mergeCell ref="E243:E250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B251:B258"/>
    <mergeCell ref="C251:C258"/>
    <mergeCell ref="D251:D258"/>
    <mergeCell ref="E251:E258"/>
    <mergeCell ref="F251:F252"/>
    <mergeCell ref="G251:G252"/>
    <mergeCell ref="F253:F254"/>
    <mergeCell ref="G253:G254"/>
    <mergeCell ref="F255:F256"/>
    <mergeCell ref="G255:G256"/>
    <mergeCell ref="F257:F258"/>
    <mergeCell ref="G257:G258"/>
    <mergeCell ref="B259:B260"/>
    <mergeCell ref="C259:C260"/>
    <mergeCell ref="D259:D260"/>
    <mergeCell ref="E259:E260"/>
    <mergeCell ref="F259:F260"/>
    <mergeCell ref="G259:G260"/>
    <mergeCell ref="B261:B262"/>
    <mergeCell ref="C261:C262"/>
    <mergeCell ref="D261:D262"/>
    <mergeCell ref="E261:E262"/>
    <mergeCell ref="F261:F262"/>
    <mergeCell ref="G261:G262"/>
    <mergeCell ref="B263:B268"/>
    <mergeCell ref="C263:C268"/>
    <mergeCell ref="D263:D268"/>
    <mergeCell ref="E263:E268"/>
    <mergeCell ref="F263:F264"/>
    <mergeCell ref="G263:G264"/>
    <mergeCell ref="F265:F266"/>
    <mergeCell ref="G265:G266"/>
    <mergeCell ref="F267:F268"/>
    <mergeCell ref="G267:G268"/>
    <mergeCell ref="B269:B276"/>
    <mergeCell ref="C269:C276"/>
    <mergeCell ref="D269:D276"/>
    <mergeCell ref="E269:E276"/>
    <mergeCell ref="F269:F270"/>
    <mergeCell ref="G269:G270"/>
    <mergeCell ref="F271:F272"/>
    <mergeCell ref="G271:G272"/>
    <mergeCell ref="F273:F274"/>
    <mergeCell ref="G273:G274"/>
    <mergeCell ref="F275:F276"/>
    <mergeCell ref="G275:G27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2026-09-17T14:34:42Z</dcterms:created>
  <dcterms:modified xsi:type="dcterms:W3CDTF">2026-09-17T14:34:42Z</dcterms:modified>
</cp:coreProperties>
</file>