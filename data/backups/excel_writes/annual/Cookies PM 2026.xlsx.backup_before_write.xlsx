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/>
</workbook>
</file>

<file path=xl/sharedStrings.xml><?xml version="1.0" encoding="utf-8"?>
<sst xmlns="http://schemas.openxmlformats.org/spreadsheetml/2006/main" count="1607" uniqueCount="480">
  <si>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</si>
  <si>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</si>
  <si>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</si>
  <si>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</si>
  <si>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</si>
  <si>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</si>
  <si>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</si>
  <si>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</si>
  <si>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</si>
  <si>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</si>
  <si>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</si>
  <si>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</si>
  <si>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</si>
  <si>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</si>
  <si>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</si>
  <si>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</si>
  <si>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>Cookies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</si>
  <si>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</si>
  <si>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</si>
  <si>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</si>
  <si>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</si>
  <si>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</si>
  <si>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</si>
  <si>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</si>
  <si>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</si>
  <si>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</si>
  <si>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</si>
  <si>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</si>
  <si>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</si>
  <si>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</si>
  <si>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</si>
  <si>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</si>
  <si>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</si>
  <si>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</si>
  <si>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</si>
  <si>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</si>
  <si>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</si>
  <si>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</si>
  <si>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</si>
  <si>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</si>
  <si>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</si>
  <si>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</si>
  <si>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</si>
  <si>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</si>
  <si>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</si>
  <si>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</si>
  <si>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</si>
  <si>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</si>
  <si>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</si>
  <si>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</si>
  <si>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</si>
  <si>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</si>
  <si>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</si>
  <si>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</si>
  <si>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</si>
  <si>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</si>
  <si>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</si>
  <si>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</si>
  <si>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</si>
  <si>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</si>
  <si>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</si>
  <si>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</si>
  <si>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</si>
  <si>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</si>
  <si>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</si>
  <si>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</si>
  <si>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</si>
  <si>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Type</t>
  </si>
  <si>
    <t>Part</t>
  </si>
  <si>
    <t>Maintenance Task</t>
  </si>
  <si>
    <t>Row Type</t>
  </si>
  <si>
    <t>PM Code</t>
  </si>
  <si>
    <t>Frequency Value</t>
  </si>
  <si>
    <t>Frequency Text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</si>
  <si>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</si>
  <si>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</si>
  <si>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</si>
  <si>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</si>
  <si>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</si>
  <si>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</si>
  <si>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</si>
  <si>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</si>
  <si>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</si>
  <si>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</si>
  <si>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</si>
  <si>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</si>
  <si>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</si>
  <si>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</si>
  <si>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</si>
  <si>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</si>
  <si>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</si>
  <si>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</si>
  <si>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</si>
  <si>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</si>
  <si>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</si>
  <si>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</si>
  <si>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</si>
  <si>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</si>
  <si>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</si>
  <si>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</si>
  <si>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</si>
  <si>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</si>
  <si>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</si>
  <si>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</si>
  <si>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</si>
  <si>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</si>
  <si>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</si>
  <si>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</si>
  <si>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</si>
  <si>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</si>
  <si>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</si>
  <si>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</si>
  <si>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</si>
  <si>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</si>
  <si>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</si>
  <si>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</si>
  <si>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</si>
  <si>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</si>
  <si>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</si>
  <si>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</si>
  <si>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</si>
  <si>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</si>
  <si>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</si>
  <si>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</si>
  <si>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</si>
  <si>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</si>
  <si>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</si>
  <si>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</si>
  <si>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</si>
  <si>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</si>
  <si>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Mixer</t>
  </si>
  <si>
    <t>C1</t>
  </si>
  <si>
    <t>C1 Mixer</t>
  </si>
  <si>
    <t>Diosna</t>
  </si>
  <si>
    <t>Electric panel</t>
  </si>
  <si>
    <t>Check swiches,alarm lamp and all caple</t>
  </si>
  <si>
    <t>planed</t>
  </si>
  <si>
    <t>Calendar</t>
  </si>
  <si>
    <t>372dc36b-c7a8-49fb-a7df-e1a136cc05f7</t>
  </si>
  <si>
    <t>done</t>
  </si>
  <si>
    <t>Motor</t>
  </si>
  <si>
    <t>Check bearing and vibration</t>
  </si>
  <si>
    <t>08d7e267-bf15-4615-a9c4-ff088276dda5</t>
  </si>
  <si>
    <t xml:space="preserve">Bowel gear </t>
  </si>
  <si>
    <t>Change oil of gear box</t>
  </si>
  <si>
    <t>10000 hr</t>
  </si>
  <si>
    <t>845680a0-5c75-497d-8dfb-cbfc88a8fe6c</t>
  </si>
  <si>
    <t xml:space="preserve">Tool bearing, Hydraulic Cylinde, tool gear&amp; Tool Drive </t>
  </si>
  <si>
    <t>Greasing</t>
  </si>
  <si>
    <t>6000 hr</t>
  </si>
  <si>
    <t>8b4b02bf-a1c6-4eaa-8b32-1ce6f31af135</t>
  </si>
  <si>
    <t>Hydraulic cylinder</t>
  </si>
  <si>
    <t>1000 hr</t>
  </si>
  <si>
    <t>9bed073d-8ebe-4d68-a46d-bd7d8cf2b08a</t>
  </si>
  <si>
    <t>Clow Bolts</t>
  </si>
  <si>
    <t>df541b62-0e6a-47da-b823-13af91159ed3</t>
  </si>
  <si>
    <t>Bowel gear swiveral bearing &amp;Toll beearing</t>
  </si>
  <si>
    <t>d44e0116-e9c6-4e66-b661-38724dbe91b0</t>
  </si>
  <si>
    <t>Gripper clamping surface</t>
  </si>
  <si>
    <t>40 hr</t>
  </si>
  <si>
    <t>38cd4e4d-e684-4406-afe3-ff037d0c2f17</t>
  </si>
  <si>
    <t>Forming</t>
  </si>
  <si>
    <t>C2</t>
  </si>
  <si>
    <t>Egg wash</t>
  </si>
  <si>
    <t>C2 Egg wash</t>
  </si>
  <si>
    <t>Meinke</t>
  </si>
  <si>
    <t>Clean, swiches,alarm lamp and all caple</t>
  </si>
  <si>
    <t>ce84ec43-05b0-4f89-b3d1-6d8d7de7068b</t>
  </si>
  <si>
    <t>Gear box</t>
  </si>
  <si>
    <t>Check oil level ,sound and vibration</t>
  </si>
  <si>
    <t>a7b0f782-f221-4de2-99c5-e1c8edb94905</t>
  </si>
  <si>
    <t>Bearing</t>
  </si>
  <si>
    <t>Change bearing</t>
  </si>
  <si>
    <t>57bf9e37-4e7c-4035-97a9-1a400f1de21e</t>
  </si>
  <si>
    <t>C3</t>
  </si>
  <si>
    <t>Sprinkler unit</t>
  </si>
  <si>
    <t>C3 Sprinkler unit</t>
  </si>
  <si>
    <t>56e59373-8872-4fdf-b4a1-d6df83ad19e2</t>
  </si>
  <si>
    <t>bfb33a07-edd9-40a6-81be-37002e9a1e97</t>
  </si>
  <si>
    <t>Chain and gear</t>
  </si>
  <si>
    <t>Lubricate</t>
  </si>
  <si>
    <t>66dc8ba0-e748-402f-9344-a47c1c7e69ba</t>
  </si>
  <si>
    <t>C4</t>
  </si>
  <si>
    <t>Rotary shape machine</t>
  </si>
  <si>
    <t>C4 Rotary shape machine</t>
  </si>
  <si>
    <t>Buhler</t>
  </si>
  <si>
    <t>d8e36478-3593-4fef-808e-99089f78a947</t>
  </si>
  <si>
    <t>Gear &amp; Gear box</t>
  </si>
  <si>
    <t>check oil of gear box heck gearwheels and tooth racks; lubricate if require</t>
  </si>
  <si>
    <t>2000 hr</t>
  </si>
  <si>
    <t>0506376e-d4a7-4e96-8a60-6aa1e1be457b</t>
  </si>
  <si>
    <t>3e5d7197-726f-48f9-923b-c75ab99e115c</t>
  </si>
  <si>
    <t>Chain</t>
  </si>
  <si>
    <t>low-clean light barriers and reflectors with compressed air, Check slippage of conveyor belts &amp; pneumatic</t>
  </si>
  <si>
    <t>120 hr</t>
  </si>
  <si>
    <t>35c2668b-d097-4ec1-9506-def7f3ae8969</t>
  </si>
  <si>
    <t>Safety devices</t>
  </si>
  <si>
    <t xml:space="preserve"> Check functioning of safety devices 
and switches (emergency stop button)</t>
  </si>
  <si>
    <t>5000 hr</t>
  </si>
  <si>
    <t>c177e63c-77b2-40cb-a125-b35ea4e24aa1</t>
  </si>
  <si>
    <t>Belt</t>
  </si>
  <si>
    <t xml:space="preserve">control &amp; adjust conveyor belt &amp; scraper </t>
  </si>
  <si>
    <t>54974292-ae89-48cd-9f20-a1c91037466d</t>
  </si>
  <si>
    <t>C5</t>
  </si>
  <si>
    <t>Vanilla ring machine</t>
  </si>
  <si>
    <t>C5 Vanilla ring machine</t>
  </si>
  <si>
    <t>035d2d5d-349c-4856-9da2-370b81d45041</t>
  </si>
  <si>
    <t>Gear boxes shaft</t>
  </si>
  <si>
    <t xml:space="preserve">Change </t>
  </si>
  <si>
    <t>05e35d30-b072-4db9-94d1-979098eb288d</t>
  </si>
  <si>
    <t>Bearing &amp; shafts</t>
  </si>
  <si>
    <t>Change bearing grease, shaft seal and elastic rim gear</t>
  </si>
  <si>
    <t>6f1e4ecb-8572-4e01-8d02-029acb0afbb4</t>
  </si>
  <si>
    <t>linear guide</t>
  </si>
  <si>
    <t>215434fe-4f06-4037-850f-4e7412ed8902</t>
  </si>
  <si>
    <t>Spindle And guide spindle</t>
  </si>
  <si>
    <t>Check and Greasing</t>
  </si>
  <si>
    <t>81935dcc-45e0-48a0-b5c5-d31e7da932d3</t>
  </si>
  <si>
    <t>Cam discs and cam rollers</t>
  </si>
  <si>
    <t>a754c90e-214d-46ca-bae6-c5ff2bed2ea2</t>
  </si>
  <si>
    <t>Greasin nozzles</t>
  </si>
  <si>
    <t>bcc25b43-9cf4-46f9-bb02-222a7f5baed1</t>
  </si>
  <si>
    <t>Rotating parts</t>
  </si>
  <si>
    <t>Greasing rotatingg parts</t>
  </si>
  <si>
    <t>7d409da7-85b6-44e3-b933-657f970f0512</t>
  </si>
  <si>
    <t>Electric</t>
  </si>
  <si>
    <t>e13521c7-5987-46bb-8eb1-e4a557b162e1</t>
  </si>
  <si>
    <t>C6</t>
  </si>
  <si>
    <t>Wire cut 1</t>
  </si>
  <si>
    <t>C6 Wire cut 1</t>
  </si>
  <si>
    <t>electric panel</t>
  </si>
  <si>
    <t>55be8a43-2a60-4596-bac4-2f5104aebb4a</t>
  </si>
  <si>
    <t>gear box</t>
  </si>
  <si>
    <t>7e07142d-6e89-42e0-ae64-fe8cf05f9e7d</t>
  </si>
  <si>
    <t>depositor head points</t>
  </si>
  <si>
    <t>8 hr</t>
  </si>
  <si>
    <t>a299ed4a-0212-4f24-828e-d85b47c6fdce</t>
  </si>
  <si>
    <t>dough conveying mechanism</t>
  </si>
  <si>
    <t>f5f5f2de-c538-41bc-83f2-818c13e75964</t>
  </si>
  <si>
    <t>bronze nut dough conveying mechanism</t>
  </si>
  <si>
    <t>4e4782a4-c513-4766-b1eb-199a9943418d</t>
  </si>
  <si>
    <t xml:space="preserve">Gears </t>
  </si>
  <si>
    <t>773a324d-1c7b-4f1c-bf87-ba6025e48837</t>
  </si>
  <si>
    <t>C7</t>
  </si>
  <si>
    <t>Wire cut 2</t>
  </si>
  <si>
    <t>C7 Wire cut 2</t>
  </si>
  <si>
    <t>8af00490-0356-4009-8caf-976367ace256</t>
  </si>
  <si>
    <t>7e8373d7-a337-43e8-a37c-6be7c4bae6f3</t>
  </si>
  <si>
    <t>Depositor head points</t>
  </si>
  <si>
    <t>0afa1d00-5729-43fb-83df-f461f119fc00</t>
  </si>
  <si>
    <t>Dough conveying mechanism</t>
  </si>
  <si>
    <t>37092152-63fb-4d33-8fc3-a59f45303da6</t>
  </si>
  <si>
    <t>Bronze nut dough conveying mechanism</t>
  </si>
  <si>
    <t>27753fd8-885b-44cf-ace9-1ea7bc2f46b8</t>
  </si>
  <si>
    <t>a4b26e2b-af2e-4f4b-af72-dffa5ec8d77e</t>
  </si>
  <si>
    <t>Baking</t>
  </si>
  <si>
    <t>C8</t>
  </si>
  <si>
    <t>oven</t>
  </si>
  <si>
    <t>C8 oven</t>
  </si>
  <si>
    <t>Meinke/Buhler</t>
  </si>
  <si>
    <t>dbaf6c7b-b303-4b95-b0fc-2dc443e19464</t>
  </si>
  <si>
    <t>Burner</t>
  </si>
  <si>
    <t>Check the burner</t>
  </si>
  <si>
    <t>e95bddf4-49f5-425c-b906-9dc2e4497669</t>
  </si>
  <si>
    <t>Clean the Burner</t>
  </si>
  <si>
    <t>0da2319f-c505-4b20-9c17-1dc79ec048d4</t>
  </si>
  <si>
    <t>38edd36f-6ec3-46c0-a2b9-1e69dec97f26</t>
  </si>
  <si>
    <t>1667062e-1819-479f-9cd2-9001a55d86c2</t>
  </si>
  <si>
    <t>Bearing and rotating parts</t>
  </si>
  <si>
    <t>Grease all bearing and rotating Parts</t>
  </si>
  <si>
    <t>7eb00af3-ee9c-42a6-98dc-c295a24b4728</t>
  </si>
  <si>
    <t>Rollers</t>
  </si>
  <si>
    <t>Check the bearing of all rollers</t>
  </si>
  <si>
    <t>fd11d06d-f566-4158-8147-ab291e8323d8</t>
  </si>
  <si>
    <t>chain</t>
  </si>
  <si>
    <t>Greasing the chain</t>
  </si>
  <si>
    <t>52502464-c751-4600-a0c9-1dc4f93dea66</t>
  </si>
  <si>
    <t>Blowers</t>
  </si>
  <si>
    <t>Check vibration</t>
  </si>
  <si>
    <t>080002f4-113e-4f36-8c74-68fe54bde313</t>
  </si>
  <si>
    <t>Steel belt</t>
  </si>
  <si>
    <t>Check rivits</t>
  </si>
  <si>
    <t>31637892-bfd7-4d1e-9242-6507f6f6b32b</t>
  </si>
  <si>
    <t>Conveyor</t>
  </si>
  <si>
    <t>C9</t>
  </si>
  <si>
    <t>Wire mesh conveyor</t>
  </si>
  <si>
    <t>C9 Wire mesh conveyor</t>
  </si>
  <si>
    <t>cf59cc3c-4ec2-41e8-b0e4-6613c6b431a3</t>
  </si>
  <si>
    <t>a2e4e565-3187-4ac8-8b8d-ee1e4e22b6eb</t>
  </si>
  <si>
    <t>019982e5-836c-4111-86ec-56fd734cbf08</t>
  </si>
  <si>
    <t>Check the bearing of all rollers, belt</t>
  </si>
  <si>
    <t>077d0a64-188a-40b5-b05d-91e16c379712</t>
  </si>
  <si>
    <t>C10</t>
  </si>
  <si>
    <t>Conveyor1</t>
  </si>
  <si>
    <t>C10 Conveyor1</t>
  </si>
  <si>
    <t>Local</t>
  </si>
  <si>
    <t>clean, swiches,alarm lamp and all caple</t>
  </si>
  <si>
    <t>679cd308-c3b9-4d7a-971b-d1021f4ba38c</t>
  </si>
  <si>
    <t>check oil level ,sound and vibration</t>
  </si>
  <si>
    <t>4f4ef520-14f4-4e8f-9ed3-6ba4287afe0b</t>
  </si>
  <si>
    <t>change oil of gear box</t>
  </si>
  <si>
    <t>b2cbd879-b477-48ad-b4d5-af2165af2e09</t>
  </si>
  <si>
    <t>Rollers &amp; belt</t>
  </si>
  <si>
    <t>check the bearing of all rollers &amp; Belt</t>
  </si>
  <si>
    <t>6a05dd7e-5ec3-4622-94fb-098a53cf7ce2</t>
  </si>
  <si>
    <t>C11</t>
  </si>
  <si>
    <t>Conveyor2</t>
  </si>
  <si>
    <t>C11 Conveyor2</t>
  </si>
  <si>
    <t>359c6d4f-c4c0-4a3d-95dc-6b968baa7dd2</t>
  </si>
  <si>
    <t>5343bdba-7f40-41bb-ab94-da5274a62fc6</t>
  </si>
  <si>
    <t>81352822-15cb-483c-9a1c-db050ad23f00</t>
  </si>
  <si>
    <t>d8698edf-0c15-4ea0-bb80-d673f5e30a57</t>
  </si>
  <si>
    <t>C12</t>
  </si>
  <si>
    <t>Conveyor3</t>
  </si>
  <si>
    <t>C12 Conveyor3</t>
  </si>
  <si>
    <t>92c3c26b-dee1-45a5-9e3c-cb8941051e8f</t>
  </si>
  <si>
    <t>1105f235-7e8f-4d3d-8c3e-60d1fc036ada</t>
  </si>
  <si>
    <t>8461378c-5d9a-4309-a955-737be4e7a306</t>
  </si>
  <si>
    <t>dfaf6672-aff7-46cc-bb3c-63bc814ac995</t>
  </si>
  <si>
    <t>C13</t>
  </si>
  <si>
    <t>Conveyor4</t>
  </si>
  <si>
    <t>C13 Conveyor4</t>
  </si>
  <si>
    <t>269f0886-76ab-4fbe-b933-12a250598b27</t>
  </si>
  <si>
    <t>dcd77060-4f51-4cbd-a7cf-aff5ee46b2bb</t>
  </si>
  <si>
    <t>6a805ed8-7edf-41fa-9eeb-15ef3113f2c5</t>
  </si>
  <si>
    <t>1260e11c-fd75-42d9-a923-34bb5fd8b595</t>
  </si>
  <si>
    <t>C14</t>
  </si>
  <si>
    <t>Conveyor5</t>
  </si>
  <si>
    <t>C14 Conveyor5</t>
  </si>
  <si>
    <t>073dd1c3-6da8-4500-80ab-64448343d408</t>
  </si>
  <si>
    <t>9b2bcde6-7d94-47ce-9243-35943026988c</t>
  </si>
  <si>
    <t>04528492-3753-4cae-8902-4971ad9f70fe</t>
  </si>
  <si>
    <t>ba743b08-97ec-421c-a442-168c3bfddbf8</t>
  </si>
  <si>
    <t>C15</t>
  </si>
  <si>
    <t>Conveyor6</t>
  </si>
  <si>
    <t>C15 Conveyor6</t>
  </si>
  <si>
    <t>dcd3964b-af4c-44fa-ac73-2a470c39fb14</t>
  </si>
  <si>
    <t>66ba0311-aeec-4c82-b72d-bf06bea2ea3d</t>
  </si>
  <si>
    <t>6948cc64-7ddd-486e-8faf-9d9bbadfc3a1</t>
  </si>
  <si>
    <t>fed08dd9-4d5f-4f39-8c53-42b50375300f</t>
  </si>
  <si>
    <t>C16</t>
  </si>
  <si>
    <t>Conveyor7</t>
  </si>
  <si>
    <t>C16 Conveyor7</t>
  </si>
  <si>
    <t>144ad42d-640e-4ea4-952f-10a405508b89</t>
  </si>
  <si>
    <t>059a8b6c-7d41-4150-8c98-15753cbe7e3d</t>
  </si>
  <si>
    <t>ed60752b-9dcd-4759-ac80-a730706a487b</t>
  </si>
  <si>
    <t>3255a561-4daf-415f-8754-f9b57b7b2cc3</t>
  </si>
  <si>
    <t>Packaging</t>
  </si>
  <si>
    <t>C17</t>
  </si>
  <si>
    <t>Flow pack mashine1</t>
  </si>
  <si>
    <t>C17 Flow pack mashine1</t>
  </si>
  <si>
    <t>cavana 01</t>
  </si>
  <si>
    <t>clean, swiches,alarm lamp and all caple &amp; fans</t>
  </si>
  <si>
    <t>8f577313-2db8-4873-9c67-02dcb5724045</t>
  </si>
  <si>
    <t>249b9d4e-58ad-42d6-b691-3bd3cbd6713a</t>
  </si>
  <si>
    <t>e394ce47-9fc1-42f3-b104-4bb9f334946f</t>
  </si>
  <si>
    <t>grease all bearing and rotating Parts</t>
  </si>
  <si>
    <t>500 hr</t>
  </si>
  <si>
    <t>bf2314aa-15a0-4cd0-923d-fa7976ea6bdb</t>
  </si>
  <si>
    <t>lungtidunal sealing unit</t>
  </si>
  <si>
    <t>grease sealng wheels and bevel gear</t>
  </si>
  <si>
    <t>300 hr</t>
  </si>
  <si>
    <t>354d3d6e-b223-4238-b09b-783ef1a848e0</t>
  </si>
  <si>
    <t>Flab folder</t>
  </si>
  <si>
    <t>lubricate bevel gear</t>
  </si>
  <si>
    <t>1bf85fb9-6fec-4ab6-ab5e-2d98b3a8c8c3</t>
  </si>
  <si>
    <t>lubricate  flab folder</t>
  </si>
  <si>
    <t>a5aea696-0d2c-4ddc-8c13-1887fae8047e</t>
  </si>
  <si>
    <t>Check PIV Oil</t>
  </si>
  <si>
    <t>Check oil</t>
  </si>
  <si>
    <t>8b083340-1bdb-4b95-a50b-be707fc3594b</t>
  </si>
  <si>
    <t>Spur gears of jaws</t>
  </si>
  <si>
    <t>greasing the chain</t>
  </si>
  <si>
    <t>cbc71d42-ce5f-4dda-a132-dd3210f439ea</t>
  </si>
  <si>
    <t>Discharge unit</t>
  </si>
  <si>
    <t>grease roller</t>
  </si>
  <si>
    <t>200 hr</t>
  </si>
  <si>
    <t>ffdd2109-9e00-493a-b236-13748ae412c6</t>
  </si>
  <si>
    <t xml:space="preserve">Pusher &amp; Feeding chain </t>
  </si>
  <si>
    <t>lubricate the chain</t>
  </si>
  <si>
    <t>a2b10213-9d2c-43d8-8c4e-4cc701ca743c</t>
  </si>
  <si>
    <t xml:space="preserve">Cam &amp; Transimision Duel adjustment &amp;  internal gear </t>
  </si>
  <si>
    <t>greasing</t>
  </si>
  <si>
    <t>d623217c-886e-4fe0-b505-3bc7af4b7ed6</t>
  </si>
  <si>
    <t>Height adjustment screw</t>
  </si>
  <si>
    <t>ae0f5ddf-2836-4ea0-bd6b-2c1bca4733a2</t>
  </si>
  <si>
    <t>Pneumatic cercuit</t>
  </si>
  <si>
    <t xml:space="preserve">check air leakage </t>
  </si>
  <si>
    <t>0f659bc0-b665-4dbb-a478-021009c8771e</t>
  </si>
  <si>
    <t>check hose and filter and regulator</t>
  </si>
  <si>
    <t>908cf415-e77c-49bd-ba30-87e0c51c0262</t>
  </si>
  <si>
    <t>Exit conveyors</t>
  </si>
  <si>
    <t>Check the conveyors</t>
  </si>
  <si>
    <t>0ef5b571-3e8f-4ecb-9b97-097f38dcd494</t>
  </si>
  <si>
    <t>Jaws</t>
  </si>
  <si>
    <t>check jaws and sealing</t>
  </si>
  <si>
    <t>6eaca766-1ead-456b-b5ce-9f3660d380be</t>
  </si>
  <si>
    <t>C18</t>
  </si>
  <si>
    <t>Flow pack mashine2</t>
  </si>
  <si>
    <t>C18 Flow pack mashine2</t>
  </si>
  <si>
    <t>Cavana05</t>
  </si>
  <si>
    <t>be99e9a7-d80d-4463-b095-2be86f70908d</t>
  </si>
  <si>
    <t>Pusher &amp; Transmition and feeding chain</t>
  </si>
  <si>
    <t>27ae532d-c780-4f79-8ec9-55e29dbf424c</t>
  </si>
  <si>
    <t xml:space="preserve">Reduction unitl sealing shafet </t>
  </si>
  <si>
    <t>Oil</t>
  </si>
  <si>
    <t>f62843b3-7ece-4ff5-b488-6dd8a646ea00</t>
  </si>
  <si>
    <t>Bearing supports</t>
  </si>
  <si>
    <t>0f08c06e-d49e-469b-85e2-f99aa8d4334e</t>
  </si>
  <si>
    <t>Sealing wheel</t>
  </si>
  <si>
    <t>0195f3be-c351-4a49-9d45-136b7586dc36</t>
  </si>
  <si>
    <t>ec2d04c9-2ea5-4250-90dc-49512e424efa</t>
  </si>
  <si>
    <t>Cylindrical and bevel gears</t>
  </si>
  <si>
    <t>421d6b25-3190-41bc-98b1-84d72ee8dcee</t>
  </si>
  <si>
    <t>9d4cea3e-fe60-421d-9c43-03820bd1a185</t>
  </si>
  <si>
    <t>Spur gear</t>
  </si>
  <si>
    <t>cbaf98fc-ece0-4091-bb2e-5b6bdbf5e343</t>
  </si>
  <si>
    <t xml:space="preserve">Check air leakage </t>
  </si>
  <si>
    <t>4b10521b-423a-4aac-9507-bf87c970f597</t>
  </si>
  <si>
    <t>Check hose and filter and regulator</t>
  </si>
  <si>
    <t>8e6c38de-4fbf-45da-a109-f70fd1caf51e</t>
  </si>
  <si>
    <t>Jaws &amp; belt</t>
  </si>
  <si>
    <t>Check jaws and sealing &amp;belts</t>
  </si>
  <si>
    <t>515e4803-dd9e-4f13-9bcd-7ad21bae715c</t>
  </si>
  <si>
    <t>C19</t>
  </si>
  <si>
    <t>Tape machine</t>
  </si>
  <si>
    <t>C19 Tape machine</t>
  </si>
  <si>
    <t>Shur</t>
  </si>
  <si>
    <t>Moving parts</t>
  </si>
  <si>
    <t>Greasing cam</t>
  </si>
  <si>
    <t>7ddcfc43-9df1-454e-a753-d6d53678bfe2</t>
  </si>
  <si>
    <t>piping valves, Gaskets</t>
  </si>
  <si>
    <t xml:space="preserve">Check leakage </t>
  </si>
  <si>
    <t>ed1f4daa-f94f-4f41-b44e-e3e3a7038d15</t>
  </si>
  <si>
    <t>C20</t>
  </si>
  <si>
    <t>Conveyor8</t>
  </si>
  <si>
    <t>C20 Conveyor8</t>
  </si>
  <si>
    <t>ebbd8583-c27f-4966-8f08-f57320a38112</t>
  </si>
  <si>
    <t>3ed92936-ed78-4a5b-8fa4-6253b4d19fa1</t>
  </si>
  <si>
    <t>c8f87aed-3ce3-490e-9bfc-dd24f4c7eb79</t>
  </si>
  <si>
    <t>c864da8f-207a-4440-a622-65bcb6fd3b15</t>
  </si>
  <si>
    <t>C21</t>
  </si>
  <si>
    <t>Conveyor9</t>
  </si>
  <si>
    <t>C21 Conveyor9</t>
  </si>
  <si>
    <t>0efce1c7-a9c5-43ed-95ce-8eeacdb25b38</t>
  </si>
  <si>
    <t>53cb6c32-3f20-48ff-8ef1-2f9171e79396</t>
  </si>
  <si>
    <t>8187f96d-563f-4dcf-adae-1bc200c0f6fd</t>
  </si>
  <si>
    <t>1405dd47-f7a2-41bf-98d0-ea00f4015584</t>
  </si>
  <si>
    <t>C22</t>
  </si>
  <si>
    <t>Conveyor10</t>
  </si>
  <si>
    <t>C22 Conveyor10</t>
  </si>
  <si>
    <t>5b7fa0b2-6749-47c5-9d7a-139bc1c68d72</t>
  </si>
  <si>
    <t>cdd8836c-3a41-46f3-9719-4666e97a10ca</t>
  </si>
  <si>
    <t>b88795bc-a2cf-41b4-a8f4-25d7cb2e3e5a</t>
  </si>
  <si>
    <t>f56ae1c7-f484-4456-b53f-66c831e0c79f</t>
  </si>
  <si>
    <t>C23</t>
  </si>
  <si>
    <t>Metal detector</t>
  </si>
  <si>
    <t>C23 Metal detector</t>
  </si>
  <si>
    <t>Loma system</t>
  </si>
  <si>
    <t>023c549e-70a3-43e6-bf6d-d2f5fccf8a5c</t>
  </si>
  <si>
    <t>C24</t>
  </si>
  <si>
    <t>Check weir</t>
  </si>
  <si>
    <t>C24 Check weir</t>
  </si>
  <si>
    <t>b890278c-e75d-4b32-a3af-b88b45db15ce</t>
  </si>
  <si>
    <t>C25</t>
  </si>
  <si>
    <t>Carton Sealer</t>
  </si>
  <si>
    <t>C25 Carton Sealer</t>
  </si>
  <si>
    <t>siat</t>
  </si>
  <si>
    <t>9b303b0e-b901-4841-a8b4-b74ffc326be5</t>
  </si>
  <si>
    <t>lubricate</t>
  </si>
  <si>
    <t>78c02bc6-5a58-4bc3-8b19-1c0c1435dff8</t>
  </si>
  <si>
    <t>Blade clreaning  &amp; roller shaft&amp;cutters</t>
  </si>
  <si>
    <t>ac319f68-af70-4eb9-8def-8eddeb60a21c</t>
  </si>
  <si>
    <t>C26</t>
  </si>
  <si>
    <t>C26 Conveyor</t>
  </si>
  <si>
    <t>Zultec</t>
  </si>
  <si>
    <t>f5aef82a-dfae-4b8d-b85e-e2eaade6706c</t>
  </si>
  <si>
    <t>12b83b00-29c3-4ecf-b750-9a92b04916e3</t>
  </si>
  <si>
    <t>de4ba0fa-5269-411a-b773-2694089480bf</t>
  </si>
  <si>
    <t>e2460b22-7a34-4318-9184-7171383ef0a9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</si>
</sst>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[Green][=6]&quot;✓ Done&quot;;;;"/>
  </numFmts>
  <fonts count="11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92D050"/>
      </patternFill>
    </fill>
    <fill>
      <patternFill patternType="solid">
        <fgColor rgb="FF002060"/>
      </patternFill>
    </fill>
    <fill>
      <patternFill patternType="solid">
        <fgColor rgb="FF275417"/>
      </patternFill>
    </fill>
    <fill>
      <patternFill patternType="solid">
        <fgColor rgb="FF00B0F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8" fillId="9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4" fontId="8" fillId="12" borderId="1" xfId="0" applyNumberFormat="1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customWidth="1"/>
    <col min="10" max="10" width="13" customWidth="1"/>
    <col min="11" max="12" width="16" customWidth="1"/>
    <col min="13" max="13" width="20" customWidth="1"/>
    <col min="14" max="14" width="14" customWidth="1"/>
    <col min="15" max="15" width="22" customWidth="1"/>
    <col min="16" max="67" width="8" customWidth="1"/>
    <col min="68" max="68" width="9" hidden="1" customWidth="1"/>
    <col min="69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7" x14ac:dyDescent="0.25">
      <c r="A3" s="6">
        <f>IFERROR(SUMPRODUCT((H7:H607="planed")*(B7:B607&lt;&gt;"")/COUNTIFS(B7:B607,B7:B607&amp;"",H7:H607,"planed")),0)</f>
      </c>
      <c r="B3" s="6">
        <f>COUNTIF(H7:H607,"planed")</f>
      </c>
      <c r="C3" s="6">
        <f>COUNTIFS(H7:H607,"planed",L7:L607,"Calendar",I7:I607,1)</f>
      </c>
      <c r="D3" s="6">
        <f>COUNTIFS(H7:H607,"planed",L7:L607,"Calendar",I7:I607,2)</f>
      </c>
      <c r="E3" s="6">
        <f>COUNTIFS(H7:H607,"planed",L7:L607,"Calendar",I7:I607,3)</f>
      </c>
      <c r="F3" s="6">
        <f>COUNTIFS(H7:H607,"planed",L7:L607,"Calendar",I7:I607,4)</f>
      </c>
      <c r="G3" s="6">
        <f>COUNTIFS(H7:H607,"planed",L7:L607,"Calendar",I7:I607,5)</f>
      </c>
      <c r="H3" s="6">
        <f>COUNTIFS(H7:H607,"planed",L7:L607,"Running 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8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5" spans="8:8" x14ac:dyDescent="0.25"/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28" customHeight="1" spans="1:69" x14ac:dyDescent="0.25">
      <c r="A7" s="9" t="s">
        <v>130</v>
      </c>
      <c r="B7" s="9" t="s">
        <v>131</v>
      </c>
      <c r="C7" s="9" t="s">
        <v>130</v>
      </c>
      <c r="D7" s="9" t="s">
        <v>132</v>
      </c>
      <c r="E7" s="9" t="s">
        <v>133</v>
      </c>
      <c r="F7" s="9" t="s">
        <v>134</v>
      </c>
      <c r="G7" s="10" t="s">
        <v>135</v>
      </c>
      <c r="H7" s="9" t="s">
        <v>136</v>
      </c>
      <c r="I7" s="9">
        <v>1</v>
      </c>
      <c r="J7" s="9">
        <v>1</v>
      </c>
      <c r="K7" s="9" t="s">
        <v>4</v>
      </c>
      <c r="L7" s="9" t="s">
        <v>137</v>
      </c>
      <c r="M7" s="9"/>
      <c r="N7" s="9"/>
      <c r="O7" s="10"/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1">
        <v>1</v>
      </c>
      <c r="AK7" s="11">
        <v>1</v>
      </c>
      <c r="AL7" s="11">
        <v>1</v>
      </c>
      <c r="AM7" s="11">
        <v>1</v>
      </c>
      <c r="AN7" s="11">
        <v>1</v>
      </c>
      <c r="AO7" s="11">
        <v>1</v>
      </c>
      <c r="AP7" s="11">
        <v>1</v>
      </c>
      <c r="AQ7" s="11">
        <v>1</v>
      </c>
      <c r="AR7" s="11">
        <v>1</v>
      </c>
      <c r="AS7" s="11">
        <v>1</v>
      </c>
      <c r="AT7" s="11">
        <v>1</v>
      </c>
      <c r="AU7" s="11">
        <v>1</v>
      </c>
      <c r="AV7" s="11">
        <v>1</v>
      </c>
      <c r="AW7" s="11">
        <v>1</v>
      </c>
      <c r="AX7" s="11">
        <v>1</v>
      </c>
      <c r="AY7" s="11">
        <v>1</v>
      </c>
      <c r="AZ7" s="11">
        <v>1</v>
      </c>
      <c r="BA7" s="11">
        <v>1</v>
      </c>
      <c r="BB7" s="11">
        <v>1</v>
      </c>
      <c r="BC7" s="11">
        <v>1</v>
      </c>
      <c r="BD7" s="11">
        <v>1</v>
      </c>
      <c r="BE7" s="11">
        <v>1</v>
      </c>
      <c r="BF7" s="11">
        <v>1</v>
      </c>
      <c r="BG7" s="11">
        <v>1</v>
      </c>
      <c r="BH7" s="11">
        <v>1</v>
      </c>
      <c r="BI7" s="11">
        <v>1</v>
      </c>
      <c r="BJ7" s="11">
        <v>1</v>
      </c>
      <c r="BK7" s="11">
        <v>1</v>
      </c>
      <c r="BL7" s="11">
        <v>1</v>
      </c>
      <c r="BM7" s="11">
        <v>1</v>
      </c>
      <c r="BN7" s="11">
        <v>1</v>
      </c>
      <c r="BO7" s="11">
        <v>1</v>
      </c>
      <c r="BP7" t="s">
        <v>131</v>
      </c>
      <c r="BQ7" t="s">
        <v>138</v>
      </c>
    </row>
    <row r="8" ht="18" customHeight="1" spans="1:69" x14ac:dyDescent="0.25">
      <c r="A8" s="9"/>
      <c r="B8" s="9"/>
      <c r="C8" s="9"/>
      <c r="D8" s="9"/>
      <c r="E8" s="9"/>
      <c r="F8" s="9"/>
      <c r="G8" s="10"/>
      <c r="H8" s="9" t="s">
        <v>139</v>
      </c>
      <c r="I8" s="9"/>
      <c r="J8" s="9"/>
      <c r="K8" s="9"/>
      <c r="L8" s="9"/>
      <c r="M8" s="9"/>
      <c r="N8" s="9"/>
      <c r="O8" s="1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t="s">
        <v>131</v>
      </c>
      <c r="BQ8" t="s">
        <v>138</v>
      </c>
    </row>
    <row r="9" ht="28" customHeight="1" spans="1:69" x14ac:dyDescent="0.25">
      <c r="A9" s="9"/>
      <c r="B9" s="9"/>
      <c r="C9" s="9"/>
      <c r="D9" s="9"/>
      <c r="E9" s="9"/>
      <c r="F9" s="9" t="s">
        <v>140</v>
      </c>
      <c r="G9" s="10" t="s">
        <v>141</v>
      </c>
      <c r="H9" s="9" t="s">
        <v>136</v>
      </c>
      <c r="I9" s="9">
        <v>1</v>
      </c>
      <c r="J9" s="9">
        <v>1</v>
      </c>
      <c r="K9" s="9" t="s">
        <v>4</v>
      </c>
      <c r="L9" s="9" t="s">
        <v>137</v>
      </c>
      <c r="M9" s="9"/>
      <c r="N9" s="9"/>
      <c r="O9" s="10"/>
      <c r="P9" s="11">
        <v>1</v>
      </c>
      <c r="Q9" s="11">
        <v>1</v>
      </c>
      <c r="R9" s="11">
        <v>1</v>
      </c>
      <c r="S9" s="11">
        <v>1</v>
      </c>
      <c r="T9" s="11">
        <v>1</v>
      </c>
      <c r="U9" s="11">
        <v>1</v>
      </c>
      <c r="V9" s="11">
        <v>1</v>
      </c>
      <c r="W9" s="11">
        <v>1</v>
      </c>
      <c r="X9" s="11">
        <v>1</v>
      </c>
      <c r="Y9" s="11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1">
        <v>1</v>
      </c>
      <c r="AG9" s="11">
        <v>1</v>
      </c>
      <c r="AH9" s="11">
        <v>1</v>
      </c>
      <c r="AI9" s="11">
        <v>1</v>
      </c>
      <c r="AJ9" s="11">
        <v>1</v>
      </c>
      <c r="AK9" s="11">
        <v>1</v>
      </c>
      <c r="AL9" s="11">
        <v>1</v>
      </c>
      <c r="AM9" s="11">
        <v>1</v>
      </c>
      <c r="AN9" s="11">
        <v>1</v>
      </c>
      <c r="AO9" s="11">
        <v>1</v>
      </c>
      <c r="AP9" s="11">
        <v>1</v>
      </c>
      <c r="AQ9" s="11">
        <v>1</v>
      </c>
      <c r="AR9" s="11">
        <v>1</v>
      </c>
      <c r="AS9" s="11">
        <v>1</v>
      </c>
      <c r="AT9" s="11">
        <v>1</v>
      </c>
      <c r="AU9" s="11">
        <v>1</v>
      </c>
      <c r="AV9" s="11">
        <v>1</v>
      </c>
      <c r="AW9" s="11">
        <v>1</v>
      </c>
      <c r="AX9" s="11">
        <v>1</v>
      </c>
      <c r="AY9" s="11">
        <v>1</v>
      </c>
      <c r="AZ9" s="11">
        <v>1</v>
      </c>
      <c r="BA9" s="11">
        <v>1</v>
      </c>
      <c r="BB9" s="11">
        <v>1</v>
      </c>
      <c r="BC9" s="11">
        <v>1</v>
      </c>
      <c r="BD9" s="11">
        <v>1</v>
      </c>
      <c r="BE9" s="11">
        <v>1</v>
      </c>
      <c r="BF9" s="11">
        <v>1</v>
      </c>
      <c r="BG9" s="11">
        <v>1</v>
      </c>
      <c r="BH9" s="11">
        <v>1</v>
      </c>
      <c r="BI9" s="11">
        <v>1</v>
      </c>
      <c r="BJ9" s="11">
        <v>1</v>
      </c>
      <c r="BK9" s="11">
        <v>1</v>
      </c>
      <c r="BL9" s="11">
        <v>1</v>
      </c>
      <c r="BM9" s="11">
        <v>1</v>
      </c>
      <c r="BN9" s="11">
        <v>1</v>
      </c>
      <c r="BO9" s="11">
        <v>1</v>
      </c>
      <c r="BP9" t="s">
        <v>131</v>
      </c>
      <c r="BQ9" t="s">
        <v>142</v>
      </c>
    </row>
    <row r="10" ht="18" customHeight="1" spans="1:69" x14ac:dyDescent="0.25">
      <c r="A10" s="9"/>
      <c r="B10" s="9"/>
      <c r="C10" s="9"/>
      <c r="D10" s="9"/>
      <c r="E10" s="9"/>
      <c r="F10" s="9"/>
      <c r="G10" s="10"/>
      <c r="H10" s="9" t="s">
        <v>139</v>
      </c>
      <c r="I10" s="9"/>
      <c r="J10" s="9"/>
      <c r="K10" s="9"/>
      <c r="L10" s="9"/>
      <c r="M10" s="9"/>
      <c r="N10" s="9"/>
      <c r="O10" s="10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t="s">
        <v>131</v>
      </c>
      <c r="BQ10" t="s">
        <v>142</v>
      </c>
    </row>
    <row r="11" ht="28" customHeight="1" spans="1:69" x14ac:dyDescent="0.25">
      <c r="A11" s="9"/>
      <c r="B11" s="9"/>
      <c r="C11" s="9"/>
      <c r="D11" s="9"/>
      <c r="E11" s="9"/>
      <c r="F11" s="9" t="s">
        <v>143</v>
      </c>
      <c r="G11" s="10" t="s">
        <v>144</v>
      </c>
      <c r="H11" s="9" t="s">
        <v>136</v>
      </c>
      <c r="I11" s="9">
        <v>5</v>
      </c>
      <c r="J11" s="9">
        <v>10000</v>
      </c>
      <c r="K11" s="9" t="s">
        <v>145</v>
      </c>
      <c r="L11" s="9" t="s">
        <v>9</v>
      </c>
      <c r="M11" s="9"/>
      <c r="N11" s="9"/>
      <c r="O11" s="10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4">
        <v>5</v>
      </c>
      <c r="BK11" s="13"/>
      <c r="BL11" s="13"/>
      <c r="BM11" s="13"/>
      <c r="BN11" s="13"/>
      <c r="BO11" s="13"/>
      <c r="BP11" t="s">
        <v>131</v>
      </c>
      <c r="BQ11" t="s">
        <v>146</v>
      </c>
    </row>
    <row r="12" ht="18" customHeight="1" spans="1:69" x14ac:dyDescent="0.25">
      <c r="A12" s="9"/>
      <c r="B12" s="9"/>
      <c r="C12" s="9"/>
      <c r="D12" s="9"/>
      <c r="E12" s="9"/>
      <c r="F12" s="9"/>
      <c r="G12" s="10"/>
      <c r="H12" s="9" t="s">
        <v>139</v>
      </c>
      <c r="I12" s="9"/>
      <c r="J12" s="9"/>
      <c r="K12" s="9"/>
      <c r="L12" s="9"/>
      <c r="M12" s="9"/>
      <c r="N12" s="9"/>
      <c r="O12" s="10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t="s">
        <v>131</v>
      </c>
      <c r="BQ12" t="s">
        <v>146</v>
      </c>
    </row>
    <row r="13" ht="28" customHeight="1" spans="1:69" x14ac:dyDescent="0.25">
      <c r="A13" s="9"/>
      <c r="B13" s="9"/>
      <c r="C13" s="9"/>
      <c r="D13" s="9"/>
      <c r="E13" s="9"/>
      <c r="F13" s="9" t="s">
        <v>147</v>
      </c>
      <c r="G13" s="10" t="s">
        <v>148</v>
      </c>
      <c r="H13" s="9" t="s">
        <v>136</v>
      </c>
      <c r="I13" s="9">
        <v>4</v>
      </c>
      <c r="J13" s="9">
        <v>6000</v>
      </c>
      <c r="K13" s="9" t="s">
        <v>149</v>
      </c>
      <c r="L13" s="9" t="s">
        <v>9</v>
      </c>
      <c r="M13" s="9"/>
      <c r="N13" s="9"/>
      <c r="O13" s="10"/>
      <c r="P13" s="13"/>
      <c r="Q13" s="13"/>
      <c r="R13" s="15">
        <v>4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5">
        <v>4</v>
      </c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t="s">
        <v>131</v>
      </c>
      <c r="BQ13" t="s">
        <v>150</v>
      </c>
    </row>
    <row r="14" ht="18" customHeight="1" spans="1:69" x14ac:dyDescent="0.25">
      <c r="A14" s="9"/>
      <c r="B14" s="9"/>
      <c r="C14" s="9"/>
      <c r="D14" s="9"/>
      <c r="E14" s="9"/>
      <c r="F14" s="9"/>
      <c r="G14" s="10"/>
      <c r="H14" s="9" t="s">
        <v>139</v>
      </c>
      <c r="I14" s="9"/>
      <c r="J14" s="9"/>
      <c r="K14" s="9"/>
      <c r="L14" s="9"/>
      <c r="M14" s="9"/>
      <c r="N14" s="9"/>
      <c r="O14" s="10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t="s">
        <v>131</v>
      </c>
      <c r="BQ14" t="s">
        <v>150</v>
      </c>
    </row>
    <row r="15" ht="28" customHeight="1" spans="1:69" x14ac:dyDescent="0.25">
      <c r="A15" s="9"/>
      <c r="B15" s="9"/>
      <c r="C15" s="9"/>
      <c r="D15" s="9"/>
      <c r="E15" s="9"/>
      <c r="F15" s="9" t="s">
        <v>151</v>
      </c>
      <c r="G15" s="10" t="s">
        <v>148</v>
      </c>
      <c r="H15" s="9" t="s">
        <v>136</v>
      </c>
      <c r="I15" s="9">
        <v>2</v>
      </c>
      <c r="J15" s="9">
        <v>1000</v>
      </c>
      <c r="K15" s="9" t="s">
        <v>152</v>
      </c>
      <c r="L15" s="9" t="s">
        <v>9</v>
      </c>
      <c r="M15" s="9"/>
      <c r="N15" s="9"/>
      <c r="O15" s="10"/>
      <c r="P15" s="13"/>
      <c r="Q15" s="13"/>
      <c r="R15" s="16">
        <v>2</v>
      </c>
      <c r="S15" s="13"/>
      <c r="T15" s="13"/>
      <c r="U15" s="13"/>
      <c r="V15" s="13"/>
      <c r="W15" s="16">
        <v>2</v>
      </c>
      <c r="X15" s="13"/>
      <c r="Y15" s="13"/>
      <c r="Z15" s="13"/>
      <c r="AA15" s="16">
        <v>2</v>
      </c>
      <c r="AB15" s="13"/>
      <c r="AC15" s="13"/>
      <c r="AD15" s="13"/>
      <c r="AE15" s="16">
        <v>2</v>
      </c>
      <c r="AF15" s="13"/>
      <c r="AG15" s="13"/>
      <c r="AH15" s="13"/>
      <c r="AI15" s="16">
        <v>2</v>
      </c>
      <c r="AJ15" s="13"/>
      <c r="AK15" s="13"/>
      <c r="AL15" s="13"/>
      <c r="AM15" s="13"/>
      <c r="AN15" s="16">
        <v>2</v>
      </c>
      <c r="AO15" s="13"/>
      <c r="AP15" s="13"/>
      <c r="AQ15" s="13"/>
      <c r="AR15" s="16">
        <v>2</v>
      </c>
      <c r="AS15" s="13"/>
      <c r="AT15" s="13"/>
      <c r="AU15" s="13"/>
      <c r="AV15" s="13"/>
      <c r="AW15" s="16">
        <v>2</v>
      </c>
      <c r="AX15" s="13"/>
      <c r="AY15" s="13"/>
      <c r="AZ15" s="13"/>
      <c r="BA15" s="16">
        <v>2</v>
      </c>
      <c r="BB15" s="13"/>
      <c r="BC15" s="13"/>
      <c r="BD15" s="13"/>
      <c r="BE15" s="16">
        <v>2</v>
      </c>
      <c r="BF15" s="13"/>
      <c r="BG15" s="13"/>
      <c r="BH15" s="13"/>
      <c r="BI15" s="13"/>
      <c r="BJ15" s="16">
        <v>2</v>
      </c>
      <c r="BK15" s="13"/>
      <c r="BL15" s="13"/>
      <c r="BM15" s="13"/>
      <c r="BN15" s="16">
        <v>2</v>
      </c>
      <c r="BO15" s="13"/>
      <c r="BP15" t="s">
        <v>131</v>
      </c>
      <c r="BQ15" t="s">
        <v>153</v>
      </c>
    </row>
    <row r="16" ht="18" customHeight="1" spans="1:69" x14ac:dyDescent="0.25">
      <c r="A16" s="9"/>
      <c r="B16" s="9"/>
      <c r="C16" s="9"/>
      <c r="D16" s="9"/>
      <c r="E16" s="9"/>
      <c r="F16" s="9"/>
      <c r="G16" s="10"/>
      <c r="H16" s="9" t="s">
        <v>139</v>
      </c>
      <c r="I16" s="9"/>
      <c r="J16" s="9"/>
      <c r="K16" s="9"/>
      <c r="L16" s="9"/>
      <c r="M16" s="9"/>
      <c r="N16" s="9"/>
      <c r="O16" s="10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t="s">
        <v>131</v>
      </c>
      <c r="BQ16" t="s">
        <v>153</v>
      </c>
    </row>
    <row r="17" ht="28" customHeight="1" spans="1:69" x14ac:dyDescent="0.25">
      <c r="A17" s="9"/>
      <c r="B17" s="9"/>
      <c r="C17" s="9"/>
      <c r="D17" s="9"/>
      <c r="E17" s="9"/>
      <c r="F17" s="9" t="s">
        <v>154</v>
      </c>
      <c r="G17" s="10" t="s">
        <v>148</v>
      </c>
      <c r="H17" s="9" t="s">
        <v>136</v>
      </c>
      <c r="I17" s="9">
        <v>2</v>
      </c>
      <c r="J17" s="9">
        <v>1000</v>
      </c>
      <c r="K17" s="9" t="s">
        <v>152</v>
      </c>
      <c r="L17" s="9" t="s">
        <v>9</v>
      </c>
      <c r="M17" s="9"/>
      <c r="N17" s="9"/>
      <c r="O17" s="10"/>
      <c r="P17" s="13"/>
      <c r="Q17" s="13"/>
      <c r="R17" s="16">
        <v>2</v>
      </c>
      <c r="S17" s="13"/>
      <c r="T17" s="13"/>
      <c r="U17" s="13"/>
      <c r="V17" s="13"/>
      <c r="W17" s="16">
        <v>2</v>
      </c>
      <c r="X17" s="13"/>
      <c r="Y17" s="13"/>
      <c r="Z17" s="13"/>
      <c r="AA17" s="16">
        <v>2</v>
      </c>
      <c r="AB17" s="13"/>
      <c r="AC17" s="13"/>
      <c r="AD17" s="13"/>
      <c r="AE17" s="16">
        <v>2</v>
      </c>
      <c r="AF17" s="13"/>
      <c r="AG17" s="13"/>
      <c r="AH17" s="13"/>
      <c r="AI17" s="16">
        <v>2</v>
      </c>
      <c r="AJ17" s="13"/>
      <c r="AK17" s="13"/>
      <c r="AL17" s="13"/>
      <c r="AM17" s="13"/>
      <c r="AN17" s="16">
        <v>2</v>
      </c>
      <c r="AO17" s="13"/>
      <c r="AP17" s="13"/>
      <c r="AQ17" s="13"/>
      <c r="AR17" s="16">
        <v>2</v>
      </c>
      <c r="AS17" s="13"/>
      <c r="AT17" s="13"/>
      <c r="AU17" s="13"/>
      <c r="AV17" s="13"/>
      <c r="AW17" s="16">
        <v>2</v>
      </c>
      <c r="AX17" s="13"/>
      <c r="AY17" s="13"/>
      <c r="AZ17" s="13"/>
      <c r="BA17" s="16">
        <v>2</v>
      </c>
      <c r="BB17" s="13"/>
      <c r="BC17" s="13"/>
      <c r="BD17" s="13"/>
      <c r="BE17" s="16">
        <v>2</v>
      </c>
      <c r="BF17" s="13"/>
      <c r="BG17" s="13"/>
      <c r="BH17" s="13"/>
      <c r="BI17" s="13"/>
      <c r="BJ17" s="16">
        <v>2</v>
      </c>
      <c r="BK17" s="13"/>
      <c r="BL17" s="13"/>
      <c r="BM17" s="13"/>
      <c r="BN17" s="16">
        <v>2</v>
      </c>
      <c r="BO17" s="13"/>
      <c r="BP17" t="s">
        <v>131</v>
      </c>
      <c r="BQ17" t="s">
        <v>155</v>
      </c>
    </row>
    <row r="18" ht="18" customHeight="1" spans="1:69" x14ac:dyDescent="0.25">
      <c r="A18" s="9"/>
      <c r="B18" s="9"/>
      <c r="C18" s="9"/>
      <c r="D18" s="9"/>
      <c r="E18" s="9"/>
      <c r="F18" s="9"/>
      <c r="G18" s="10"/>
      <c r="H18" s="9" t="s">
        <v>139</v>
      </c>
      <c r="I18" s="9"/>
      <c r="J18" s="9"/>
      <c r="K18" s="9"/>
      <c r="L18" s="9"/>
      <c r="M18" s="9"/>
      <c r="N18" s="9"/>
      <c r="O18" s="10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t="s">
        <v>131</v>
      </c>
      <c r="BQ18" t="s">
        <v>155</v>
      </c>
    </row>
    <row r="19" ht="28" customHeight="1" spans="1:69" x14ac:dyDescent="0.25">
      <c r="A19" s="9"/>
      <c r="B19" s="9"/>
      <c r="C19" s="9"/>
      <c r="D19" s="9"/>
      <c r="E19" s="9"/>
      <c r="F19" s="9" t="s">
        <v>156</v>
      </c>
      <c r="G19" s="10" t="s">
        <v>148</v>
      </c>
      <c r="H19" s="9" t="s">
        <v>136</v>
      </c>
      <c r="I19" s="9">
        <v>2</v>
      </c>
      <c r="J19" s="9">
        <v>1000</v>
      </c>
      <c r="K19" s="9" t="s">
        <v>152</v>
      </c>
      <c r="L19" s="9" t="s">
        <v>9</v>
      </c>
      <c r="M19" s="9"/>
      <c r="N19" s="9"/>
      <c r="O19" s="10"/>
      <c r="P19" s="13"/>
      <c r="Q19" s="13"/>
      <c r="R19" s="16">
        <v>2</v>
      </c>
      <c r="S19" s="13"/>
      <c r="T19" s="13"/>
      <c r="U19" s="13"/>
      <c r="V19" s="13"/>
      <c r="W19" s="16">
        <v>2</v>
      </c>
      <c r="X19" s="13"/>
      <c r="Y19" s="13"/>
      <c r="Z19" s="13"/>
      <c r="AA19" s="16">
        <v>2</v>
      </c>
      <c r="AB19" s="13"/>
      <c r="AC19" s="13"/>
      <c r="AD19" s="13"/>
      <c r="AE19" s="16">
        <v>2</v>
      </c>
      <c r="AF19" s="13"/>
      <c r="AG19" s="13"/>
      <c r="AH19" s="13"/>
      <c r="AI19" s="16">
        <v>2</v>
      </c>
      <c r="AJ19" s="13"/>
      <c r="AK19" s="13"/>
      <c r="AL19" s="13"/>
      <c r="AM19" s="13"/>
      <c r="AN19" s="16">
        <v>2</v>
      </c>
      <c r="AO19" s="13"/>
      <c r="AP19" s="13"/>
      <c r="AQ19" s="13"/>
      <c r="AR19" s="16">
        <v>2</v>
      </c>
      <c r="AS19" s="13"/>
      <c r="AT19" s="13"/>
      <c r="AU19" s="13"/>
      <c r="AV19" s="13"/>
      <c r="AW19" s="16">
        <v>2</v>
      </c>
      <c r="AX19" s="13"/>
      <c r="AY19" s="13"/>
      <c r="AZ19" s="13"/>
      <c r="BA19" s="16">
        <v>2</v>
      </c>
      <c r="BB19" s="13"/>
      <c r="BC19" s="13"/>
      <c r="BD19" s="13"/>
      <c r="BE19" s="16">
        <v>2</v>
      </c>
      <c r="BF19" s="13"/>
      <c r="BG19" s="13"/>
      <c r="BH19" s="13"/>
      <c r="BI19" s="13"/>
      <c r="BJ19" s="16">
        <v>2</v>
      </c>
      <c r="BK19" s="13"/>
      <c r="BL19" s="13"/>
      <c r="BM19" s="13"/>
      <c r="BN19" s="16">
        <v>2</v>
      </c>
      <c r="BO19" s="13"/>
      <c r="BP19" t="s">
        <v>131</v>
      </c>
      <c r="BQ19" t="s">
        <v>157</v>
      </c>
    </row>
    <row r="20" ht="18" customHeight="1" spans="1:69" x14ac:dyDescent="0.25">
      <c r="A20" s="9"/>
      <c r="B20" s="9"/>
      <c r="C20" s="9"/>
      <c r="D20" s="9"/>
      <c r="E20" s="9"/>
      <c r="F20" s="9"/>
      <c r="G20" s="10"/>
      <c r="H20" s="9" t="s">
        <v>139</v>
      </c>
      <c r="I20" s="9"/>
      <c r="J20" s="9"/>
      <c r="K20" s="9"/>
      <c r="L20" s="9"/>
      <c r="M20" s="9"/>
      <c r="N20" s="9"/>
      <c r="O20" s="10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t="s">
        <v>131</v>
      </c>
      <c r="BQ20" t="s">
        <v>157</v>
      </c>
    </row>
    <row r="21" ht="28" customHeight="1" spans="1:69" x14ac:dyDescent="0.25">
      <c r="A21" s="9"/>
      <c r="B21" s="9"/>
      <c r="C21" s="9"/>
      <c r="D21" s="9"/>
      <c r="E21" s="9"/>
      <c r="F21" s="9" t="s">
        <v>158</v>
      </c>
      <c r="G21" s="10" t="s">
        <v>148</v>
      </c>
      <c r="H21" s="9" t="s">
        <v>136</v>
      </c>
      <c r="I21" s="9">
        <v>1</v>
      </c>
      <c r="J21" s="9">
        <v>40</v>
      </c>
      <c r="K21" s="9" t="s">
        <v>159</v>
      </c>
      <c r="L21" s="9" t="s">
        <v>9</v>
      </c>
      <c r="M21" s="9"/>
      <c r="N21" s="9"/>
      <c r="O21" s="10"/>
      <c r="P21" s="11">
        <v>1</v>
      </c>
      <c r="Q21" s="11">
        <v>1</v>
      </c>
      <c r="R21" s="11">
        <v>1</v>
      </c>
      <c r="S21" s="11">
        <v>1</v>
      </c>
      <c r="T21" s="11">
        <v>1</v>
      </c>
      <c r="U21" s="11">
        <v>1</v>
      </c>
      <c r="V21" s="11">
        <v>1</v>
      </c>
      <c r="W21" s="11">
        <v>1</v>
      </c>
      <c r="X21" s="11">
        <v>1</v>
      </c>
      <c r="Y21" s="11">
        <v>1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1">
        <v>1</v>
      </c>
      <c r="AG21" s="11">
        <v>1</v>
      </c>
      <c r="AH21" s="11">
        <v>1</v>
      </c>
      <c r="AI21" s="11">
        <v>1</v>
      </c>
      <c r="AJ21" s="11">
        <v>1</v>
      </c>
      <c r="AK21" s="11">
        <v>1</v>
      </c>
      <c r="AL21" s="11">
        <v>1</v>
      </c>
      <c r="AM21" s="11">
        <v>1</v>
      </c>
      <c r="AN21" s="11">
        <v>1</v>
      </c>
      <c r="AO21" s="11">
        <v>1</v>
      </c>
      <c r="AP21" s="11">
        <v>1</v>
      </c>
      <c r="AQ21" s="11">
        <v>1</v>
      </c>
      <c r="AR21" s="11">
        <v>1</v>
      </c>
      <c r="AS21" s="11">
        <v>1</v>
      </c>
      <c r="AT21" s="11">
        <v>1</v>
      </c>
      <c r="AU21" s="11">
        <v>1</v>
      </c>
      <c r="AV21" s="11">
        <v>1</v>
      </c>
      <c r="AW21" s="11">
        <v>1</v>
      </c>
      <c r="AX21" s="11">
        <v>1</v>
      </c>
      <c r="AY21" s="11">
        <v>1</v>
      </c>
      <c r="AZ21" s="11">
        <v>1</v>
      </c>
      <c r="BA21" s="11">
        <v>1</v>
      </c>
      <c r="BB21" s="11">
        <v>1</v>
      </c>
      <c r="BC21" s="11">
        <v>1</v>
      </c>
      <c r="BD21" s="11">
        <v>1</v>
      </c>
      <c r="BE21" s="11">
        <v>1</v>
      </c>
      <c r="BF21" s="11">
        <v>1</v>
      </c>
      <c r="BG21" s="11">
        <v>1</v>
      </c>
      <c r="BH21" s="11">
        <v>1</v>
      </c>
      <c r="BI21" s="11">
        <v>1</v>
      </c>
      <c r="BJ21" s="11">
        <v>1</v>
      </c>
      <c r="BK21" s="11">
        <v>1</v>
      </c>
      <c r="BL21" s="11">
        <v>1</v>
      </c>
      <c r="BM21" s="11">
        <v>1</v>
      </c>
      <c r="BN21" s="11">
        <v>1</v>
      </c>
      <c r="BO21" s="11">
        <v>1</v>
      </c>
      <c r="BP21" t="s">
        <v>131</v>
      </c>
      <c r="BQ21" t="s">
        <v>160</v>
      </c>
    </row>
    <row r="22" ht="18" customHeight="1" spans="1:69" x14ac:dyDescent="0.25">
      <c r="A22" s="9"/>
      <c r="B22" s="9"/>
      <c r="C22" s="9"/>
      <c r="D22" s="9"/>
      <c r="E22" s="9"/>
      <c r="F22" s="9"/>
      <c r="G22" s="10"/>
      <c r="H22" s="9" t="s">
        <v>139</v>
      </c>
      <c r="I22" s="9"/>
      <c r="J22" s="9"/>
      <c r="K22" s="9"/>
      <c r="L22" s="9"/>
      <c r="M22" s="9"/>
      <c r="N22" s="9"/>
      <c r="O22" s="10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t="s">
        <v>131</v>
      </c>
      <c r="BQ22" t="s">
        <v>160</v>
      </c>
    </row>
    <row r="23" ht="28" customHeight="1" spans="1:69" x14ac:dyDescent="0.25">
      <c r="A23" s="9" t="s">
        <v>161</v>
      </c>
      <c r="B23" s="9" t="s">
        <v>162</v>
      </c>
      <c r="C23" s="9" t="s">
        <v>163</v>
      </c>
      <c r="D23" s="9" t="s">
        <v>164</v>
      </c>
      <c r="E23" s="9" t="s">
        <v>165</v>
      </c>
      <c r="F23" s="9" t="s">
        <v>134</v>
      </c>
      <c r="G23" s="10" t="s">
        <v>166</v>
      </c>
      <c r="H23" s="9" t="s">
        <v>136</v>
      </c>
      <c r="I23" s="9">
        <v>1</v>
      </c>
      <c r="J23" s="9">
        <v>1</v>
      </c>
      <c r="K23" s="9" t="s">
        <v>4</v>
      </c>
      <c r="L23" s="9" t="s">
        <v>137</v>
      </c>
      <c r="M23" s="9"/>
      <c r="N23" s="9"/>
      <c r="O23" s="10"/>
      <c r="P23" s="11">
        <v>1</v>
      </c>
      <c r="Q23" s="11">
        <v>1</v>
      </c>
      <c r="R23" s="11">
        <v>1</v>
      </c>
      <c r="S23" s="11">
        <v>1</v>
      </c>
      <c r="T23" s="11">
        <v>1</v>
      </c>
      <c r="U23" s="11">
        <v>1</v>
      </c>
      <c r="V23" s="11">
        <v>1</v>
      </c>
      <c r="W23" s="11">
        <v>1</v>
      </c>
      <c r="X23" s="11">
        <v>1</v>
      </c>
      <c r="Y23" s="11">
        <v>1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1">
        <v>1</v>
      </c>
      <c r="AG23" s="11">
        <v>1</v>
      </c>
      <c r="AH23" s="11">
        <v>1</v>
      </c>
      <c r="AI23" s="11">
        <v>1</v>
      </c>
      <c r="AJ23" s="11">
        <v>1</v>
      </c>
      <c r="AK23" s="11">
        <v>1</v>
      </c>
      <c r="AL23" s="11">
        <v>1</v>
      </c>
      <c r="AM23" s="11">
        <v>1</v>
      </c>
      <c r="AN23" s="11">
        <v>1</v>
      </c>
      <c r="AO23" s="11">
        <v>1</v>
      </c>
      <c r="AP23" s="11">
        <v>1</v>
      </c>
      <c r="AQ23" s="11">
        <v>1</v>
      </c>
      <c r="AR23" s="11">
        <v>1</v>
      </c>
      <c r="AS23" s="11">
        <v>1</v>
      </c>
      <c r="AT23" s="11">
        <v>1</v>
      </c>
      <c r="AU23" s="11">
        <v>1</v>
      </c>
      <c r="AV23" s="11">
        <v>1</v>
      </c>
      <c r="AW23" s="11">
        <v>1</v>
      </c>
      <c r="AX23" s="11">
        <v>1</v>
      </c>
      <c r="AY23" s="11">
        <v>1</v>
      </c>
      <c r="AZ23" s="11">
        <v>1</v>
      </c>
      <c r="BA23" s="11">
        <v>1</v>
      </c>
      <c r="BB23" s="11">
        <v>1</v>
      </c>
      <c r="BC23" s="11">
        <v>1</v>
      </c>
      <c r="BD23" s="11">
        <v>1</v>
      </c>
      <c r="BE23" s="11">
        <v>1</v>
      </c>
      <c r="BF23" s="11">
        <v>1</v>
      </c>
      <c r="BG23" s="11">
        <v>1</v>
      </c>
      <c r="BH23" s="11">
        <v>1</v>
      </c>
      <c r="BI23" s="11">
        <v>1</v>
      </c>
      <c r="BJ23" s="11">
        <v>1</v>
      </c>
      <c r="BK23" s="11">
        <v>1</v>
      </c>
      <c r="BL23" s="11">
        <v>1</v>
      </c>
      <c r="BM23" s="11">
        <v>1</v>
      </c>
      <c r="BN23" s="11">
        <v>1</v>
      </c>
      <c r="BO23" s="11">
        <v>1</v>
      </c>
      <c r="BP23" t="s">
        <v>162</v>
      </c>
      <c r="BQ23" t="s">
        <v>167</v>
      </c>
    </row>
    <row r="24" ht="18" customHeight="1" spans="1:69" x14ac:dyDescent="0.25">
      <c r="A24" s="9"/>
      <c r="B24" s="9"/>
      <c r="C24" s="9"/>
      <c r="D24" s="9"/>
      <c r="E24" s="9"/>
      <c r="F24" s="9"/>
      <c r="G24" s="10"/>
      <c r="H24" s="9" t="s">
        <v>139</v>
      </c>
      <c r="I24" s="9"/>
      <c r="J24" s="9"/>
      <c r="K24" s="9"/>
      <c r="L24" s="9"/>
      <c r="M24" s="9"/>
      <c r="N24" s="9"/>
      <c r="O24" s="10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t="s">
        <v>162</v>
      </c>
      <c r="BQ24" t="s">
        <v>167</v>
      </c>
    </row>
    <row r="25" ht="28" customHeight="1" spans="1:69" x14ac:dyDescent="0.25">
      <c r="A25" s="9"/>
      <c r="B25" s="9"/>
      <c r="C25" s="9"/>
      <c r="D25" s="9"/>
      <c r="E25" s="9"/>
      <c r="F25" s="9" t="s">
        <v>168</v>
      </c>
      <c r="G25" s="10" t="s">
        <v>169</v>
      </c>
      <c r="H25" s="9" t="s">
        <v>136</v>
      </c>
      <c r="I25" s="9">
        <v>5</v>
      </c>
      <c r="J25" s="9">
        <v>10000</v>
      </c>
      <c r="K25" s="9" t="s">
        <v>145</v>
      </c>
      <c r="L25" s="9" t="s">
        <v>9</v>
      </c>
      <c r="M25" s="9"/>
      <c r="N25" s="9"/>
      <c r="O25" s="10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4">
        <v>5</v>
      </c>
      <c r="BK25" s="13"/>
      <c r="BL25" s="13"/>
      <c r="BM25" s="13"/>
      <c r="BN25" s="13"/>
      <c r="BO25" s="13"/>
      <c r="BP25" t="s">
        <v>162</v>
      </c>
      <c r="BQ25" t="s">
        <v>170</v>
      </c>
    </row>
    <row r="26" ht="18" customHeight="1" spans="1:69" x14ac:dyDescent="0.25">
      <c r="A26" s="9"/>
      <c r="B26" s="9"/>
      <c r="C26" s="9"/>
      <c r="D26" s="9"/>
      <c r="E26" s="9"/>
      <c r="F26" s="9"/>
      <c r="G26" s="10"/>
      <c r="H26" s="9" t="s">
        <v>139</v>
      </c>
      <c r="I26" s="9"/>
      <c r="J26" s="9"/>
      <c r="K26" s="9"/>
      <c r="L26" s="9"/>
      <c r="M26" s="9"/>
      <c r="N26" s="9"/>
      <c r="O26" s="10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t="s">
        <v>162</v>
      </c>
      <c r="BQ26" t="s">
        <v>170</v>
      </c>
    </row>
    <row r="27" ht="28" customHeight="1" spans="1:69" x14ac:dyDescent="0.25">
      <c r="A27" s="9"/>
      <c r="B27" s="9"/>
      <c r="C27" s="9"/>
      <c r="D27" s="9"/>
      <c r="E27" s="9"/>
      <c r="F27" s="9" t="s">
        <v>171</v>
      </c>
      <c r="G27" s="10" t="s">
        <v>172</v>
      </c>
      <c r="H27" s="9" t="s">
        <v>136</v>
      </c>
      <c r="I27" s="9">
        <v>2</v>
      </c>
      <c r="J27" s="9">
        <v>1</v>
      </c>
      <c r="K27" s="9" t="s">
        <v>5</v>
      </c>
      <c r="L27" s="9" t="s">
        <v>137</v>
      </c>
      <c r="M27" s="9"/>
      <c r="N27" s="9"/>
      <c r="O27" s="10"/>
      <c r="P27" s="13"/>
      <c r="Q27" s="13"/>
      <c r="R27" s="16">
        <v>2</v>
      </c>
      <c r="S27" s="13"/>
      <c r="T27" s="13"/>
      <c r="U27" s="13"/>
      <c r="V27" s="13"/>
      <c r="W27" s="16">
        <v>2</v>
      </c>
      <c r="X27" s="13"/>
      <c r="Y27" s="13"/>
      <c r="Z27" s="13"/>
      <c r="AA27" s="16">
        <v>2</v>
      </c>
      <c r="AB27" s="13"/>
      <c r="AC27" s="13"/>
      <c r="AD27" s="13"/>
      <c r="AE27" s="16">
        <v>2</v>
      </c>
      <c r="AF27" s="13"/>
      <c r="AG27" s="13"/>
      <c r="AH27" s="13"/>
      <c r="AI27" s="16">
        <v>2</v>
      </c>
      <c r="AJ27" s="13"/>
      <c r="AK27" s="13"/>
      <c r="AL27" s="13"/>
      <c r="AM27" s="13"/>
      <c r="AN27" s="16">
        <v>2</v>
      </c>
      <c r="AO27" s="13"/>
      <c r="AP27" s="13"/>
      <c r="AQ27" s="13"/>
      <c r="AR27" s="16">
        <v>2</v>
      </c>
      <c r="AS27" s="13"/>
      <c r="AT27" s="13"/>
      <c r="AU27" s="13"/>
      <c r="AV27" s="13"/>
      <c r="AW27" s="16">
        <v>2</v>
      </c>
      <c r="AX27" s="13"/>
      <c r="AY27" s="13"/>
      <c r="AZ27" s="13"/>
      <c r="BA27" s="16">
        <v>2</v>
      </c>
      <c r="BB27" s="13"/>
      <c r="BC27" s="13"/>
      <c r="BD27" s="13"/>
      <c r="BE27" s="16">
        <v>2</v>
      </c>
      <c r="BF27" s="13"/>
      <c r="BG27" s="13"/>
      <c r="BH27" s="13"/>
      <c r="BI27" s="13"/>
      <c r="BJ27" s="16">
        <v>2</v>
      </c>
      <c r="BK27" s="13"/>
      <c r="BL27" s="13"/>
      <c r="BM27" s="13"/>
      <c r="BN27" s="16">
        <v>2</v>
      </c>
      <c r="BO27" s="13"/>
      <c r="BP27" t="s">
        <v>162</v>
      </c>
      <c r="BQ27" t="s">
        <v>173</v>
      </c>
    </row>
    <row r="28" ht="18" customHeight="1" spans="1:69" x14ac:dyDescent="0.25">
      <c r="A28" s="9"/>
      <c r="B28" s="9"/>
      <c r="C28" s="9"/>
      <c r="D28" s="9"/>
      <c r="E28" s="9"/>
      <c r="F28" s="9"/>
      <c r="G28" s="10"/>
      <c r="H28" s="9" t="s">
        <v>139</v>
      </c>
      <c r="I28" s="9"/>
      <c r="J28" s="9"/>
      <c r="K28" s="9"/>
      <c r="L28" s="9"/>
      <c r="M28" s="9"/>
      <c r="N28" s="9"/>
      <c r="O28" s="10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t="s">
        <v>162</v>
      </c>
      <c r="BQ28" t="s">
        <v>173</v>
      </c>
    </row>
    <row r="29" ht="28" customHeight="1" spans="1:69" x14ac:dyDescent="0.25">
      <c r="A29" s="9"/>
      <c r="B29" s="9" t="s">
        <v>174</v>
      </c>
      <c r="C29" s="9" t="s">
        <v>175</v>
      </c>
      <c r="D29" s="9" t="s">
        <v>176</v>
      </c>
      <c r="E29" s="9" t="s">
        <v>165</v>
      </c>
      <c r="F29" s="9" t="s">
        <v>134</v>
      </c>
      <c r="G29" s="10" t="s">
        <v>166</v>
      </c>
      <c r="H29" s="9" t="s">
        <v>136</v>
      </c>
      <c r="I29" s="9">
        <v>1</v>
      </c>
      <c r="J29" s="9">
        <v>1</v>
      </c>
      <c r="K29" s="9" t="s">
        <v>4</v>
      </c>
      <c r="L29" s="9" t="s">
        <v>137</v>
      </c>
      <c r="M29" s="9"/>
      <c r="N29" s="9"/>
      <c r="O29" s="10"/>
      <c r="P29" s="11">
        <v>1</v>
      </c>
      <c r="Q29" s="11">
        <v>1</v>
      </c>
      <c r="R29" s="11">
        <v>1</v>
      </c>
      <c r="S29" s="11">
        <v>1</v>
      </c>
      <c r="T29" s="11">
        <v>1</v>
      </c>
      <c r="U29" s="11">
        <v>1</v>
      </c>
      <c r="V29" s="11">
        <v>1</v>
      </c>
      <c r="W29" s="11">
        <v>1</v>
      </c>
      <c r="X29" s="11">
        <v>1</v>
      </c>
      <c r="Y29" s="11">
        <v>1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1">
        <v>1</v>
      </c>
      <c r="AG29" s="11">
        <v>1</v>
      </c>
      <c r="AH29" s="11">
        <v>1</v>
      </c>
      <c r="AI29" s="11">
        <v>1</v>
      </c>
      <c r="AJ29" s="11">
        <v>1</v>
      </c>
      <c r="AK29" s="11">
        <v>1</v>
      </c>
      <c r="AL29" s="11">
        <v>1</v>
      </c>
      <c r="AM29" s="11">
        <v>1</v>
      </c>
      <c r="AN29" s="11">
        <v>1</v>
      </c>
      <c r="AO29" s="11">
        <v>1</v>
      </c>
      <c r="AP29" s="11">
        <v>1</v>
      </c>
      <c r="AQ29" s="11">
        <v>1</v>
      </c>
      <c r="AR29" s="11">
        <v>1</v>
      </c>
      <c r="AS29" s="11">
        <v>1</v>
      </c>
      <c r="AT29" s="11">
        <v>1</v>
      </c>
      <c r="AU29" s="11">
        <v>1</v>
      </c>
      <c r="AV29" s="11">
        <v>1</v>
      </c>
      <c r="AW29" s="11">
        <v>1</v>
      </c>
      <c r="AX29" s="11">
        <v>1</v>
      </c>
      <c r="AY29" s="11">
        <v>1</v>
      </c>
      <c r="AZ29" s="11">
        <v>1</v>
      </c>
      <c r="BA29" s="11">
        <v>1</v>
      </c>
      <c r="BB29" s="11">
        <v>1</v>
      </c>
      <c r="BC29" s="11">
        <v>1</v>
      </c>
      <c r="BD29" s="11">
        <v>1</v>
      </c>
      <c r="BE29" s="11">
        <v>1</v>
      </c>
      <c r="BF29" s="11">
        <v>1</v>
      </c>
      <c r="BG29" s="11">
        <v>1</v>
      </c>
      <c r="BH29" s="11">
        <v>1</v>
      </c>
      <c r="BI29" s="11">
        <v>1</v>
      </c>
      <c r="BJ29" s="11">
        <v>1</v>
      </c>
      <c r="BK29" s="11">
        <v>1</v>
      </c>
      <c r="BL29" s="11">
        <v>1</v>
      </c>
      <c r="BM29" s="11">
        <v>1</v>
      </c>
      <c r="BN29" s="11">
        <v>1</v>
      </c>
      <c r="BO29" s="11">
        <v>1</v>
      </c>
      <c r="BP29" t="s">
        <v>174</v>
      </c>
      <c r="BQ29" t="s">
        <v>177</v>
      </c>
    </row>
    <row r="30" ht="18" customHeight="1" spans="1:69" x14ac:dyDescent="0.25">
      <c r="A30" s="9"/>
      <c r="B30" s="9"/>
      <c r="C30" s="9"/>
      <c r="D30" s="9"/>
      <c r="E30" s="9"/>
      <c r="F30" s="9"/>
      <c r="G30" s="10"/>
      <c r="H30" s="9" t="s">
        <v>139</v>
      </c>
      <c r="I30" s="9"/>
      <c r="J30" s="9"/>
      <c r="K30" s="9"/>
      <c r="L30" s="9"/>
      <c r="M30" s="9"/>
      <c r="N30" s="9"/>
      <c r="O30" s="10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t="s">
        <v>174</v>
      </c>
      <c r="BQ30" t="s">
        <v>177</v>
      </c>
    </row>
    <row r="31" ht="28" customHeight="1" spans="1:69" x14ac:dyDescent="0.25">
      <c r="A31" s="9"/>
      <c r="B31" s="9"/>
      <c r="C31" s="9"/>
      <c r="D31" s="9"/>
      <c r="E31" s="9"/>
      <c r="F31" s="9" t="s">
        <v>168</v>
      </c>
      <c r="G31" s="10" t="s">
        <v>169</v>
      </c>
      <c r="H31" s="9" t="s">
        <v>136</v>
      </c>
      <c r="I31" s="9">
        <v>1</v>
      </c>
      <c r="J31" s="9">
        <v>10000</v>
      </c>
      <c r="K31" s="9" t="s">
        <v>145</v>
      </c>
      <c r="L31" s="9" t="s">
        <v>9</v>
      </c>
      <c r="M31" s="9"/>
      <c r="N31" s="9"/>
      <c r="O31" s="10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t="s">
        <v>174</v>
      </c>
      <c r="BQ31" t="s">
        <v>178</v>
      </c>
    </row>
    <row r="32" ht="18" customHeight="1" spans="1:69" x14ac:dyDescent="0.25">
      <c r="A32" s="9"/>
      <c r="B32" s="9"/>
      <c r="C32" s="9"/>
      <c r="D32" s="9"/>
      <c r="E32" s="9"/>
      <c r="F32" s="9"/>
      <c r="G32" s="10"/>
      <c r="H32" s="9" t="s">
        <v>139</v>
      </c>
      <c r="I32" s="9"/>
      <c r="J32" s="9"/>
      <c r="K32" s="9"/>
      <c r="L32" s="9"/>
      <c r="M32" s="9"/>
      <c r="N32" s="9"/>
      <c r="O32" s="10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t="s">
        <v>174</v>
      </c>
      <c r="BQ32" t="s">
        <v>178</v>
      </c>
    </row>
    <row r="33" ht="28" customHeight="1" spans="1:69" x14ac:dyDescent="0.25">
      <c r="A33" s="9"/>
      <c r="B33" s="9"/>
      <c r="C33" s="9"/>
      <c r="D33" s="9"/>
      <c r="E33" s="9"/>
      <c r="F33" s="9" t="s">
        <v>179</v>
      </c>
      <c r="G33" s="10" t="s">
        <v>180</v>
      </c>
      <c r="H33" s="9" t="s">
        <v>136</v>
      </c>
      <c r="I33" s="9">
        <v>2</v>
      </c>
      <c r="J33" s="9">
        <v>1</v>
      </c>
      <c r="K33" s="9" t="s">
        <v>5</v>
      </c>
      <c r="L33" s="9" t="s">
        <v>137</v>
      </c>
      <c r="M33" s="9"/>
      <c r="N33" s="9"/>
      <c r="O33" s="10"/>
      <c r="P33" s="13"/>
      <c r="Q33" s="13"/>
      <c r="R33" s="16">
        <v>2</v>
      </c>
      <c r="S33" s="13"/>
      <c r="T33" s="13"/>
      <c r="U33" s="13"/>
      <c r="V33" s="13"/>
      <c r="W33" s="16">
        <v>2</v>
      </c>
      <c r="X33" s="13"/>
      <c r="Y33" s="13"/>
      <c r="Z33" s="13"/>
      <c r="AA33" s="16">
        <v>2</v>
      </c>
      <c r="AB33" s="13"/>
      <c r="AC33" s="13"/>
      <c r="AD33" s="13"/>
      <c r="AE33" s="16">
        <v>2</v>
      </c>
      <c r="AF33" s="13"/>
      <c r="AG33" s="13"/>
      <c r="AH33" s="13"/>
      <c r="AI33" s="16">
        <v>2</v>
      </c>
      <c r="AJ33" s="13"/>
      <c r="AK33" s="13"/>
      <c r="AL33" s="13"/>
      <c r="AM33" s="13"/>
      <c r="AN33" s="16">
        <v>2</v>
      </c>
      <c r="AO33" s="13"/>
      <c r="AP33" s="13"/>
      <c r="AQ33" s="13"/>
      <c r="AR33" s="16">
        <v>2</v>
      </c>
      <c r="AS33" s="13"/>
      <c r="AT33" s="13"/>
      <c r="AU33" s="13"/>
      <c r="AV33" s="13"/>
      <c r="AW33" s="16">
        <v>2</v>
      </c>
      <c r="AX33" s="13"/>
      <c r="AY33" s="13"/>
      <c r="AZ33" s="13"/>
      <c r="BA33" s="16">
        <v>2</v>
      </c>
      <c r="BB33" s="13"/>
      <c r="BC33" s="13"/>
      <c r="BD33" s="13"/>
      <c r="BE33" s="16">
        <v>2</v>
      </c>
      <c r="BF33" s="13"/>
      <c r="BG33" s="13"/>
      <c r="BH33" s="13"/>
      <c r="BI33" s="13"/>
      <c r="BJ33" s="16">
        <v>2</v>
      </c>
      <c r="BK33" s="13"/>
      <c r="BL33" s="13"/>
      <c r="BM33" s="13"/>
      <c r="BN33" s="16">
        <v>2</v>
      </c>
      <c r="BO33" s="13"/>
      <c r="BP33" t="s">
        <v>174</v>
      </c>
      <c r="BQ33" t="s">
        <v>181</v>
      </c>
    </row>
    <row r="34" ht="18" customHeight="1" spans="1:69" x14ac:dyDescent="0.25">
      <c r="A34" s="9"/>
      <c r="B34" s="9"/>
      <c r="C34" s="9"/>
      <c r="D34" s="9"/>
      <c r="E34" s="9"/>
      <c r="F34" s="9"/>
      <c r="G34" s="10"/>
      <c r="H34" s="9" t="s">
        <v>139</v>
      </c>
      <c r="I34" s="9"/>
      <c r="J34" s="9"/>
      <c r="K34" s="9"/>
      <c r="L34" s="9"/>
      <c r="M34" s="9"/>
      <c r="N34" s="9"/>
      <c r="O34" s="10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t="s">
        <v>174</v>
      </c>
      <c r="BQ34" t="s">
        <v>181</v>
      </c>
    </row>
    <row r="35" ht="28" customHeight="1" spans="1:69" x14ac:dyDescent="0.25">
      <c r="A35" s="9"/>
      <c r="B35" s="9" t="s">
        <v>182</v>
      </c>
      <c r="C35" s="9" t="s">
        <v>183</v>
      </c>
      <c r="D35" s="9" t="s">
        <v>184</v>
      </c>
      <c r="E35" s="9" t="s">
        <v>185</v>
      </c>
      <c r="F35" s="9" t="s">
        <v>134</v>
      </c>
      <c r="G35" s="10" t="s">
        <v>166</v>
      </c>
      <c r="H35" s="9" t="s">
        <v>136</v>
      </c>
      <c r="I35" s="9">
        <v>1</v>
      </c>
      <c r="J35" s="9">
        <v>1</v>
      </c>
      <c r="K35" s="9" t="s">
        <v>4</v>
      </c>
      <c r="L35" s="9" t="s">
        <v>137</v>
      </c>
      <c r="M35" s="9"/>
      <c r="N35" s="9"/>
      <c r="O35" s="10"/>
      <c r="P35" s="11">
        <v>1</v>
      </c>
      <c r="Q35" s="11">
        <v>1</v>
      </c>
      <c r="R35" s="11">
        <v>1</v>
      </c>
      <c r="S35" s="11">
        <v>1</v>
      </c>
      <c r="T35" s="11">
        <v>1</v>
      </c>
      <c r="U35" s="11">
        <v>1</v>
      </c>
      <c r="V35" s="11">
        <v>1</v>
      </c>
      <c r="W35" s="11">
        <v>1</v>
      </c>
      <c r="X35" s="11">
        <v>1</v>
      </c>
      <c r="Y35" s="11">
        <v>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1">
        <v>1</v>
      </c>
      <c r="AG35" s="11">
        <v>1</v>
      </c>
      <c r="AH35" s="11">
        <v>1</v>
      </c>
      <c r="AI35" s="11">
        <v>1</v>
      </c>
      <c r="AJ35" s="11">
        <v>1</v>
      </c>
      <c r="AK35" s="11">
        <v>1</v>
      </c>
      <c r="AL35" s="11">
        <v>1</v>
      </c>
      <c r="AM35" s="11">
        <v>1</v>
      </c>
      <c r="AN35" s="11">
        <v>1</v>
      </c>
      <c r="AO35" s="11">
        <v>1</v>
      </c>
      <c r="AP35" s="11">
        <v>1</v>
      </c>
      <c r="AQ35" s="11">
        <v>1</v>
      </c>
      <c r="AR35" s="11">
        <v>1</v>
      </c>
      <c r="AS35" s="11">
        <v>1</v>
      </c>
      <c r="AT35" s="11">
        <v>1</v>
      </c>
      <c r="AU35" s="11">
        <v>1</v>
      </c>
      <c r="AV35" s="11">
        <v>1</v>
      </c>
      <c r="AW35" s="11">
        <v>1</v>
      </c>
      <c r="AX35" s="11">
        <v>1</v>
      </c>
      <c r="AY35" s="11">
        <v>1</v>
      </c>
      <c r="AZ35" s="11">
        <v>1</v>
      </c>
      <c r="BA35" s="11">
        <v>1</v>
      </c>
      <c r="BB35" s="11">
        <v>1</v>
      </c>
      <c r="BC35" s="11">
        <v>1</v>
      </c>
      <c r="BD35" s="11">
        <v>1</v>
      </c>
      <c r="BE35" s="11">
        <v>1</v>
      </c>
      <c r="BF35" s="11">
        <v>1</v>
      </c>
      <c r="BG35" s="11">
        <v>1</v>
      </c>
      <c r="BH35" s="11">
        <v>1</v>
      </c>
      <c r="BI35" s="11">
        <v>1</v>
      </c>
      <c r="BJ35" s="11">
        <v>1</v>
      </c>
      <c r="BK35" s="11">
        <v>1</v>
      </c>
      <c r="BL35" s="11">
        <v>1</v>
      </c>
      <c r="BM35" s="11">
        <v>1</v>
      </c>
      <c r="BN35" s="11">
        <v>1</v>
      </c>
      <c r="BO35" s="11">
        <v>1</v>
      </c>
      <c r="BP35" t="s">
        <v>182</v>
      </c>
      <c r="BQ35" t="s">
        <v>186</v>
      </c>
    </row>
    <row r="36" ht="18" customHeight="1" spans="1:69" x14ac:dyDescent="0.25">
      <c r="A36" s="9"/>
      <c r="B36" s="9"/>
      <c r="C36" s="9"/>
      <c r="D36" s="9"/>
      <c r="E36" s="9"/>
      <c r="F36" s="9"/>
      <c r="G36" s="10"/>
      <c r="H36" s="9" t="s">
        <v>139</v>
      </c>
      <c r="I36" s="9"/>
      <c r="J36" s="9"/>
      <c r="K36" s="9"/>
      <c r="L36" s="9"/>
      <c r="M36" s="9"/>
      <c r="N36" s="9"/>
      <c r="O36" s="10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t="s">
        <v>182</v>
      </c>
      <c r="BQ36" t="s">
        <v>186</v>
      </c>
    </row>
    <row r="37" ht="28" customHeight="1" spans="1:69" x14ac:dyDescent="0.25">
      <c r="A37" s="9"/>
      <c r="B37" s="9"/>
      <c r="C37" s="9"/>
      <c r="D37" s="9"/>
      <c r="E37" s="9"/>
      <c r="F37" s="9" t="s">
        <v>187</v>
      </c>
      <c r="G37" s="10" t="s">
        <v>188</v>
      </c>
      <c r="H37" s="9" t="s">
        <v>136</v>
      </c>
      <c r="I37" s="9">
        <v>3</v>
      </c>
      <c r="J37" s="9">
        <v>2000</v>
      </c>
      <c r="K37" s="9" t="s">
        <v>189</v>
      </c>
      <c r="L37" s="9" t="s">
        <v>9</v>
      </c>
      <c r="M37" s="9"/>
      <c r="N37" s="9"/>
      <c r="O37" s="10"/>
      <c r="P37" s="13"/>
      <c r="Q37" s="13"/>
      <c r="R37" s="17">
        <v>3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7">
        <v>3</v>
      </c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7">
        <v>3</v>
      </c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7">
        <v>3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t="s">
        <v>182</v>
      </c>
      <c r="BQ37" t="s">
        <v>190</v>
      </c>
    </row>
    <row r="38" ht="18" customHeight="1" spans="1:69" x14ac:dyDescent="0.25">
      <c r="A38" s="9"/>
      <c r="B38" s="9"/>
      <c r="C38" s="9"/>
      <c r="D38" s="9"/>
      <c r="E38" s="9"/>
      <c r="F38" s="9"/>
      <c r="G38" s="10"/>
      <c r="H38" s="9" t="s">
        <v>139</v>
      </c>
      <c r="I38" s="9"/>
      <c r="J38" s="9"/>
      <c r="K38" s="9"/>
      <c r="L38" s="9"/>
      <c r="M38" s="9"/>
      <c r="N38" s="9"/>
      <c r="O38" s="10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t="s">
        <v>182</v>
      </c>
      <c r="BQ38" t="s">
        <v>190</v>
      </c>
    </row>
    <row r="39" ht="28" customHeight="1" spans="1:69" x14ac:dyDescent="0.25">
      <c r="A39" s="9"/>
      <c r="B39" s="9"/>
      <c r="C39" s="9"/>
      <c r="D39" s="9"/>
      <c r="E39" s="9"/>
      <c r="F39" s="9" t="s">
        <v>187</v>
      </c>
      <c r="G39" s="10" t="s">
        <v>144</v>
      </c>
      <c r="H39" s="9" t="s">
        <v>136</v>
      </c>
      <c r="I39" s="9">
        <v>5</v>
      </c>
      <c r="J39" s="9">
        <v>10000</v>
      </c>
      <c r="K39" s="9" t="s">
        <v>145</v>
      </c>
      <c r="L39" s="9" t="s">
        <v>9</v>
      </c>
      <c r="M39" s="9"/>
      <c r="N39" s="9"/>
      <c r="O39" s="10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4">
        <v>5</v>
      </c>
      <c r="BK39" s="13"/>
      <c r="BL39" s="13"/>
      <c r="BM39" s="13"/>
      <c r="BN39" s="13"/>
      <c r="BO39" s="13"/>
      <c r="BP39" t="s">
        <v>182</v>
      </c>
      <c r="BQ39" t="s">
        <v>191</v>
      </c>
    </row>
    <row r="40" ht="18" customHeight="1" spans="1:69" x14ac:dyDescent="0.25">
      <c r="A40" s="9"/>
      <c r="B40" s="9"/>
      <c r="C40" s="9"/>
      <c r="D40" s="9"/>
      <c r="E40" s="9"/>
      <c r="F40" s="9"/>
      <c r="G40" s="10"/>
      <c r="H40" s="9" t="s">
        <v>139</v>
      </c>
      <c r="I40" s="9"/>
      <c r="J40" s="9"/>
      <c r="K40" s="9"/>
      <c r="L40" s="9"/>
      <c r="M40" s="9"/>
      <c r="N40" s="9"/>
      <c r="O40" s="10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t="s">
        <v>182</v>
      </c>
      <c r="BQ40" t="s">
        <v>191</v>
      </c>
    </row>
    <row r="41" ht="28" customHeight="1" spans="1:69" x14ac:dyDescent="0.25">
      <c r="A41" s="9"/>
      <c r="B41" s="9"/>
      <c r="C41" s="9"/>
      <c r="D41" s="9"/>
      <c r="E41" s="9"/>
      <c r="F41" s="9" t="s">
        <v>192</v>
      </c>
      <c r="G41" s="10" t="s">
        <v>193</v>
      </c>
      <c r="H41" s="9" t="s">
        <v>136</v>
      </c>
      <c r="I41" s="9">
        <v>2</v>
      </c>
      <c r="J41" s="9">
        <v>120</v>
      </c>
      <c r="K41" s="9" t="s">
        <v>194</v>
      </c>
      <c r="L41" s="9" t="s">
        <v>9</v>
      </c>
      <c r="M41" s="9"/>
      <c r="N41" s="9"/>
      <c r="O41" s="10"/>
      <c r="P41" s="13"/>
      <c r="Q41" s="13"/>
      <c r="R41" s="16">
        <v>2</v>
      </c>
      <c r="S41" s="13"/>
      <c r="T41" s="13"/>
      <c r="U41" s="13"/>
      <c r="V41" s="13"/>
      <c r="W41" s="16">
        <v>2</v>
      </c>
      <c r="X41" s="13"/>
      <c r="Y41" s="13"/>
      <c r="Z41" s="13"/>
      <c r="AA41" s="16">
        <v>2</v>
      </c>
      <c r="AB41" s="13"/>
      <c r="AC41" s="13"/>
      <c r="AD41" s="13"/>
      <c r="AE41" s="16">
        <v>2</v>
      </c>
      <c r="AF41" s="13"/>
      <c r="AG41" s="13"/>
      <c r="AH41" s="13"/>
      <c r="AI41" s="16">
        <v>2</v>
      </c>
      <c r="AJ41" s="13"/>
      <c r="AK41" s="13"/>
      <c r="AL41" s="13"/>
      <c r="AM41" s="13"/>
      <c r="AN41" s="16">
        <v>2</v>
      </c>
      <c r="AO41" s="13"/>
      <c r="AP41" s="13"/>
      <c r="AQ41" s="13"/>
      <c r="AR41" s="16">
        <v>2</v>
      </c>
      <c r="AS41" s="13"/>
      <c r="AT41" s="13"/>
      <c r="AU41" s="13"/>
      <c r="AV41" s="13"/>
      <c r="AW41" s="16">
        <v>2</v>
      </c>
      <c r="AX41" s="13"/>
      <c r="AY41" s="13"/>
      <c r="AZ41" s="13"/>
      <c r="BA41" s="16">
        <v>2</v>
      </c>
      <c r="BB41" s="13"/>
      <c r="BC41" s="13"/>
      <c r="BD41" s="13"/>
      <c r="BE41" s="16">
        <v>2</v>
      </c>
      <c r="BF41" s="13"/>
      <c r="BG41" s="13"/>
      <c r="BH41" s="13"/>
      <c r="BI41" s="13"/>
      <c r="BJ41" s="16">
        <v>2</v>
      </c>
      <c r="BK41" s="13"/>
      <c r="BL41" s="13"/>
      <c r="BM41" s="13"/>
      <c r="BN41" s="16">
        <v>2</v>
      </c>
      <c r="BO41" s="13"/>
      <c r="BP41" t="s">
        <v>182</v>
      </c>
      <c r="BQ41" t="s">
        <v>195</v>
      </c>
    </row>
    <row r="42" ht="18" customHeight="1" spans="1:69" x14ac:dyDescent="0.25">
      <c r="A42" s="9"/>
      <c r="B42" s="9"/>
      <c r="C42" s="9"/>
      <c r="D42" s="9"/>
      <c r="E42" s="9"/>
      <c r="F42" s="9"/>
      <c r="G42" s="10"/>
      <c r="H42" s="9" t="s">
        <v>139</v>
      </c>
      <c r="I42" s="9"/>
      <c r="J42" s="9"/>
      <c r="K42" s="9"/>
      <c r="L42" s="9"/>
      <c r="M42" s="9"/>
      <c r="N42" s="9"/>
      <c r="O42" s="10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t="s">
        <v>182</v>
      </c>
      <c r="BQ42" t="s">
        <v>195</v>
      </c>
    </row>
    <row r="43" ht="28" customHeight="1" spans="1:69" x14ac:dyDescent="0.25">
      <c r="A43" s="9"/>
      <c r="B43" s="9"/>
      <c r="C43" s="9"/>
      <c r="D43" s="9"/>
      <c r="E43" s="9"/>
      <c r="F43" s="9" t="s">
        <v>196</v>
      </c>
      <c r="G43" s="10" t="s">
        <v>197</v>
      </c>
      <c r="H43" s="9" t="s">
        <v>136</v>
      </c>
      <c r="I43" s="9">
        <v>4</v>
      </c>
      <c r="J43" s="9">
        <v>5000</v>
      </c>
      <c r="K43" s="9" t="s">
        <v>198</v>
      </c>
      <c r="L43" s="9" t="s">
        <v>9</v>
      </c>
      <c r="M43" s="9"/>
      <c r="N43" s="9"/>
      <c r="O43" s="10"/>
      <c r="P43" s="13"/>
      <c r="Q43" s="13"/>
      <c r="R43" s="15">
        <v>4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5">
        <v>4</v>
      </c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t="s">
        <v>182</v>
      </c>
      <c r="BQ43" t="s">
        <v>199</v>
      </c>
    </row>
    <row r="44" ht="18" customHeight="1" spans="1:69" x14ac:dyDescent="0.25">
      <c r="A44" s="9"/>
      <c r="B44" s="9"/>
      <c r="C44" s="9"/>
      <c r="D44" s="9"/>
      <c r="E44" s="9"/>
      <c r="F44" s="9"/>
      <c r="G44" s="10"/>
      <c r="H44" s="9" t="s">
        <v>139</v>
      </c>
      <c r="I44" s="9"/>
      <c r="J44" s="9"/>
      <c r="K44" s="9"/>
      <c r="L44" s="9"/>
      <c r="M44" s="9"/>
      <c r="N44" s="9"/>
      <c r="O44" s="10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t="s">
        <v>182</v>
      </c>
      <c r="BQ44" t="s">
        <v>199</v>
      </c>
    </row>
    <row r="45" ht="28" customHeight="1" spans="1:69" x14ac:dyDescent="0.25">
      <c r="A45" s="9"/>
      <c r="B45" s="9"/>
      <c r="C45" s="9"/>
      <c r="D45" s="9"/>
      <c r="E45" s="9"/>
      <c r="F45" s="9" t="s">
        <v>200</v>
      </c>
      <c r="G45" s="10" t="s">
        <v>201</v>
      </c>
      <c r="H45" s="9" t="s">
        <v>136</v>
      </c>
      <c r="I45" s="9">
        <v>2</v>
      </c>
      <c r="J45" s="9">
        <v>2</v>
      </c>
      <c r="K45" s="9" t="s">
        <v>5</v>
      </c>
      <c r="L45" s="9" t="s">
        <v>137</v>
      </c>
      <c r="M45" s="9"/>
      <c r="N45" s="9"/>
      <c r="O45" s="10"/>
      <c r="P45" s="13"/>
      <c r="Q45" s="13"/>
      <c r="R45" s="16">
        <v>2</v>
      </c>
      <c r="S45" s="13"/>
      <c r="T45" s="13"/>
      <c r="U45" s="13"/>
      <c r="V45" s="13"/>
      <c r="W45" s="16">
        <v>2</v>
      </c>
      <c r="X45" s="13"/>
      <c r="Y45" s="13"/>
      <c r="Z45" s="13"/>
      <c r="AA45" s="16">
        <v>2</v>
      </c>
      <c r="AB45" s="13"/>
      <c r="AC45" s="13"/>
      <c r="AD45" s="13"/>
      <c r="AE45" s="16">
        <v>2</v>
      </c>
      <c r="AF45" s="13"/>
      <c r="AG45" s="13"/>
      <c r="AH45" s="13"/>
      <c r="AI45" s="16">
        <v>2</v>
      </c>
      <c r="AJ45" s="13"/>
      <c r="AK45" s="13"/>
      <c r="AL45" s="13"/>
      <c r="AM45" s="13"/>
      <c r="AN45" s="16">
        <v>2</v>
      </c>
      <c r="AO45" s="13"/>
      <c r="AP45" s="13"/>
      <c r="AQ45" s="13"/>
      <c r="AR45" s="16">
        <v>2</v>
      </c>
      <c r="AS45" s="13"/>
      <c r="AT45" s="13"/>
      <c r="AU45" s="13"/>
      <c r="AV45" s="13"/>
      <c r="AW45" s="16">
        <v>2</v>
      </c>
      <c r="AX45" s="13"/>
      <c r="AY45" s="13"/>
      <c r="AZ45" s="13"/>
      <c r="BA45" s="16">
        <v>2</v>
      </c>
      <c r="BB45" s="13"/>
      <c r="BC45" s="13"/>
      <c r="BD45" s="13"/>
      <c r="BE45" s="16">
        <v>2</v>
      </c>
      <c r="BF45" s="13"/>
      <c r="BG45" s="13"/>
      <c r="BH45" s="13"/>
      <c r="BI45" s="13"/>
      <c r="BJ45" s="16">
        <v>2</v>
      </c>
      <c r="BK45" s="13"/>
      <c r="BL45" s="13"/>
      <c r="BM45" s="13"/>
      <c r="BN45" s="16">
        <v>2</v>
      </c>
      <c r="BO45" s="13"/>
      <c r="BP45" t="s">
        <v>182</v>
      </c>
      <c r="BQ45" t="s">
        <v>202</v>
      </c>
    </row>
    <row r="46" ht="18" customHeight="1" spans="1:69" x14ac:dyDescent="0.25">
      <c r="A46" s="9"/>
      <c r="B46" s="9"/>
      <c r="C46" s="9"/>
      <c r="D46" s="9"/>
      <c r="E46" s="9"/>
      <c r="F46" s="9"/>
      <c r="G46" s="10"/>
      <c r="H46" s="9" t="s">
        <v>139</v>
      </c>
      <c r="I46" s="9"/>
      <c r="J46" s="9"/>
      <c r="K46" s="9"/>
      <c r="L46" s="9"/>
      <c r="M46" s="9"/>
      <c r="N46" s="9"/>
      <c r="O46" s="10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t="s">
        <v>182</v>
      </c>
      <c r="BQ46" t="s">
        <v>202</v>
      </c>
    </row>
    <row r="47" ht="28" customHeight="1" spans="1:69" x14ac:dyDescent="0.25">
      <c r="A47" s="9"/>
      <c r="B47" s="9" t="s">
        <v>203</v>
      </c>
      <c r="C47" s="9" t="s">
        <v>204</v>
      </c>
      <c r="D47" s="9" t="s">
        <v>205</v>
      </c>
      <c r="E47" s="9" t="s">
        <v>185</v>
      </c>
      <c r="F47" s="9" t="s">
        <v>134</v>
      </c>
      <c r="G47" s="10" t="s">
        <v>166</v>
      </c>
      <c r="H47" s="9" t="s">
        <v>136</v>
      </c>
      <c r="I47" s="9">
        <v>1</v>
      </c>
      <c r="J47" s="9">
        <v>1</v>
      </c>
      <c r="K47" s="9" t="s">
        <v>4</v>
      </c>
      <c r="L47" s="9" t="s">
        <v>137</v>
      </c>
      <c r="M47" s="9"/>
      <c r="N47" s="9"/>
      <c r="O47" s="10"/>
      <c r="P47" s="11">
        <v>1</v>
      </c>
      <c r="Q47" s="11">
        <v>1</v>
      </c>
      <c r="R47" s="11">
        <v>1</v>
      </c>
      <c r="S47" s="11">
        <v>1</v>
      </c>
      <c r="T47" s="11">
        <v>1</v>
      </c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1">
        <v>1</v>
      </c>
      <c r="AG47" s="11">
        <v>1</v>
      </c>
      <c r="AH47" s="11">
        <v>1</v>
      </c>
      <c r="AI47" s="11">
        <v>1</v>
      </c>
      <c r="AJ47" s="11">
        <v>1</v>
      </c>
      <c r="AK47" s="11">
        <v>1</v>
      </c>
      <c r="AL47" s="11">
        <v>1</v>
      </c>
      <c r="AM47" s="11">
        <v>1</v>
      </c>
      <c r="AN47" s="11">
        <v>1</v>
      </c>
      <c r="AO47" s="11">
        <v>1</v>
      </c>
      <c r="AP47" s="11">
        <v>1</v>
      </c>
      <c r="AQ47" s="11">
        <v>1</v>
      </c>
      <c r="AR47" s="11">
        <v>1</v>
      </c>
      <c r="AS47" s="11">
        <v>1</v>
      </c>
      <c r="AT47" s="11">
        <v>1</v>
      </c>
      <c r="AU47" s="11">
        <v>1</v>
      </c>
      <c r="AV47" s="11">
        <v>1</v>
      </c>
      <c r="AW47" s="11">
        <v>1</v>
      </c>
      <c r="AX47" s="11">
        <v>1</v>
      </c>
      <c r="AY47" s="11">
        <v>1</v>
      </c>
      <c r="AZ47" s="11">
        <v>1</v>
      </c>
      <c r="BA47" s="11">
        <v>1</v>
      </c>
      <c r="BB47" s="11">
        <v>1</v>
      </c>
      <c r="BC47" s="11">
        <v>1</v>
      </c>
      <c r="BD47" s="11">
        <v>1</v>
      </c>
      <c r="BE47" s="11">
        <v>1</v>
      </c>
      <c r="BF47" s="11">
        <v>1</v>
      </c>
      <c r="BG47" s="11">
        <v>1</v>
      </c>
      <c r="BH47" s="11">
        <v>1</v>
      </c>
      <c r="BI47" s="11">
        <v>1</v>
      </c>
      <c r="BJ47" s="11">
        <v>1</v>
      </c>
      <c r="BK47" s="11">
        <v>1</v>
      </c>
      <c r="BL47" s="11">
        <v>1</v>
      </c>
      <c r="BM47" s="11">
        <v>1</v>
      </c>
      <c r="BN47" s="11">
        <v>1</v>
      </c>
      <c r="BO47" s="11">
        <v>1</v>
      </c>
      <c r="BP47" t="s">
        <v>203</v>
      </c>
      <c r="BQ47" t="s">
        <v>206</v>
      </c>
    </row>
    <row r="48" ht="18" customHeight="1" spans="1:69" x14ac:dyDescent="0.25">
      <c r="A48" s="9"/>
      <c r="B48" s="9"/>
      <c r="C48" s="9"/>
      <c r="D48" s="9"/>
      <c r="E48" s="9"/>
      <c r="F48" s="9"/>
      <c r="G48" s="10"/>
      <c r="H48" s="9" t="s">
        <v>139</v>
      </c>
      <c r="I48" s="9"/>
      <c r="J48" s="9"/>
      <c r="K48" s="9"/>
      <c r="L48" s="9"/>
      <c r="M48" s="9"/>
      <c r="N48" s="9"/>
      <c r="O48" s="10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t="s">
        <v>203</v>
      </c>
      <c r="BQ48" t="s">
        <v>206</v>
      </c>
    </row>
    <row r="49" ht="28" customHeight="1" spans="1:69" x14ac:dyDescent="0.25">
      <c r="A49" s="9"/>
      <c r="B49" s="9"/>
      <c r="C49" s="9"/>
      <c r="D49" s="9"/>
      <c r="E49" s="9"/>
      <c r="F49" s="9" t="s">
        <v>207</v>
      </c>
      <c r="G49" s="10" t="s">
        <v>208</v>
      </c>
      <c r="H49" s="9" t="s">
        <v>136</v>
      </c>
      <c r="I49" s="9">
        <v>5</v>
      </c>
      <c r="J49" s="9">
        <v>6000</v>
      </c>
      <c r="K49" s="9" t="s">
        <v>149</v>
      </c>
      <c r="L49" s="9" t="s">
        <v>9</v>
      </c>
      <c r="M49" s="9"/>
      <c r="N49" s="9"/>
      <c r="O49" s="10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4">
        <v>5</v>
      </c>
      <c r="BK49" s="13"/>
      <c r="BL49" s="13"/>
      <c r="BM49" s="13"/>
      <c r="BN49" s="13"/>
      <c r="BO49" s="13"/>
      <c r="BP49" t="s">
        <v>203</v>
      </c>
      <c r="BQ49" t="s">
        <v>209</v>
      </c>
    </row>
    <row r="50" ht="18" customHeight="1" spans="1:69" x14ac:dyDescent="0.25">
      <c r="A50" s="9"/>
      <c r="B50" s="9"/>
      <c r="C50" s="9"/>
      <c r="D50" s="9"/>
      <c r="E50" s="9"/>
      <c r="F50" s="9"/>
      <c r="G50" s="10"/>
      <c r="H50" s="9" t="s">
        <v>139</v>
      </c>
      <c r="I50" s="9"/>
      <c r="J50" s="9"/>
      <c r="K50" s="9"/>
      <c r="L50" s="9"/>
      <c r="M50" s="9"/>
      <c r="N50" s="9"/>
      <c r="O50" s="10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t="s">
        <v>203</v>
      </c>
      <c r="BQ50" t="s">
        <v>209</v>
      </c>
    </row>
    <row r="51" ht="28" customHeight="1" spans="1:69" x14ac:dyDescent="0.25">
      <c r="A51" s="9"/>
      <c r="B51" s="9"/>
      <c r="C51" s="9"/>
      <c r="D51" s="9"/>
      <c r="E51" s="9"/>
      <c r="F51" s="9" t="s">
        <v>210</v>
      </c>
      <c r="G51" s="10" t="s">
        <v>211</v>
      </c>
      <c r="H51" s="9" t="s">
        <v>136</v>
      </c>
      <c r="I51" s="9">
        <v>5</v>
      </c>
      <c r="J51" s="9">
        <v>10000</v>
      </c>
      <c r="K51" s="9" t="s">
        <v>145</v>
      </c>
      <c r="L51" s="9" t="s">
        <v>9</v>
      </c>
      <c r="M51" s="9"/>
      <c r="N51" s="9"/>
      <c r="O51" s="10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4">
        <v>5</v>
      </c>
      <c r="BK51" s="13"/>
      <c r="BL51" s="13"/>
      <c r="BM51" s="13"/>
      <c r="BN51" s="13"/>
      <c r="BO51" s="13"/>
      <c r="BP51" t="s">
        <v>203</v>
      </c>
      <c r="BQ51" t="s">
        <v>212</v>
      </c>
    </row>
    <row r="52" ht="18" customHeight="1" spans="1:69" x14ac:dyDescent="0.25">
      <c r="A52" s="9"/>
      <c r="B52" s="9"/>
      <c r="C52" s="9"/>
      <c r="D52" s="9"/>
      <c r="E52" s="9"/>
      <c r="F52" s="9"/>
      <c r="G52" s="10"/>
      <c r="H52" s="9" t="s">
        <v>139</v>
      </c>
      <c r="I52" s="9"/>
      <c r="J52" s="9"/>
      <c r="K52" s="9"/>
      <c r="L52" s="9"/>
      <c r="M52" s="9"/>
      <c r="N52" s="9"/>
      <c r="O52" s="10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t="s">
        <v>203</v>
      </c>
      <c r="BQ52" t="s">
        <v>212</v>
      </c>
    </row>
    <row r="53" ht="28" customHeight="1" spans="1:69" x14ac:dyDescent="0.25">
      <c r="A53" s="9"/>
      <c r="B53" s="9"/>
      <c r="C53" s="9"/>
      <c r="D53" s="9"/>
      <c r="E53" s="9"/>
      <c r="F53" s="9" t="s">
        <v>213</v>
      </c>
      <c r="G53" s="10" t="s">
        <v>148</v>
      </c>
      <c r="H53" s="9" t="s">
        <v>136</v>
      </c>
      <c r="I53" s="9">
        <v>1</v>
      </c>
      <c r="J53" s="9">
        <v>120</v>
      </c>
      <c r="K53" s="9" t="s">
        <v>194</v>
      </c>
      <c r="L53" s="9" t="s">
        <v>9</v>
      </c>
      <c r="M53" s="9"/>
      <c r="N53" s="9"/>
      <c r="O53" s="10"/>
      <c r="P53" s="11">
        <v>1</v>
      </c>
      <c r="Q53" s="11">
        <v>1</v>
      </c>
      <c r="R53" s="11">
        <v>1</v>
      </c>
      <c r="S53" s="11">
        <v>1</v>
      </c>
      <c r="T53" s="11">
        <v>1</v>
      </c>
      <c r="U53" s="11">
        <v>1</v>
      </c>
      <c r="V53" s="11">
        <v>1</v>
      </c>
      <c r="W53" s="11">
        <v>1</v>
      </c>
      <c r="X53" s="11">
        <v>1</v>
      </c>
      <c r="Y53" s="11">
        <v>1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1">
        <v>1</v>
      </c>
      <c r="AG53" s="11">
        <v>1</v>
      </c>
      <c r="AH53" s="11">
        <v>1</v>
      </c>
      <c r="AI53" s="11">
        <v>1</v>
      </c>
      <c r="AJ53" s="11">
        <v>1</v>
      </c>
      <c r="AK53" s="11">
        <v>1</v>
      </c>
      <c r="AL53" s="11">
        <v>1</v>
      </c>
      <c r="AM53" s="11">
        <v>1</v>
      </c>
      <c r="AN53" s="11">
        <v>1</v>
      </c>
      <c r="AO53" s="11">
        <v>1</v>
      </c>
      <c r="AP53" s="11">
        <v>1</v>
      </c>
      <c r="AQ53" s="11">
        <v>1</v>
      </c>
      <c r="AR53" s="11">
        <v>1</v>
      </c>
      <c r="AS53" s="11">
        <v>1</v>
      </c>
      <c r="AT53" s="11">
        <v>1</v>
      </c>
      <c r="AU53" s="11">
        <v>1</v>
      </c>
      <c r="AV53" s="11">
        <v>1</v>
      </c>
      <c r="AW53" s="11">
        <v>1</v>
      </c>
      <c r="AX53" s="11">
        <v>1</v>
      </c>
      <c r="AY53" s="11">
        <v>1</v>
      </c>
      <c r="AZ53" s="11">
        <v>1</v>
      </c>
      <c r="BA53" s="11">
        <v>1</v>
      </c>
      <c r="BB53" s="11">
        <v>1</v>
      </c>
      <c r="BC53" s="11">
        <v>1</v>
      </c>
      <c r="BD53" s="11">
        <v>1</v>
      </c>
      <c r="BE53" s="11">
        <v>1</v>
      </c>
      <c r="BF53" s="11">
        <v>1</v>
      </c>
      <c r="BG53" s="11">
        <v>1</v>
      </c>
      <c r="BH53" s="11">
        <v>1</v>
      </c>
      <c r="BI53" s="11">
        <v>1</v>
      </c>
      <c r="BJ53" s="11">
        <v>1</v>
      </c>
      <c r="BK53" s="11">
        <v>1</v>
      </c>
      <c r="BL53" s="11">
        <v>1</v>
      </c>
      <c r="BM53" s="11">
        <v>1</v>
      </c>
      <c r="BN53" s="11">
        <v>1</v>
      </c>
      <c r="BO53" s="11">
        <v>1</v>
      </c>
      <c r="BP53" t="s">
        <v>203</v>
      </c>
      <c r="BQ53" t="s">
        <v>214</v>
      </c>
    </row>
    <row r="54" ht="18" customHeight="1" spans="1:69" x14ac:dyDescent="0.25">
      <c r="A54" s="9"/>
      <c r="B54" s="9"/>
      <c r="C54" s="9"/>
      <c r="D54" s="9"/>
      <c r="E54" s="9"/>
      <c r="F54" s="9"/>
      <c r="G54" s="10"/>
      <c r="H54" s="9" t="s">
        <v>139</v>
      </c>
      <c r="I54" s="9"/>
      <c r="J54" s="9"/>
      <c r="K54" s="9"/>
      <c r="L54" s="9"/>
      <c r="M54" s="9"/>
      <c r="N54" s="9"/>
      <c r="O54" s="10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t="s">
        <v>203</v>
      </c>
      <c r="BQ54" t="s">
        <v>214</v>
      </c>
    </row>
    <row r="55" ht="28" customHeight="1" spans="1:69" x14ac:dyDescent="0.25">
      <c r="A55" s="9"/>
      <c r="B55" s="9"/>
      <c r="C55" s="9"/>
      <c r="D55" s="9"/>
      <c r="E55" s="9"/>
      <c r="F55" s="9" t="s">
        <v>215</v>
      </c>
      <c r="G55" s="10" t="s">
        <v>216</v>
      </c>
      <c r="H55" s="9" t="s">
        <v>136</v>
      </c>
      <c r="I55" s="9">
        <v>1</v>
      </c>
      <c r="J55" s="9">
        <v>120</v>
      </c>
      <c r="K55" s="9" t="s">
        <v>194</v>
      </c>
      <c r="L55" s="9" t="s">
        <v>9</v>
      </c>
      <c r="M55" s="9"/>
      <c r="N55" s="9"/>
      <c r="O55" s="10"/>
      <c r="P55" s="11">
        <v>1</v>
      </c>
      <c r="Q55" s="11">
        <v>1</v>
      </c>
      <c r="R55" s="11">
        <v>1</v>
      </c>
      <c r="S55" s="11">
        <v>1</v>
      </c>
      <c r="T55" s="11">
        <v>1</v>
      </c>
      <c r="U55" s="11">
        <v>1</v>
      </c>
      <c r="V55" s="11">
        <v>1</v>
      </c>
      <c r="W55" s="11">
        <v>1</v>
      </c>
      <c r="X55" s="11">
        <v>1</v>
      </c>
      <c r="Y55" s="11">
        <v>1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1">
        <v>1</v>
      </c>
      <c r="AG55" s="11">
        <v>1</v>
      </c>
      <c r="AH55" s="11">
        <v>1</v>
      </c>
      <c r="AI55" s="11">
        <v>1</v>
      </c>
      <c r="AJ55" s="11">
        <v>1</v>
      </c>
      <c r="AK55" s="11">
        <v>1</v>
      </c>
      <c r="AL55" s="11">
        <v>1</v>
      </c>
      <c r="AM55" s="11">
        <v>1</v>
      </c>
      <c r="AN55" s="11">
        <v>1</v>
      </c>
      <c r="AO55" s="11">
        <v>1</v>
      </c>
      <c r="AP55" s="11">
        <v>1</v>
      </c>
      <c r="AQ55" s="11">
        <v>1</v>
      </c>
      <c r="AR55" s="11">
        <v>1</v>
      </c>
      <c r="AS55" s="11">
        <v>1</v>
      </c>
      <c r="AT55" s="11">
        <v>1</v>
      </c>
      <c r="AU55" s="11">
        <v>1</v>
      </c>
      <c r="AV55" s="11">
        <v>1</v>
      </c>
      <c r="AW55" s="11">
        <v>1</v>
      </c>
      <c r="AX55" s="11">
        <v>1</v>
      </c>
      <c r="AY55" s="11">
        <v>1</v>
      </c>
      <c r="AZ55" s="11">
        <v>1</v>
      </c>
      <c r="BA55" s="11">
        <v>1</v>
      </c>
      <c r="BB55" s="11">
        <v>1</v>
      </c>
      <c r="BC55" s="11">
        <v>1</v>
      </c>
      <c r="BD55" s="11">
        <v>1</v>
      </c>
      <c r="BE55" s="11">
        <v>1</v>
      </c>
      <c r="BF55" s="11">
        <v>1</v>
      </c>
      <c r="BG55" s="11">
        <v>1</v>
      </c>
      <c r="BH55" s="11">
        <v>1</v>
      </c>
      <c r="BI55" s="11">
        <v>1</v>
      </c>
      <c r="BJ55" s="11">
        <v>1</v>
      </c>
      <c r="BK55" s="11">
        <v>1</v>
      </c>
      <c r="BL55" s="11">
        <v>1</v>
      </c>
      <c r="BM55" s="11">
        <v>1</v>
      </c>
      <c r="BN55" s="11">
        <v>1</v>
      </c>
      <c r="BO55" s="11">
        <v>1</v>
      </c>
      <c r="BP55" t="s">
        <v>203</v>
      </c>
      <c r="BQ55" t="s">
        <v>217</v>
      </c>
    </row>
    <row r="56" ht="18" customHeight="1" spans="1:69" x14ac:dyDescent="0.25">
      <c r="A56" s="9"/>
      <c r="B56" s="9"/>
      <c r="C56" s="9"/>
      <c r="D56" s="9"/>
      <c r="E56" s="9"/>
      <c r="F56" s="9"/>
      <c r="G56" s="10"/>
      <c r="H56" s="9" t="s">
        <v>139</v>
      </c>
      <c r="I56" s="9"/>
      <c r="J56" s="9"/>
      <c r="K56" s="9"/>
      <c r="L56" s="9"/>
      <c r="M56" s="9"/>
      <c r="N56" s="9"/>
      <c r="O56" s="10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t="s">
        <v>203</v>
      </c>
      <c r="BQ56" t="s">
        <v>217</v>
      </c>
    </row>
    <row r="57" ht="28" customHeight="1" spans="1:69" x14ac:dyDescent="0.25">
      <c r="A57" s="9"/>
      <c r="B57" s="9"/>
      <c r="C57" s="9"/>
      <c r="D57" s="9"/>
      <c r="E57" s="9"/>
      <c r="F57" s="9" t="s">
        <v>218</v>
      </c>
      <c r="G57" s="10" t="s">
        <v>148</v>
      </c>
      <c r="H57" s="9" t="s">
        <v>136</v>
      </c>
      <c r="I57" s="9">
        <v>1</v>
      </c>
      <c r="J57" s="9">
        <v>120</v>
      </c>
      <c r="K57" s="9" t="s">
        <v>194</v>
      </c>
      <c r="L57" s="9" t="s">
        <v>9</v>
      </c>
      <c r="M57" s="9"/>
      <c r="N57" s="9"/>
      <c r="O57" s="10"/>
      <c r="P57" s="11">
        <v>1</v>
      </c>
      <c r="Q57" s="11">
        <v>1</v>
      </c>
      <c r="R57" s="11">
        <v>1</v>
      </c>
      <c r="S57" s="11">
        <v>1</v>
      </c>
      <c r="T57" s="11">
        <v>1</v>
      </c>
      <c r="U57" s="11">
        <v>1</v>
      </c>
      <c r="V57" s="11">
        <v>1</v>
      </c>
      <c r="W57" s="11">
        <v>1</v>
      </c>
      <c r="X57" s="11">
        <v>1</v>
      </c>
      <c r="Y57" s="11">
        <v>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1">
        <v>1</v>
      </c>
      <c r="AG57" s="11">
        <v>1</v>
      </c>
      <c r="AH57" s="11">
        <v>1</v>
      </c>
      <c r="AI57" s="11">
        <v>1</v>
      </c>
      <c r="AJ57" s="11">
        <v>1</v>
      </c>
      <c r="AK57" s="11">
        <v>1</v>
      </c>
      <c r="AL57" s="11">
        <v>1</v>
      </c>
      <c r="AM57" s="11">
        <v>1</v>
      </c>
      <c r="AN57" s="11">
        <v>1</v>
      </c>
      <c r="AO57" s="11">
        <v>1</v>
      </c>
      <c r="AP57" s="11">
        <v>1</v>
      </c>
      <c r="AQ57" s="11">
        <v>1</v>
      </c>
      <c r="AR57" s="11">
        <v>1</v>
      </c>
      <c r="AS57" s="11">
        <v>1</v>
      </c>
      <c r="AT57" s="11">
        <v>1</v>
      </c>
      <c r="AU57" s="11">
        <v>1</v>
      </c>
      <c r="AV57" s="11">
        <v>1</v>
      </c>
      <c r="AW57" s="11">
        <v>1</v>
      </c>
      <c r="AX57" s="11">
        <v>1</v>
      </c>
      <c r="AY57" s="11">
        <v>1</v>
      </c>
      <c r="AZ57" s="11">
        <v>1</v>
      </c>
      <c r="BA57" s="11">
        <v>1</v>
      </c>
      <c r="BB57" s="11">
        <v>1</v>
      </c>
      <c r="BC57" s="11">
        <v>1</v>
      </c>
      <c r="BD57" s="11">
        <v>1</v>
      </c>
      <c r="BE57" s="11">
        <v>1</v>
      </c>
      <c r="BF57" s="11">
        <v>1</v>
      </c>
      <c r="BG57" s="11">
        <v>1</v>
      </c>
      <c r="BH57" s="11">
        <v>1</v>
      </c>
      <c r="BI57" s="11">
        <v>1</v>
      </c>
      <c r="BJ57" s="11">
        <v>1</v>
      </c>
      <c r="BK57" s="11">
        <v>1</v>
      </c>
      <c r="BL57" s="11">
        <v>1</v>
      </c>
      <c r="BM57" s="11">
        <v>1</v>
      </c>
      <c r="BN57" s="11">
        <v>1</v>
      </c>
      <c r="BO57" s="11">
        <v>1</v>
      </c>
      <c r="BP57" t="s">
        <v>203</v>
      </c>
      <c r="BQ57" t="s">
        <v>219</v>
      </c>
    </row>
    <row r="58" ht="18" customHeight="1" spans="1:69" x14ac:dyDescent="0.25">
      <c r="A58" s="9"/>
      <c r="B58" s="9"/>
      <c r="C58" s="9"/>
      <c r="D58" s="9"/>
      <c r="E58" s="9"/>
      <c r="F58" s="9"/>
      <c r="G58" s="10"/>
      <c r="H58" s="9" t="s">
        <v>139</v>
      </c>
      <c r="I58" s="9"/>
      <c r="J58" s="9"/>
      <c r="K58" s="9"/>
      <c r="L58" s="9"/>
      <c r="M58" s="9"/>
      <c r="N58" s="9"/>
      <c r="O58" s="10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t="s">
        <v>203</v>
      </c>
      <c r="BQ58" t="s">
        <v>219</v>
      </c>
    </row>
    <row r="59" ht="28" customHeight="1" spans="1:69" x14ac:dyDescent="0.25">
      <c r="A59" s="9"/>
      <c r="B59" s="9"/>
      <c r="C59" s="9"/>
      <c r="D59" s="9"/>
      <c r="E59" s="9"/>
      <c r="F59" s="9" t="s">
        <v>171</v>
      </c>
      <c r="G59" s="10" t="s">
        <v>220</v>
      </c>
      <c r="H59" s="9" t="s">
        <v>136</v>
      </c>
      <c r="I59" s="9">
        <v>1</v>
      </c>
      <c r="J59" s="9">
        <v>1</v>
      </c>
      <c r="K59" s="9" t="s">
        <v>4</v>
      </c>
      <c r="L59" s="9" t="s">
        <v>137</v>
      </c>
      <c r="M59" s="9"/>
      <c r="N59" s="9"/>
      <c r="O59" s="10"/>
      <c r="P59" s="11">
        <v>1</v>
      </c>
      <c r="Q59" s="11">
        <v>1</v>
      </c>
      <c r="R59" s="11">
        <v>1</v>
      </c>
      <c r="S59" s="11">
        <v>1</v>
      </c>
      <c r="T59" s="11">
        <v>1</v>
      </c>
      <c r="U59" s="11">
        <v>1</v>
      </c>
      <c r="V59" s="11">
        <v>1</v>
      </c>
      <c r="W59" s="11">
        <v>1</v>
      </c>
      <c r="X59" s="11">
        <v>1</v>
      </c>
      <c r="Y59" s="11">
        <v>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1">
        <v>1</v>
      </c>
      <c r="AG59" s="11">
        <v>1</v>
      </c>
      <c r="AH59" s="11">
        <v>1</v>
      </c>
      <c r="AI59" s="11">
        <v>1</v>
      </c>
      <c r="AJ59" s="11">
        <v>1</v>
      </c>
      <c r="AK59" s="11">
        <v>1</v>
      </c>
      <c r="AL59" s="11">
        <v>1</v>
      </c>
      <c r="AM59" s="11">
        <v>1</v>
      </c>
      <c r="AN59" s="11">
        <v>1</v>
      </c>
      <c r="AO59" s="11">
        <v>1</v>
      </c>
      <c r="AP59" s="11">
        <v>1</v>
      </c>
      <c r="AQ59" s="11">
        <v>1</v>
      </c>
      <c r="AR59" s="11">
        <v>1</v>
      </c>
      <c r="AS59" s="11">
        <v>1</v>
      </c>
      <c r="AT59" s="11">
        <v>1</v>
      </c>
      <c r="AU59" s="11">
        <v>1</v>
      </c>
      <c r="AV59" s="11">
        <v>1</v>
      </c>
      <c r="AW59" s="11">
        <v>1</v>
      </c>
      <c r="AX59" s="11">
        <v>1</v>
      </c>
      <c r="AY59" s="11">
        <v>1</v>
      </c>
      <c r="AZ59" s="11">
        <v>1</v>
      </c>
      <c r="BA59" s="11">
        <v>1</v>
      </c>
      <c r="BB59" s="11">
        <v>1</v>
      </c>
      <c r="BC59" s="11">
        <v>1</v>
      </c>
      <c r="BD59" s="11">
        <v>1</v>
      </c>
      <c r="BE59" s="11">
        <v>1</v>
      </c>
      <c r="BF59" s="11">
        <v>1</v>
      </c>
      <c r="BG59" s="11">
        <v>1</v>
      </c>
      <c r="BH59" s="11">
        <v>1</v>
      </c>
      <c r="BI59" s="11">
        <v>1</v>
      </c>
      <c r="BJ59" s="11">
        <v>1</v>
      </c>
      <c r="BK59" s="11">
        <v>1</v>
      </c>
      <c r="BL59" s="11">
        <v>1</v>
      </c>
      <c r="BM59" s="11">
        <v>1</v>
      </c>
      <c r="BN59" s="11">
        <v>1</v>
      </c>
      <c r="BO59" s="11">
        <v>1</v>
      </c>
      <c r="BP59" t="s">
        <v>203</v>
      </c>
      <c r="BQ59" t="s">
        <v>221</v>
      </c>
    </row>
    <row r="60" ht="18" customHeight="1" spans="1:69" x14ac:dyDescent="0.25">
      <c r="A60" s="9"/>
      <c r="B60" s="9"/>
      <c r="C60" s="9"/>
      <c r="D60" s="9"/>
      <c r="E60" s="9"/>
      <c r="F60" s="9"/>
      <c r="G60" s="10"/>
      <c r="H60" s="9" t="s">
        <v>139</v>
      </c>
      <c r="I60" s="9"/>
      <c r="J60" s="9"/>
      <c r="K60" s="9"/>
      <c r="L60" s="9"/>
      <c r="M60" s="9"/>
      <c r="N60" s="9"/>
      <c r="O60" s="10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t="s">
        <v>203</v>
      </c>
      <c r="BQ60" t="s">
        <v>221</v>
      </c>
    </row>
    <row r="61" ht="28" customHeight="1" spans="1:69" x14ac:dyDescent="0.25">
      <c r="A61" s="9"/>
      <c r="B61" s="9"/>
      <c r="C61" s="9"/>
      <c r="D61" s="9"/>
      <c r="E61" s="9"/>
      <c r="F61" s="9" t="s">
        <v>222</v>
      </c>
      <c r="G61" s="10" t="s">
        <v>223</v>
      </c>
      <c r="H61" s="9" t="s">
        <v>136</v>
      </c>
      <c r="I61" s="9">
        <v>1</v>
      </c>
      <c r="J61" s="9">
        <v>1</v>
      </c>
      <c r="K61" s="9" t="s">
        <v>4</v>
      </c>
      <c r="L61" s="9" t="s">
        <v>137</v>
      </c>
      <c r="M61" s="9"/>
      <c r="N61" s="9"/>
      <c r="O61" s="10"/>
      <c r="P61" s="11">
        <v>1</v>
      </c>
      <c r="Q61" s="11">
        <v>1</v>
      </c>
      <c r="R61" s="11">
        <v>1</v>
      </c>
      <c r="S61" s="11">
        <v>1</v>
      </c>
      <c r="T61" s="11">
        <v>1</v>
      </c>
      <c r="U61" s="11">
        <v>1</v>
      </c>
      <c r="V61" s="11">
        <v>1</v>
      </c>
      <c r="W61" s="11">
        <v>1</v>
      </c>
      <c r="X61" s="11">
        <v>1</v>
      </c>
      <c r="Y61" s="11">
        <v>1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1">
        <v>1</v>
      </c>
      <c r="AG61" s="11">
        <v>1</v>
      </c>
      <c r="AH61" s="11">
        <v>1</v>
      </c>
      <c r="AI61" s="11">
        <v>1</v>
      </c>
      <c r="AJ61" s="11">
        <v>1</v>
      </c>
      <c r="AK61" s="11">
        <v>1</v>
      </c>
      <c r="AL61" s="11">
        <v>1</v>
      </c>
      <c r="AM61" s="11">
        <v>1</v>
      </c>
      <c r="AN61" s="11">
        <v>1</v>
      </c>
      <c r="AO61" s="11">
        <v>1</v>
      </c>
      <c r="AP61" s="11">
        <v>1</v>
      </c>
      <c r="AQ61" s="11">
        <v>1</v>
      </c>
      <c r="AR61" s="11">
        <v>1</v>
      </c>
      <c r="AS61" s="11">
        <v>1</v>
      </c>
      <c r="AT61" s="11">
        <v>1</v>
      </c>
      <c r="AU61" s="11">
        <v>1</v>
      </c>
      <c r="AV61" s="11">
        <v>1</v>
      </c>
      <c r="AW61" s="11">
        <v>1</v>
      </c>
      <c r="AX61" s="11">
        <v>1</v>
      </c>
      <c r="AY61" s="11">
        <v>1</v>
      </c>
      <c r="AZ61" s="11">
        <v>1</v>
      </c>
      <c r="BA61" s="11">
        <v>1</v>
      </c>
      <c r="BB61" s="11">
        <v>1</v>
      </c>
      <c r="BC61" s="11">
        <v>1</v>
      </c>
      <c r="BD61" s="11">
        <v>1</v>
      </c>
      <c r="BE61" s="11">
        <v>1</v>
      </c>
      <c r="BF61" s="11">
        <v>1</v>
      </c>
      <c r="BG61" s="11">
        <v>1</v>
      </c>
      <c r="BH61" s="11">
        <v>1</v>
      </c>
      <c r="BI61" s="11">
        <v>1</v>
      </c>
      <c r="BJ61" s="11">
        <v>1</v>
      </c>
      <c r="BK61" s="11">
        <v>1</v>
      </c>
      <c r="BL61" s="11">
        <v>1</v>
      </c>
      <c r="BM61" s="11">
        <v>1</v>
      </c>
      <c r="BN61" s="11">
        <v>1</v>
      </c>
      <c r="BO61" s="11">
        <v>1</v>
      </c>
      <c r="BP61" t="s">
        <v>203</v>
      </c>
      <c r="BQ61" t="s">
        <v>224</v>
      </c>
    </row>
    <row r="62" ht="18" customHeight="1" spans="1:69" x14ac:dyDescent="0.25">
      <c r="A62" s="9"/>
      <c r="B62" s="9"/>
      <c r="C62" s="9"/>
      <c r="D62" s="9"/>
      <c r="E62" s="9"/>
      <c r="F62" s="9"/>
      <c r="G62" s="10"/>
      <c r="H62" s="9" t="s">
        <v>139</v>
      </c>
      <c r="I62" s="9"/>
      <c r="J62" s="9"/>
      <c r="K62" s="9"/>
      <c r="L62" s="9"/>
      <c r="M62" s="9"/>
      <c r="N62" s="9"/>
      <c r="O62" s="10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t="s">
        <v>203</v>
      </c>
      <c r="BQ62" t="s">
        <v>224</v>
      </c>
    </row>
    <row r="63" ht="28" customHeight="1" spans="1:69" x14ac:dyDescent="0.25">
      <c r="A63" s="9"/>
      <c r="B63" s="9"/>
      <c r="C63" s="9"/>
      <c r="D63" s="9"/>
      <c r="E63" s="9"/>
      <c r="F63" s="9" t="s">
        <v>225</v>
      </c>
      <c r="G63" s="10" t="s">
        <v>197</v>
      </c>
      <c r="H63" s="9" t="s">
        <v>136</v>
      </c>
      <c r="I63" s="9">
        <v>4</v>
      </c>
      <c r="J63" s="9">
        <v>5000</v>
      </c>
      <c r="K63" s="9" t="s">
        <v>198</v>
      </c>
      <c r="L63" s="9" t="s">
        <v>9</v>
      </c>
      <c r="M63" s="9"/>
      <c r="N63" s="9"/>
      <c r="O63" s="10"/>
      <c r="P63" s="13"/>
      <c r="Q63" s="13"/>
      <c r="R63" s="15">
        <v>4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5">
        <v>4</v>
      </c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t="s">
        <v>203</v>
      </c>
      <c r="BQ63" t="s">
        <v>226</v>
      </c>
    </row>
    <row r="64" ht="18" customHeight="1" spans="1:69" x14ac:dyDescent="0.25">
      <c r="A64" s="9"/>
      <c r="B64" s="9"/>
      <c r="C64" s="9"/>
      <c r="D64" s="9"/>
      <c r="E64" s="9"/>
      <c r="F64" s="9"/>
      <c r="G64" s="10"/>
      <c r="H64" s="9" t="s">
        <v>139</v>
      </c>
      <c r="I64" s="9"/>
      <c r="J64" s="9"/>
      <c r="K64" s="9"/>
      <c r="L64" s="9"/>
      <c r="M64" s="9"/>
      <c r="N64" s="9"/>
      <c r="O64" s="10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t="s">
        <v>203</v>
      </c>
      <c r="BQ64" t="s">
        <v>226</v>
      </c>
    </row>
    <row r="65" ht="28" customHeight="1" spans="1:69" x14ac:dyDescent="0.25">
      <c r="A65" s="9"/>
      <c r="B65" s="9" t="s">
        <v>227</v>
      </c>
      <c r="C65" s="9" t="s">
        <v>228</v>
      </c>
      <c r="D65" s="9" t="s">
        <v>229</v>
      </c>
      <c r="E65" s="9" t="s">
        <v>165</v>
      </c>
      <c r="F65" s="9" t="s">
        <v>230</v>
      </c>
      <c r="G65" s="10" t="s">
        <v>166</v>
      </c>
      <c r="H65" s="9" t="s">
        <v>136</v>
      </c>
      <c r="I65" s="9">
        <v>1</v>
      </c>
      <c r="J65" s="9">
        <v>1</v>
      </c>
      <c r="K65" s="9" t="s">
        <v>4</v>
      </c>
      <c r="L65" s="9" t="s">
        <v>137</v>
      </c>
      <c r="M65" s="9"/>
      <c r="N65" s="9"/>
      <c r="O65" s="10"/>
      <c r="P65" s="11">
        <v>1</v>
      </c>
      <c r="Q65" s="11">
        <v>1</v>
      </c>
      <c r="R65" s="11">
        <v>1</v>
      </c>
      <c r="S65" s="11">
        <v>1</v>
      </c>
      <c r="T65" s="11">
        <v>1</v>
      </c>
      <c r="U65" s="11">
        <v>1</v>
      </c>
      <c r="V65" s="11">
        <v>1</v>
      </c>
      <c r="W65" s="11">
        <v>1</v>
      </c>
      <c r="X65" s="11">
        <v>1</v>
      </c>
      <c r="Y65" s="11">
        <v>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1">
        <v>1</v>
      </c>
      <c r="AG65" s="11">
        <v>1</v>
      </c>
      <c r="AH65" s="11">
        <v>1</v>
      </c>
      <c r="AI65" s="11">
        <v>1</v>
      </c>
      <c r="AJ65" s="11">
        <v>1</v>
      </c>
      <c r="AK65" s="11">
        <v>1</v>
      </c>
      <c r="AL65" s="11">
        <v>1</v>
      </c>
      <c r="AM65" s="11">
        <v>1</v>
      </c>
      <c r="AN65" s="11">
        <v>1</v>
      </c>
      <c r="AO65" s="11">
        <v>1</v>
      </c>
      <c r="AP65" s="11">
        <v>1</v>
      </c>
      <c r="AQ65" s="11">
        <v>1</v>
      </c>
      <c r="AR65" s="11">
        <v>1</v>
      </c>
      <c r="AS65" s="11">
        <v>1</v>
      </c>
      <c r="AT65" s="11">
        <v>1</v>
      </c>
      <c r="AU65" s="11">
        <v>1</v>
      </c>
      <c r="AV65" s="11">
        <v>1</v>
      </c>
      <c r="AW65" s="11">
        <v>1</v>
      </c>
      <c r="AX65" s="11">
        <v>1</v>
      </c>
      <c r="AY65" s="11">
        <v>1</v>
      </c>
      <c r="AZ65" s="11">
        <v>1</v>
      </c>
      <c r="BA65" s="11">
        <v>1</v>
      </c>
      <c r="BB65" s="11">
        <v>1</v>
      </c>
      <c r="BC65" s="11">
        <v>1</v>
      </c>
      <c r="BD65" s="11">
        <v>1</v>
      </c>
      <c r="BE65" s="11">
        <v>1</v>
      </c>
      <c r="BF65" s="11">
        <v>1</v>
      </c>
      <c r="BG65" s="11">
        <v>1</v>
      </c>
      <c r="BH65" s="11">
        <v>1</v>
      </c>
      <c r="BI65" s="11">
        <v>1</v>
      </c>
      <c r="BJ65" s="11">
        <v>1</v>
      </c>
      <c r="BK65" s="11">
        <v>1</v>
      </c>
      <c r="BL65" s="11">
        <v>1</v>
      </c>
      <c r="BM65" s="11">
        <v>1</v>
      </c>
      <c r="BN65" s="11">
        <v>1</v>
      </c>
      <c r="BO65" s="11">
        <v>1</v>
      </c>
      <c r="BP65" t="s">
        <v>227</v>
      </c>
      <c r="BQ65" t="s">
        <v>231</v>
      </c>
    </row>
    <row r="66" ht="18" customHeight="1" spans="1:69" x14ac:dyDescent="0.25">
      <c r="A66" s="9"/>
      <c r="B66" s="9"/>
      <c r="C66" s="9"/>
      <c r="D66" s="9"/>
      <c r="E66" s="9"/>
      <c r="F66" s="9"/>
      <c r="G66" s="10"/>
      <c r="H66" s="9" t="s">
        <v>139</v>
      </c>
      <c r="I66" s="9"/>
      <c r="J66" s="9"/>
      <c r="K66" s="9"/>
      <c r="L66" s="9"/>
      <c r="M66" s="9"/>
      <c r="N66" s="9"/>
      <c r="O66" s="10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t="s">
        <v>227</v>
      </c>
      <c r="BQ66" t="s">
        <v>231</v>
      </c>
    </row>
    <row r="67" ht="28" customHeight="1" spans="1:69" x14ac:dyDescent="0.25">
      <c r="A67" s="9"/>
      <c r="B67" s="9"/>
      <c r="C67" s="9"/>
      <c r="D67" s="9"/>
      <c r="E67" s="9"/>
      <c r="F67" s="9" t="s">
        <v>232</v>
      </c>
      <c r="G67" s="10" t="s">
        <v>144</v>
      </c>
      <c r="H67" s="9" t="s">
        <v>136</v>
      </c>
      <c r="I67" s="9">
        <v>5</v>
      </c>
      <c r="J67" s="9">
        <v>10000</v>
      </c>
      <c r="K67" s="9" t="s">
        <v>145</v>
      </c>
      <c r="L67" s="9" t="s">
        <v>9</v>
      </c>
      <c r="M67" s="9"/>
      <c r="N67" s="9"/>
      <c r="O67" s="10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4">
        <v>5</v>
      </c>
      <c r="BK67" s="13"/>
      <c r="BL67" s="13"/>
      <c r="BM67" s="13"/>
      <c r="BN67" s="13"/>
      <c r="BO67" s="13"/>
      <c r="BP67" t="s">
        <v>227</v>
      </c>
      <c r="BQ67" t="s">
        <v>233</v>
      </c>
    </row>
    <row r="68" ht="18" customHeight="1" spans="1:69" x14ac:dyDescent="0.25">
      <c r="A68" s="9"/>
      <c r="B68" s="9"/>
      <c r="C68" s="9"/>
      <c r="D68" s="9"/>
      <c r="E68" s="9"/>
      <c r="F68" s="9"/>
      <c r="G68" s="10"/>
      <c r="H68" s="9" t="s">
        <v>139</v>
      </c>
      <c r="I68" s="9"/>
      <c r="J68" s="9"/>
      <c r="K68" s="9"/>
      <c r="L68" s="9"/>
      <c r="M68" s="9"/>
      <c r="N68" s="9"/>
      <c r="O68" s="10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t="s">
        <v>227</v>
      </c>
      <c r="BQ68" t="s">
        <v>233</v>
      </c>
    </row>
    <row r="69" ht="28" customHeight="1" spans="1:69" x14ac:dyDescent="0.25">
      <c r="A69" s="9"/>
      <c r="B69" s="9"/>
      <c r="C69" s="9"/>
      <c r="D69" s="9"/>
      <c r="E69" s="9"/>
      <c r="F69" s="9" t="s">
        <v>234</v>
      </c>
      <c r="G69" s="10" t="s">
        <v>180</v>
      </c>
      <c r="H69" s="9" t="s">
        <v>136</v>
      </c>
      <c r="I69" s="9">
        <v>1</v>
      </c>
      <c r="J69" s="9">
        <v>8</v>
      </c>
      <c r="K69" s="9" t="s">
        <v>235</v>
      </c>
      <c r="L69" s="9" t="s">
        <v>9</v>
      </c>
      <c r="M69" s="9"/>
      <c r="N69" s="9"/>
      <c r="O69" s="10"/>
      <c r="P69" s="11">
        <v>1</v>
      </c>
      <c r="Q69" s="11">
        <v>1</v>
      </c>
      <c r="R69" s="11">
        <v>1</v>
      </c>
      <c r="S69" s="11">
        <v>1</v>
      </c>
      <c r="T69" s="11">
        <v>1</v>
      </c>
      <c r="U69" s="11">
        <v>1</v>
      </c>
      <c r="V69" s="11">
        <v>1</v>
      </c>
      <c r="W69" s="11">
        <v>1</v>
      </c>
      <c r="X69" s="11">
        <v>1</v>
      </c>
      <c r="Y69" s="11">
        <v>1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1">
        <v>1</v>
      </c>
      <c r="AG69" s="11">
        <v>1</v>
      </c>
      <c r="AH69" s="11">
        <v>1</v>
      </c>
      <c r="AI69" s="11">
        <v>1</v>
      </c>
      <c r="AJ69" s="11">
        <v>1</v>
      </c>
      <c r="AK69" s="11">
        <v>1</v>
      </c>
      <c r="AL69" s="11">
        <v>1</v>
      </c>
      <c r="AM69" s="11">
        <v>1</v>
      </c>
      <c r="AN69" s="11">
        <v>1</v>
      </c>
      <c r="AO69" s="11">
        <v>1</v>
      </c>
      <c r="AP69" s="11">
        <v>1</v>
      </c>
      <c r="AQ69" s="11">
        <v>1</v>
      </c>
      <c r="AR69" s="11">
        <v>1</v>
      </c>
      <c r="AS69" s="11">
        <v>1</v>
      </c>
      <c r="AT69" s="11">
        <v>1</v>
      </c>
      <c r="AU69" s="11">
        <v>1</v>
      </c>
      <c r="AV69" s="11">
        <v>1</v>
      </c>
      <c r="AW69" s="11">
        <v>1</v>
      </c>
      <c r="AX69" s="11">
        <v>1</v>
      </c>
      <c r="AY69" s="11">
        <v>1</v>
      </c>
      <c r="AZ69" s="11">
        <v>1</v>
      </c>
      <c r="BA69" s="11">
        <v>1</v>
      </c>
      <c r="BB69" s="11">
        <v>1</v>
      </c>
      <c r="BC69" s="11">
        <v>1</v>
      </c>
      <c r="BD69" s="11">
        <v>1</v>
      </c>
      <c r="BE69" s="11">
        <v>1</v>
      </c>
      <c r="BF69" s="11">
        <v>1</v>
      </c>
      <c r="BG69" s="11">
        <v>1</v>
      </c>
      <c r="BH69" s="11">
        <v>1</v>
      </c>
      <c r="BI69" s="11">
        <v>1</v>
      </c>
      <c r="BJ69" s="11">
        <v>1</v>
      </c>
      <c r="BK69" s="11">
        <v>1</v>
      </c>
      <c r="BL69" s="11">
        <v>1</v>
      </c>
      <c r="BM69" s="11">
        <v>1</v>
      </c>
      <c r="BN69" s="11">
        <v>1</v>
      </c>
      <c r="BO69" s="11">
        <v>1</v>
      </c>
      <c r="BP69" t="s">
        <v>227</v>
      </c>
      <c r="BQ69" t="s">
        <v>236</v>
      </c>
    </row>
    <row r="70" ht="18" customHeight="1" spans="1:69" x14ac:dyDescent="0.25">
      <c r="A70" s="9"/>
      <c r="B70" s="9"/>
      <c r="C70" s="9"/>
      <c r="D70" s="9"/>
      <c r="E70" s="9"/>
      <c r="F70" s="9"/>
      <c r="G70" s="10"/>
      <c r="H70" s="9" t="s">
        <v>139</v>
      </c>
      <c r="I70" s="9"/>
      <c r="J70" s="9"/>
      <c r="K70" s="9"/>
      <c r="L70" s="9"/>
      <c r="M70" s="9"/>
      <c r="N70" s="9"/>
      <c r="O70" s="10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t="s">
        <v>227</v>
      </c>
      <c r="BQ70" t="s">
        <v>236</v>
      </c>
    </row>
    <row r="71" ht="28" customHeight="1" spans="1:69" x14ac:dyDescent="0.25">
      <c r="A71" s="9"/>
      <c r="B71" s="9"/>
      <c r="C71" s="9"/>
      <c r="D71" s="9"/>
      <c r="E71" s="9"/>
      <c r="F71" s="9" t="s">
        <v>237</v>
      </c>
      <c r="G71" s="10" t="s">
        <v>180</v>
      </c>
      <c r="H71" s="9" t="s">
        <v>136</v>
      </c>
      <c r="I71" s="9">
        <v>1</v>
      </c>
      <c r="J71" s="9">
        <v>40</v>
      </c>
      <c r="K71" s="9" t="s">
        <v>159</v>
      </c>
      <c r="L71" s="9" t="s">
        <v>9</v>
      </c>
      <c r="M71" s="9"/>
      <c r="N71" s="9"/>
      <c r="O71" s="10"/>
      <c r="P71" s="11">
        <v>1</v>
      </c>
      <c r="Q71" s="11">
        <v>1</v>
      </c>
      <c r="R71" s="11">
        <v>1</v>
      </c>
      <c r="S71" s="11">
        <v>1</v>
      </c>
      <c r="T71" s="11">
        <v>1</v>
      </c>
      <c r="U71" s="11">
        <v>1</v>
      </c>
      <c r="V71" s="11">
        <v>1</v>
      </c>
      <c r="W71" s="11">
        <v>1</v>
      </c>
      <c r="X71" s="11">
        <v>1</v>
      </c>
      <c r="Y71" s="11">
        <v>1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1">
        <v>1</v>
      </c>
      <c r="AG71" s="11">
        <v>1</v>
      </c>
      <c r="AH71" s="11">
        <v>1</v>
      </c>
      <c r="AI71" s="11">
        <v>1</v>
      </c>
      <c r="AJ71" s="11">
        <v>1</v>
      </c>
      <c r="AK71" s="11">
        <v>1</v>
      </c>
      <c r="AL71" s="11">
        <v>1</v>
      </c>
      <c r="AM71" s="11">
        <v>1</v>
      </c>
      <c r="AN71" s="11">
        <v>1</v>
      </c>
      <c r="AO71" s="11">
        <v>1</v>
      </c>
      <c r="AP71" s="11">
        <v>1</v>
      </c>
      <c r="AQ71" s="11">
        <v>1</v>
      </c>
      <c r="AR71" s="11">
        <v>1</v>
      </c>
      <c r="AS71" s="11">
        <v>1</v>
      </c>
      <c r="AT71" s="11">
        <v>1</v>
      </c>
      <c r="AU71" s="11">
        <v>1</v>
      </c>
      <c r="AV71" s="11">
        <v>1</v>
      </c>
      <c r="AW71" s="11">
        <v>1</v>
      </c>
      <c r="AX71" s="11">
        <v>1</v>
      </c>
      <c r="AY71" s="11">
        <v>1</v>
      </c>
      <c r="AZ71" s="11">
        <v>1</v>
      </c>
      <c r="BA71" s="11">
        <v>1</v>
      </c>
      <c r="BB71" s="11">
        <v>1</v>
      </c>
      <c r="BC71" s="11">
        <v>1</v>
      </c>
      <c r="BD71" s="11">
        <v>1</v>
      </c>
      <c r="BE71" s="11">
        <v>1</v>
      </c>
      <c r="BF71" s="11">
        <v>1</v>
      </c>
      <c r="BG71" s="11">
        <v>1</v>
      </c>
      <c r="BH71" s="11">
        <v>1</v>
      </c>
      <c r="BI71" s="11">
        <v>1</v>
      </c>
      <c r="BJ71" s="11">
        <v>1</v>
      </c>
      <c r="BK71" s="11">
        <v>1</v>
      </c>
      <c r="BL71" s="11">
        <v>1</v>
      </c>
      <c r="BM71" s="11">
        <v>1</v>
      </c>
      <c r="BN71" s="11">
        <v>1</v>
      </c>
      <c r="BO71" s="11">
        <v>1</v>
      </c>
      <c r="BP71" t="s">
        <v>227</v>
      </c>
      <c r="BQ71" t="s">
        <v>238</v>
      </c>
    </row>
    <row r="72" ht="18" customHeight="1" spans="1:69" x14ac:dyDescent="0.25">
      <c r="A72" s="9"/>
      <c r="B72" s="9"/>
      <c r="C72" s="9"/>
      <c r="D72" s="9"/>
      <c r="E72" s="9"/>
      <c r="F72" s="9"/>
      <c r="G72" s="10"/>
      <c r="H72" s="9" t="s">
        <v>139</v>
      </c>
      <c r="I72" s="9"/>
      <c r="J72" s="9"/>
      <c r="K72" s="9"/>
      <c r="L72" s="9"/>
      <c r="M72" s="9"/>
      <c r="N72" s="9"/>
      <c r="O72" s="10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t="s">
        <v>227</v>
      </c>
      <c r="BQ72" t="s">
        <v>238</v>
      </c>
    </row>
    <row r="73" ht="28" customHeight="1" spans="1:69" x14ac:dyDescent="0.25">
      <c r="A73" s="9"/>
      <c r="B73" s="9"/>
      <c r="C73" s="9"/>
      <c r="D73" s="9"/>
      <c r="E73" s="9"/>
      <c r="F73" s="9" t="s">
        <v>239</v>
      </c>
      <c r="G73" s="10" t="s">
        <v>180</v>
      </c>
      <c r="H73" s="9" t="s">
        <v>136</v>
      </c>
      <c r="I73" s="9">
        <v>1</v>
      </c>
      <c r="J73" s="9">
        <v>120</v>
      </c>
      <c r="K73" s="9" t="s">
        <v>194</v>
      </c>
      <c r="L73" s="9" t="s">
        <v>9</v>
      </c>
      <c r="M73" s="9"/>
      <c r="N73" s="9"/>
      <c r="O73" s="10"/>
      <c r="P73" s="11">
        <v>1</v>
      </c>
      <c r="Q73" s="11">
        <v>1</v>
      </c>
      <c r="R73" s="11">
        <v>1</v>
      </c>
      <c r="S73" s="11">
        <v>1</v>
      </c>
      <c r="T73" s="11">
        <v>1</v>
      </c>
      <c r="U73" s="11">
        <v>1</v>
      </c>
      <c r="V73" s="11">
        <v>1</v>
      </c>
      <c r="W73" s="11">
        <v>1</v>
      </c>
      <c r="X73" s="11">
        <v>1</v>
      </c>
      <c r="Y73" s="11">
        <v>1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1">
        <v>1</v>
      </c>
      <c r="AG73" s="11">
        <v>1</v>
      </c>
      <c r="AH73" s="11">
        <v>1</v>
      </c>
      <c r="AI73" s="11">
        <v>1</v>
      </c>
      <c r="AJ73" s="11">
        <v>1</v>
      </c>
      <c r="AK73" s="11">
        <v>1</v>
      </c>
      <c r="AL73" s="11">
        <v>1</v>
      </c>
      <c r="AM73" s="11">
        <v>1</v>
      </c>
      <c r="AN73" s="11">
        <v>1</v>
      </c>
      <c r="AO73" s="11">
        <v>1</v>
      </c>
      <c r="AP73" s="11">
        <v>1</v>
      </c>
      <c r="AQ73" s="11">
        <v>1</v>
      </c>
      <c r="AR73" s="11">
        <v>1</v>
      </c>
      <c r="AS73" s="11">
        <v>1</v>
      </c>
      <c r="AT73" s="11">
        <v>1</v>
      </c>
      <c r="AU73" s="11">
        <v>1</v>
      </c>
      <c r="AV73" s="11">
        <v>1</v>
      </c>
      <c r="AW73" s="11">
        <v>1</v>
      </c>
      <c r="AX73" s="11">
        <v>1</v>
      </c>
      <c r="AY73" s="11">
        <v>1</v>
      </c>
      <c r="AZ73" s="11">
        <v>1</v>
      </c>
      <c r="BA73" s="11">
        <v>1</v>
      </c>
      <c r="BB73" s="11">
        <v>1</v>
      </c>
      <c r="BC73" s="11">
        <v>1</v>
      </c>
      <c r="BD73" s="11">
        <v>1</v>
      </c>
      <c r="BE73" s="11">
        <v>1</v>
      </c>
      <c r="BF73" s="11">
        <v>1</v>
      </c>
      <c r="BG73" s="11">
        <v>1</v>
      </c>
      <c r="BH73" s="11">
        <v>1</v>
      </c>
      <c r="BI73" s="11">
        <v>1</v>
      </c>
      <c r="BJ73" s="11">
        <v>1</v>
      </c>
      <c r="BK73" s="11">
        <v>1</v>
      </c>
      <c r="BL73" s="11">
        <v>1</v>
      </c>
      <c r="BM73" s="11">
        <v>1</v>
      </c>
      <c r="BN73" s="11">
        <v>1</v>
      </c>
      <c r="BO73" s="11">
        <v>1</v>
      </c>
      <c r="BP73" t="s">
        <v>227</v>
      </c>
      <c r="BQ73" t="s">
        <v>240</v>
      </c>
    </row>
    <row r="74" ht="18" customHeight="1" spans="1:69" x14ac:dyDescent="0.25">
      <c r="A74" s="9"/>
      <c r="B74" s="9"/>
      <c r="C74" s="9"/>
      <c r="D74" s="9"/>
      <c r="E74" s="9"/>
      <c r="F74" s="9"/>
      <c r="G74" s="10"/>
      <c r="H74" s="9" t="s">
        <v>139</v>
      </c>
      <c r="I74" s="9"/>
      <c r="J74" s="9"/>
      <c r="K74" s="9"/>
      <c r="L74" s="9"/>
      <c r="M74" s="9"/>
      <c r="N74" s="9"/>
      <c r="O74" s="10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t="s">
        <v>227</v>
      </c>
      <c r="BQ74" t="s">
        <v>240</v>
      </c>
    </row>
    <row r="75" ht="28" customHeight="1" spans="1:69" x14ac:dyDescent="0.25">
      <c r="A75" s="9"/>
      <c r="B75" s="9"/>
      <c r="C75" s="9"/>
      <c r="D75" s="9"/>
      <c r="E75" s="9"/>
      <c r="F75" s="9" t="s">
        <v>241</v>
      </c>
      <c r="G75" s="10" t="s">
        <v>180</v>
      </c>
      <c r="H75" s="9" t="s">
        <v>136</v>
      </c>
      <c r="I75" s="9">
        <v>1</v>
      </c>
      <c r="J75" s="9">
        <v>1</v>
      </c>
      <c r="K75" s="9" t="s">
        <v>4</v>
      </c>
      <c r="L75" s="9" t="s">
        <v>137</v>
      </c>
      <c r="M75" s="9"/>
      <c r="N75" s="9"/>
      <c r="O75" s="10"/>
      <c r="P75" s="11">
        <v>1</v>
      </c>
      <c r="Q75" s="11">
        <v>1</v>
      </c>
      <c r="R75" s="11">
        <v>1</v>
      </c>
      <c r="S75" s="11">
        <v>1</v>
      </c>
      <c r="T75" s="11">
        <v>1</v>
      </c>
      <c r="U75" s="11">
        <v>1</v>
      </c>
      <c r="V75" s="11">
        <v>1</v>
      </c>
      <c r="W75" s="11">
        <v>1</v>
      </c>
      <c r="X75" s="11">
        <v>1</v>
      </c>
      <c r="Y75" s="11">
        <v>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1">
        <v>1</v>
      </c>
      <c r="AG75" s="11">
        <v>1</v>
      </c>
      <c r="AH75" s="11">
        <v>1</v>
      </c>
      <c r="AI75" s="11">
        <v>1</v>
      </c>
      <c r="AJ75" s="11">
        <v>1</v>
      </c>
      <c r="AK75" s="11">
        <v>1</v>
      </c>
      <c r="AL75" s="11">
        <v>1</v>
      </c>
      <c r="AM75" s="11">
        <v>1</v>
      </c>
      <c r="AN75" s="11">
        <v>1</v>
      </c>
      <c r="AO75" s="11">
        <v>1</v>
      </c>
      <c r="AP75" s="11">
        <v>1</v>
      </c>
      <c r="AQ75" s="11">
        <v>1</v>
      </c>
      <c r="AR75" s="11">
        <v>1</v>
      </c>
      <c r="AS75" s="11">
        <v>1</v>
      </c>
      <c r="AT75" s="11">
        <v>1</v>
      </c>
      <c r="AU75" s="11">
        <v>1</v>
      </c>
      <c r="AV75" s="11">
        <v>1</v>
      </c>
      <c r="AW75" s="11">
        <v>1</v>
      </c>
      <c r="AX75" s="11">
        <v>1</v>
      </c>
      <c r="AY75" s="11">
        <v>1</v>
      </c>
      <c r="AZ75" s="11">
        <v>1</v>
      </c>
      <c r="BA75" s="11">
        <v>1</v>
      </c>
      <c r="BB75" s="11">
        <v>1</v>
      </c>
      <c r="BC75" s="11">
        <v>1</v>
      </c>
      <c r="BD75" s="11">
        <v>1</v>
      </c>
      <c r="BE75" s="11">
        <v>1</v>
      </c>
      <c r="BF75" s="11">
        <v>1</v>
      </c>
      <c r="BG75" s="11">
        <v>1</v>
      </c>
      <c r="BH75" s="11">
        <v>1</v>
      </c>
      <c r="BI75" s="11">
        <v>1</v>
      </c>
      <c r="BJ75" s="11">
        <v>1</v>
      </c>
      <c r="BK75" s="11">
        <v>1</v>
      </c>
      <c r="BL75" s="11">
        <v>1</v>
      </c>
      <c r="BM75" s="11">
        <v>1</v>
      </c>
      <c r="BN75" s="11">
        <v>1</v>
      </c>
      <c r="BO75" s="11">
        <v>1</v>
      </c>
      <c r="BP75" t="s">
        <v>227</v>
      </c>
      <c r="BQ75" t="s">
        <v>242</v>
      </c>
    </row>
    <row r="76" ht="18" customHeight="1" spans="1:69" x14ac:dyDescent="0.25">
      <c r="A76" s="9"/>
      <c r="B76" s="9"/>
      <c r="C76" s="9"/>
      <c r="D76" s="9"/>
      <c r="E76" s="9"/>
      <c r="F76" s="9"/>
      <c r="G76" s="10"/>
      <c r="H76" s="9" t="s">
        <v>139</v>
      </c>
      <c r="I76" s="9"/>
      <c r="J76" s="9"/>
      <c r="K76" s="9"/>
      <c r="L76" s="9"/>
      <c r="M76" s="9"/>
      <c r="N76" s="9"/>
      <c r="O76" s="10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t="s">
        <v>227</v>
      </c>
      <c r="BQ76" t="s">
        <v>242</v>
      </c>
    </row>
    <row r="77" ht="28" customHeight="1" spans="1:69" x14ac:dyDescent="0.25">
      <c r="A77" s="9"/>
      <c r="B77" s="9" t="s">
        <v>243</v>
      </c>
      <c r="C77" s="9" t="s">
        <v>244</v>
      </c>
      <c r="D77" s="9" t="s">
        <v>245</v>
      </c>
      <c r="E77" s="9" t="s">
        <v>165</v>
      </c>
      <c r="F77" s="9" t="s">
        <v>134</v>
      </c>
      <c r="G77" s="10" t="s">
        <v>166</v>
      </c>
      <c r="H77" s="9" t="s">
        <v>136</v>
      </c>
      <c r="I77" s="9">
        <v>1</v>
      </c>
      <c r="J77" s="9">
        <v>1</v>
      </c>
      <c r="K77" s="9" t="s">
        <v>4</v>
      </c>
      <c r="L77" s="9" t="s">
        <v>137</v>
      </c>
      <c r="M77" s="9"/>
      <c r="N77" s="9"/>
      <c r="O77" s="10"/>
      <c r="P77" s="11">
        <v>1</v>
      </c>
      <c r="Q77" s="11">
        <v>1</v>
      </c>
      <c r="R77" s="11">
        <v>1</v>
      </c>
      <c r="S77" s="11">
        <v>1</v>
      </c>
      <c r="T77" s="11">
        <v>1</v>
      </c>
      <c r="U77" s="11">
        <v>1</v>
      </c>
      <c r="V77" s="11">
        <v>1</v>
      </c>
      <c r="W77" s="11">
        <v>1</v>
      </c>
      <c r="X77" s="11">
        <v>1</v>
      </c>
      <c r="Y77" s="11">
        <v>1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1">
        <v>1</v>
      </c>
      <c r="AG77" s="11">
        <v>1</v>
      </c>
      <c r="AH77" s="11">
        <v>1</v>
      </c>
      <c r="AI77" s="11">
        <v>1</v>
      </c>
      <c r="AJ77" s="11">
        <v>1</v>
      </c>
      <c r="AK77" s="11">
        <v>1</v>
      </c>
      <c r="AL77" s="11">
        <v>1</v>
      </c>
      <c r="AM77" s="11">
        <v>1</v>
      </c>
      <c r="AN77" s="11">
        <v>1</v>
      </c>
      <c r="AO77" s="11">
        <v>1</v>
      </c>
      <c r="AP77" s="11">
        <v>1</v>
      </c>
      <c r="AQ77" s="11">
        <v>1</v>
      </c>
      <c r="AR77" s="11">
        <v>1</v>
      </c>
      <c r="AS77" s="11">
        <v>1</v>
      </c>
      <c r="AT77" s="11">
        <v>1</v>
      </c>
      <c r="AU77" s="11">
        <v>1</v>
      </c>
      <c r="AV77" s="11">
        <v>1</v>
      </c>
      <c r="AW77" s="11">
        <v>1</v>
      </c>
      <c r="AX77" s="11">
        <v>1</v>
      </c>
      <c r="AY77" s="11">
        <v>1</v>
      </c>
      <c r="AZ77" s="11">
        <v>1</v>
      </c>
      <c r="BA77" s="11">
        <v>1</v>
      </c>
      <c r="BB77" s="11">
        <v>1</v>
      </c>
      <c r="BC77" s="11">
        <v>1</v>
      </c>
      <c r="BD77" s="11">
        <v>1</v>
      </c>
      <c r="BE77" s="11">
        <v>1</v>
      </c>
      <c r="BF77" s="11">
        <v>1</v>
      </c>
      <c r="BG77" s="11">
        <v>1</v>
      </c>
      <c r="BH77" s="11">
        <v>1</v>
      </c>
      <c r="BI77" s="11">
        <v>1</v>
      </c>
      <c r="BJ77" s="11">
        <v>1</v>
      </c>
      <c r="BK77" s="11">
        <v>1</v>
      </c>
      <c r="BL77" s="11">
        <v>1</v>
      </c>
      <c r="BM77" s="11">
        <v>1</v>
      </c>
      <c r="BN77" s="11">
        <v>1</v>
      </c>
      <c r="BO77" s="11">
        <v>1</v>
      </c>
      <c r="BP77" t="s">
        <v>243</v>
      </c>
      <c r="BQ77" t="s">
        <v>246</v>
      </c>
    </row>
    <row r="78" ht="18" customHeight="1" spans="1:69" x14ac:dyDescent="0.25">
      <c r="A78" s="9"/>
      <c r="B78" s="9"/>
      <c r="C78" s="9"/>
      <c r="D78" s="9"/>
      <c r="E78" s="9"/>
      <c r="F78" s="9"/>
      <c r="G78" s="10"/>
      <c r="H78" s="9" t="s">
        <v>139</v>
      </c>
      <c r="I78" s="9"/>
      <c r="J78" s="9"/>
      <c r="K78" s="9"/>
      <c r="L78" s="9"/>
      <c r="M78" s="9"/>
      <c r="N78" s="9"/>
      <c r="O78" s="10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t="s">
        <v>243</v>
      </c>
      <c r="BQ78" t="s">
        <v>246</v>
      </c>
    </row>
    <row r="79" ht="28" customHeight="1" spans="1:69" x14ac:dyDescent="0.25">
      <c r="A79" s="9"/>
      <c r="B79" s="9"/>
      <c r="C79" s="9"/>
      <c r="D79" s="9"/>
      <c r="E79" s="9"/>
      <c r="F79" s="9" t="s">
        <v>168</v>
      </c>
      <c r="G79" s="10" t="s">
        <v>144</v>
      </c>
      <c r="H79" s="9" t="s">
        <v>136</v>
      </c>
      <c r="I79" s="9">
        <v>5</v>
      </c>
      <c r="J79" s="9">
        <v>10000</v>
      </c>
      <c r="K79" s="9" t="s">
        <v>145</v>
      </c>
      <c r="L79" s="9" t="s">
        <v>9</v>
      </c>
      <c r="M79" s="9"/>
      <c r="N79" s="9"/>
      <c r="O79" s="10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4">
        <v>5</v>
      </c>
      <c r="BK79" s="13"/>
      <c r="BL79" s="13"/>
      <c r="BM79" s="13"/>
      <c r="BN79" s="13"/>
      <c r="BO79" s="13"/>
      <c r="BP79" t="s">
        <v>243</v>
      </c>
      <c r="BQ79" t="s">
        <v>247</v>
      </c>
    </row>
    <row r="80" ht="18" customHeight="1" spans="1:69" x14ac:dyDescent="0.25">
      <c r="A80" s="9"/>
      <c r="B80" s="9"/>
      <c r="C80" s="9"/>
      <c r="D80" s="9"/>
      <c r="E80" s="9"/>
      <c r="F80" s="9"/>
      <c r="G80" s="10"/>
      <c r="H80" s="9" t="s">
        <v>139</v>
      </c>
      <c r="I80" s="9"/>
      <c r="J80" s="9"/>
      <c r="K80" s="9"/>
      <c r="L80" s="9"/>
      <c r="M80" s="9"/>
      <c r="N80" s="9"/>
      <c r="O80" s="10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t="s">
        <v>243</v>
      </c>
      <c r="BQ80" t="s">
        <v>247</v>
      </c>
    </row>
    <row r="81" ht="28" customHeight="1" spans="1:69" x14ac:dyDescent="0.25">
      <c r="A81" s="9"/>
      <c r="B81" s="9"/>
      <c r="C81" s="9"/>
      <c r="D81" s="9"/>
      <c r="E81" s="9"/>
      <c r="F81" s="9" t="s">
        <v>248</v>
      </c>
      <c r="G81" s="10" t="s">
        <v>180</v>
      </c>
      <c r="H81" s="9" t="s">
        <v>136</v>
      </c>
      <c r="I81" s="9">
        <v>1</v>
      </c>
      <c r="J81" s="9">
        <v>8</v>
      </c>
      <c r="K81" s="9" t="s">
        <v>235</v>
      </c>
      <c r="L81" s="9" t="s">
        <v>9</v>
      </c>
      <c r="M81" s="9"/>
      <c r="N81" s="9"/>
      <c r="O81" s="10"/>
      <c r="P81" s="11">
        <v>1</v>
      </c>
      <c r="Q81" s="11">
        <v>1</v>
      </c>
      <c r="R81" s="11">
        <v>1</v>
      </c>
      <c r="S81" s="11">
        <v>1</v>
      </c>
      <c r="T81" s="11">
        <v>1</v>
      </c>
      <c r="U81" s="11">
        <v>1</v>
      </c>
      <c r="V81" s="11">
        <v>1</v>
      </c>
      <c r="W81" s="11">
        <v>1</v>
      </c>
      <c r="X81" s="11">
        <v>1</v>
      </c>
      <c r="Y81" s="11">
        <v>1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  <c r="AF81" s="11">
        <v>1</v>
      </c>
      <c r="AG81" s="11">
        <v>1</v>
      </c>
      <c r="AH81" s="11">
        <v>1</v>
      </c>
      <c r="AI81" s="11">
        <v>1</v>
      </c>
      <c r="AJ81" s="11">
        <v>1</v>
      </c>
      <c r="AK81" s="11">
        <v>1</v>
      </c>
      <c r="AL81" s="11">
        <v>1</v>
      </c>
      <c r="AM81" s="11">
        <v>1</v>
      </c>
      <c r="AN81" s="11">
        <v>1</v>
      </c>
      <c r="AO81" s="11">
        <v>1</v>
      </c>
      <c r="AP81" s="11">
        <v>1</v>
      </c>
      <c r="AQ81" s="11">
        <v>1</v>
      </c>
      <c r="AR81" s="11">
        <v>1</v>
      </c>
      <c r="AS81" s="11">
        <v>1</v>
      </c>
      <c r="AT81" s="11">
        <v>1</v>
      </c>
      <c r="AU81" s="11">
        <v>1</v>
      </c>
      <c r="AV81" s="11">
        <v>1</v>
      </c>
      <c r="AW81" s="11">
        <v>1</v>
      </c>
      <c r="AX81" s="11">
        <v>1</v>
      </c>
      <c r="AY81" s="11">
        <v>1</v>
      </c>
      <c r="AZ81" s="11">
        <v>1</v>
      </c>
      <c r="BA81" s="11">
        <v>1</v>
      </c>
      <c r="BB81" s="11">
        <v>1</v>
      </c>
      <c r="BC81" s="11">
        <v>1</v>
      </c>
      <c r="BD81" s="11">
        <v>1</v>
      </c>
      <c r="BE81" s="11">
        <v>1</v>
      </c>
      <c r="BF81" s="11">
        <v>1</v>
      </c>
      <c r="BG81" s="11">
        <v>1</v>
      </c>
      <c r="BH81" s="11">
        <v>1</v>
      </c>
      <c r="BI81" s="11">
        <v>1</v>
      </c>
      <c r="BJ81" s="11">
        <v>1</v>
      </c>
      <c r="BK81" s="11">
        <v>1</v>
      </c>
      <c r="BL81" s="11">
        <v>1</v>
      </c>
      <c r="BM81" s="11">
        <v>1</v>
      </c>
      <c r="BN81" s="11">
        <v>1</v>
      </c>
      <c r="BO81" s="11">
        <v>1</v>
      </c>
      <c r="BP81" t="s">
        <v>243</v>
      </c>
      <c r="BQ81" t="s">
        <v>249</v>
      </c>
    </row>
    <row r="82" ht="18" customHeight="1" spans="1:69" x14ac:dyDescent="0.25">
      <c r="A82" s="9"/>
      <c r="B82" s="9"/>
      <c r="C82" s="9"/>
      <c r="D82" s="9"/>
      <c r="E82" s="9"/>
      <c r="F82" s="9"/>
      <c r="G82" s="10"/>
      <c r="H82" s="9" t="s">
        <v>139</v>
      </c>
      <c r="I82" s="9"/>
      <c r="J82" s="9"/>
      <c r="K82" s="9"/>
      <c r="L82" s="9"/>
      <c r="M82" s="9"/>
      <c r="N82" s="9"/>
      <c r="O82" s="10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t="s">
        <v>243</v>
      </c>
      <c r="BQ82" t="s">
        <v>249</v>
      </c>
    </row>
    <row r="83" ht="28" customHeight="1" spans="1:69" x14ac:dyDescent="0.25">
      <c r="A83" s="9"/>
      <c r="B83" s="9"/>
      <c r="C83" s="9"/>
      <c r="D83" s="9"/>
      <c r="E83" s="9"/>
      <c r="F83" s="9" t="s">
        <v>250</v>
      </c>
      <c r="G83" s="10" t="s">
        <v>180</v>
      </c>
      <c r="H83" s="9" t="s">
        <v>136</v>
      </c>
      <c r="I83" s="9">
        <v>1</v>
      </c>
      <c r="J83" s="9">
        <v>40</v>
      </c>
      <c r="K83" s="9" t="s">
        <v>159</v>
      </c>
      <c r="L83" s="9" t="s">
        <v>9</v>
      </c>
      <c r="M83" s="9"/>
      <c r="N83" s="9"/>
      <c r="O83" s="10"/>
      <c r="P83" s="11">
        <v>1</v>
      </c>
      <c r="Q83" s="11">
        <v>1</v>
      </c>
      <c r="R83" s="11">
        <v>1</v>
      </c>
      <c r="S83" s="11">
        <v>1</v>
      </c>
      <c r="T83" s="11">
        <v>1</v>
      </c>
      <c r="U83" s="11">
        <v>1</v>
      </c>
      <c r="V83" s="11">
        <v>1</v>
      </c>
      <c r="W83" s="11">
        <v>1</v>
      </c>
      <c r="X83" s="11">
        <v>1</v>
      </c>
      <c r="Y83" s="11">
        <v>1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  <c r="AF83" s="11">
        <v>1</v>
      </c>
      <c r="AG83" s="11">
        <v>1</v>
      </c>
      <c r="AH83" s="11">
        <v>1</v>
      </c>
      <c r="AI83" s="11">
        <v>1</v>
      </c>
      <c r="AJ83" s="11">
        <v>1</v>
      </c>
      <c r="AK83" s="11">
        <v>1</v>
      </c>
      <c r="AL83" s="11">
        <v>1</v>
      </c>
      <c r="AM83" s="11">
        <v>1</v>
      </c>
      <c r="AN83" s="11">
        <v>1</v>
      </c>
      <c r="AO83" s="11">
        <v>1</v>
      </c>
      <c r="AP83" s="11">
        <v>1</v>
      </c>
      <c r="AQ83" s="11">
        <v>1</v>
      </c>
      <c r="AR83" s="11">
        <v>1</v>
      </c>
      <c r="AS83" s="11">
        <v>1</v>
      </c>
      <c r="AT83" s="11">
        <v>1</v>
      </c>
      <c r="AU83" s="11">
        <v>1</v>
      </c>
      <c r="AV83" s="11">
        <v>1</v>
      </c>
      <c r="AW83" s="11">
        <v>1</v>
      </c>
      <c r="AX83" s="11">
        <v>1</v>
      </c>
      <c r="AY83" s="11">
        <v>1</v>
      </c>
      <c r="AZ83" s="11">
        <v>1</v>
      </c>
      <c r="BA83" s="11">
        <v>1</v>
      </c>
      <c r="BB83" s="11">
        <v>1</v>
      </c>
      <c r="BC83" s="11">
        <v>1</v>
      </c>
      <c r="BD83" s="11">
        <v>1</v>
      </c>
      <c r="BE83" s="11">
        <v>1</v>
      </c>
      <c r="BF83" s="11">
        <v>1</v>
      </c>
      <c r="BG83" s="11">
        <v>1</v>
      </c>
      <c r="BH83" s="11">
        <v>1</v>
      </c>
      <c r="BI83" s="11">
        <v>1</v>
      </c>
      <c r="BJ83" s="11">
        <v>1</v>
      </c>
      <c r="BK83" s="11">
        <v>1</v>
      </c>
      <c r="BL83" s="11">
        <v>1</v>
      </c>
      <c r="BM83" s="11">
        <v>1</v>
      </c>
      <c r="BN83" s="11">
        <v>1</v>
      </c>
      <c r="BO83" s="11">
        <v>1</v>
      </c>
      <c r="BP83" t="s">
        <v>243</v>
      </c>
      <c r="BQ83" t="s">
        <v>251</v>
      </c>
    </row>
    <row r="84" ht="18" customHeight="1" spans="1:69" x14ac:dyDescent="0.25">
      <c r="A84" s="9"/>
      <c r="B84" s="9"/>
      <c r="C84" s="9"/>
      <c r="D84" s="9"/>
      <c r="E84" s="9"/>
      <c r="F84" s="9"/>
      <c r="G84" s="10"/>
      <c r="H84" s="9" t="s">
        <v>139</v>
      </c>
      <c r="I84" s="9"/>
      <c r="J84" s="9"/>
      <c r="K84" s="9"/>
      <c r="L84" s="9"/>
      <c r="M84" s="9"/>
      <c r="N84" s="9"/>
      <c r="O84" s="10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t="s">
        <v>243</v>
      </c>
      <c r="BQ84" t="s">
        <v>251</v>
      </c>
    </row>
    <row r="85" ht="28" customHeight="1" spans="1:69" x14ac:dyDescent="0.25">
      <c r="A85" s="9"/>
      <c r="B85" s="9"/>
      <c r="C85" s="9"/>
      <c r="D85" s="9"/>
      <c r="E85" s="9"/>
      <c r="F85" s="9" t="s">
        <v>252</v>
      </c>
      <c r="G85" s="10" t="s">
        <v>180</v>
      </c>
      <c r="H85" s="9" t="s">
        <v>136</v>
      </c>
      <c r="I85" s="9">
        <v>1</v>
      </c>
      <c r="J85" s="9">
        <v>120</v>
      </c>
      <c r="K85" s="9" t="s">
        <v>194</v>
      </c>
      <c r="L85" s="9" t="s">
        <v>9</v>
      </c>
      <c r="M85" s="9"/>
      <c r="N85" s="9"/>
      <c r="O85" s="10"/>
      <c r="P85" s="11">
        <v>1</v>
      </c>
      <c r="Q85" s="11">
        <v>1</v>
      </c>
      <c r="R85" s="11">
        <v>1</v>
      </c>
      <c r="S85" s="11">
        <v>1</v>
      </c>
      <c r="T85" s="11">
        <v>1</v>
      </c>
      <c r="U85" s="11">
        <v>1</v>
      </c>
      <c r="V85" s="11">
        <v>1</v>
      </c>
      <c r="W85" s="11">
        <v>1</v>
      </c>
      <c r="X85" s="11">
        <v>1</v>
      </c>
      <c r="Y85" s="11">
        <v>1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  <c r="AF85" s="11">
        <v>1</v>
      </c>
      <c r="AG85" s="11">
        <v>1</v>
      </c>
      <c r="AH85" s="11">
        <v>1</v>
      </c>
      <c r="AI85" s="11">
        <v>1</v>
      </c>
      <c r="AJ85" s="11">
        <v>1</v>
      </c>
      <c r="AK85" s="11">
        <v>1</v>
      </c>
      <c r="AL85" s="11">
        <v>1</v>
      </c>
      <c r="AM85" s="11">
        <v>1</v>
      </c>
      <c r="AN85" s="11">
        <v>1</v>
      </c>
      <c r="AO85" s="11">
        <v>1</v>
      </c>
      <c r="AP85" s="11">
        <v>1</v>
      </c>
      <c r="AQ85" s="11">
        <v>1</v>
      </c>
      <c r="AR85" s="11">
        <v>1</v>
      </c>
      <c r="AS85" s="11">
        <v>1</v>
      </c>
      <c r="AT85" s="11">
        <v>1</v>
      </c>
      <c r="AU85" s="11">
        <v>1</v>
      </c>
      <c r="AV85" s="11">
        <v>1</v>
      </c>
      <c r="AW85" s="11">
        <v>1</v>
      </c>
      <c r="AX85" s="11">
        <v>1</v>
      </c>
      <c r="AY85" s="11">
        <v>1</v>
      </c>
      <c r="AZ85" s="11">
        <v>1</v>
      </c>
      <c r="BA85" s="11">
        <v>1</v>
      </c>
      <c r="BB85" s="11">
        <v>1</v>
      </c>
      <c r="BC85" s="11">
        <v>1</v>
      </c>
      <c r="BD85" s="11">
        <v>1</v>
      </c>
      <c r="BE85" s="11">
        <v>1</v>
      </c>
      <c r="BF85" s="11">
        <v>1</v>
      </c>
      <c r="BG85" s="11">
        <v>1</v>
      </c>
      <c r="BH85" s="11">
        <v>1</v>
      </c>
      <c r="BI85" s="11">
        <v>1</v>
      </c>
      <c r="BJ85" s="11">
        <v>1</v>
      </c>
      <c r="BK85" s="11">
        <v>1</v>
      </c>
      <c r="BL85" s="11">
        <v>1</v>
      </c>
      <c r="BM85" s="11">
        <v>1</v>
      </c>
      <c r="BN85" s="11">
        <v>1</v>
      </c>
      <c r="BO85" s="11">
        <v>1</v>
      </c>
      <c r="BP85" t="s">
        <v>243</v>
      </c>
      <c r="BQ85" t="s">
        <v>253</v>
      </c>
    </row>
    <row r="86" ht="18" customHeight="1" spans="1:69" x14ac:dyDescent="0.25">
      <c r="A86" s="9"/>
      <c r="B86" s="9"/>
      <c r="C86" s="9"/>
      <c r="D86" s="9"/>
      <c r="E86" s="9"/>
      <c r="F86" s="9"/>
      <c r="G86" s="10"/>
      <c r="H86" s="9" t="s">
        <v>139</v>
      </c>
      <c r="I86" s="9"/>
      <c r="J86" s="9"/>
      <c r="K86" s="9"/>
      <c r="L86" s="9"/>
      <c r="M86" s="9"/>
      <c r="N86" s="9"/>
      <c r="O86" s="10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t="s">
        <v>243</v>
      </c>
      <c r="BQ86" t="s">
        <v>253</v>
      </c>
    </row>
    <row r="87" ht="28" customHeight="1" spans="1:69" x14ac:dyDescent="0.25">
      <c r="A87" s="9"/>
      <c r="B87" s="9"/>
      <c r="C87" s="9"/>
      <c r="D87" s="9"/>
      <c r="E87" s="9"/>
      <c r="F87" s="9" t="s">
        <v>241</v>
      </c>
      <c r="G87" s="10" t="s">
        <v>180</v>
      </c>
      <c r="H87" s="9" t="s">
        <v>136</v>
      </c>
      <c r="I87" s="9">
        <v>1</v>
      </c>
      <c r="J87" s="9">
        <v>1</v>
      </c>
      <c r="K87" s="9" t="s">
        <v>4</v>
      </c>
      <c r="L87" s="9" t="s">
        <v>137</v>
      </c>
      <c r="M87" s="9"/>
      <c r="N87" s="9"/>
      <c r="O87" s="10"/>
      <c r="P87" s="11">
        <v>1</v>
      </c>
      <c r="Q87" s="11">
        <v>1</v>
      </c>
      <c r="R87" s="11">
        <v>1</v>
      </c>
      <c r="S87" s="11">
        <v>1</v>
      </c>
      <c r="T87" s="11">
        <v>1</v>
      </c>
      <c r="U87" s="11">
        <v>1</v>
      </c>
      <c r="V87" s="11">
        <v>1</v>
      </c>
      <c r="W87" s="11">
        <v>1</v>
      </c>
      <c r="X87" s="11">
        <v>1</v>
      </c>
      <c r="Y87" s="11">
        <v>1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  <c r="AF87" s="11">
        <v>1</v>
      </c>
      <c r="AG87" s="11">
        <v>1</v>
      </c>
      <c r="AH87" s="11">
        <v>1</v>
      </c>
      <c r="AI87" s="11">
        <v>1</v>
      </c>
      <c r="AJ87" s="11">
        <v>1</v>
      </c>
      <c r="AK87" s="11">
        <v>1</v>
      </c>
      <c r="AL87" s="11">
        <v>1</v>
      </c>
      <c r="AM87" s="11">
        <v>1</v>
      </c>
      <c r="AN87" s="11">
        <v>1</v>
      </c>
      <c r="AO87" s="11">
        <v>1</v>
      </c>
      <c r="AP87" s="11">
        <v>1</v>
      </c>
      <c r="AQ87" s="11">
        <v>1</v>
      </c>
      <c r="AR87" s="11">
        <v>1</v>
      </c>
      <c r="AS87" s="11">
        <v>1</v>
      </c>
      <c r="AT87" s="11">
        <v>1</v>
      </c>
      <c r="AU87" s="11">
        <v>1</v>
      </c>
      <c r="AV87" s="11">
        <v>1</v>
      </c>
      <c r="AW87" s="11">
        <v>1</v>
      </c>
      <c r="AX87" s="11">
        <v>1</v>
      </c>
      <c r="AY87" s="11">
        <v>1</v>
      </c>
      <c r="AZ87" s="11">
        <v>1</v>
      </c>
      <c r="BA87" s="11">
        <v>1</v>
      </c>
      <c r="BB87" s="11">
        <v>1</v>
      </c>
      <c r="BC87" s="11">
        <v>1</v>
      </c>
      <c r="BD87" s="11">
        <v>1</v>
      </c>
      <c r="BE87" s="11">
        <v>1</v>
      </c>
      <c r="BF87" s="11">
        <v>1</v>
      </c>
      <c r="BG87" s="11">
        <v>1</v>
      </c>
      <c r="BH87" s="11">
        <v>1</v>
      </c>
      <c r="BI87" s="11">
        <v>1</v>
      </c>
      <c r="BJ87" s="11">
        <v>1</v>
      </c>
      <c r="BK87" s="11">
        <v>1</v>
      </c>
      <c r="BL87" s="11">
        <v>1</v>
      </c>
      <c r="BM87" s="11">
        <v>1</v>
      </c>
      <c r="BN87" s="11">
        <v>1</v>
      </c>
      <c r="BO87" s="11">
        <v>1</v>
      </c>
      <c r="BP87" t="s">
        <v>243</v>
      </c>
      <c r="BQ87" t="s">
        <v>254</v>
      </c>
    </row>
    <row r="88" ht="18" customHeight="1" spans="1:69" x14ac:dyDescent="0.25">
      <c r="A88" s="9"/>
      <c r="B88" s="9"/>
      <c r="C88" s="9"/>
      <c r="D88" s="9"/>
      <c r="E88" s="9"/>
      <c r="F88" s="9"/>
      <c r="G88" s="10"/>
      <c r="H88" s="9" t="s">
        <v>139</v>
      </c>
      <c r="I88" s="9"/>
      <c r="J88" s="9"/>
      <c r="K88" s="9"/>
      <c r="L88" s="9"/>
      <c r="M88" s="9"/>
      <c r="N88" s="9"/>
      <c r="O88" s="10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t="s">
        <v>243</v>
      </c>
      <c r="BQ88" t="s">
        <v>254</v>
      </c>
    </row>
    <row r="89" ht="28" customHeight="1" spans="1:69" x14ac:dyDescent="0.25">
      <c r="A89" s="9" t="s">
        <v>255</v>
      </c>
      <c r="B89" s="9" t="s">
        <v>256</v>
      </c>
      <c r="C89" s="9" t="s">
        <v>257</v>
      </c>
      <c r="D89" s="9" t="s">
        <v>258</v>
      </c>
      <c r="E89" s="9" t="s">
        <v>259</v>
      </c>
      <c r="F89" s="9" t="s">
        <v>134</v>
      </c>
      <c r="G89" s="10" t="s">
        <v>166</v>
      </c>
      <c r="H89" s="9" t="s">
        <v>136</v>
      </c>
      <c r="I89" s="9">
        <v>1</v>
      </c>
      <c r="J89" s="9">
        <v>1</v>
      </c>
      <c r="K89" s="9" t="s">
        <v>4</v>
      </c>
      <c r="L89" s="9" t="s">
        <v>137</v>
      </c>
      <c r="M89" s="9"/>
      <c r="N89" s="9"/>
      <c r="O89" s="10"/>
      <c r="P89" s="11">
        <v>1</v>
      </c>
      <c r="Q89" s="11">
        <v>1</v>
      </c>
      <c r="R89" s="11">
        <v>1</v>
      </c>
      <c r="S89" s="11">
        <v>1</v>
      </c>
      <c r="T89" s="11">
        <v>1</v>
      </c>
      <c r="U89" s="11">
        <v>1</v>
      </c>
      <c r="V89" s="11">
        <v>1</v>
      </c>
      <c r="W89" s="11">
        <v>1</v>
      </c>
      <c r="X89" s="11">
        <v>1</v>
      </c>
      <c r="Y89" s="11">
        <v>1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  <c r="AF89" s="11">
        <v>1</v>
      </c>
      <c r="AG89" s="11">
        <v>1</v>
      </c>
      <c r="AH89" s="11">
        <v>1</v>
      </c>
      <c r="AI89" s="11">
        <v>1</v>
      </c>
      <c r="AJ89" s="11">
        <v>1</v>
      </c>
      <c r="AK89" s="11">
        <v>1</v>
      </c>
      <c r="AL89" s="11">
        <v>1</v>
      </c>
      <c r="AM89" s="11">
        <v>1</v>
      </c>
      <c r="AN89" s="11">
        <v>1</v>
      </c>
      <c r="AO89" s="11">
        <v>1</v>
      </c>
      <c r="AP89" s="11">
        <v>1</v>
      </c>
      <c r="AQ89" s="11">
        <v>1</v>
      </c>
      <c r="AR89" s="11">
        <v>1</v>
      </c>
      <c r="AS89" s="11">
        <v>1</v>
      </c>
      <c r="AT89" s="11">
        <v>1</v>
      </c>
      <c r="AU89" s="11">
        <v>1</v>
      </c>
      <c r="AV89" s="11">
        <v>1</v>
      </c>
      <c r="AW89" s="11">
        <v>1</v>
      </c>
      <c r="AX89" s="11">
        <v>1</v>
      </c>
      <c r="AY89" s="11">
        <v>1</v>
      </c>
      <c r="AZ89" s="11">
        <v>1</v>
      </c>
      <c r="BA89" s="11">
        <v>1</v>
      </c>
      <c r="BB89" s="11">
        <v>1</v>
      </c>
      <c r="BC89" s="11">
        <v>1</v>
      </c>
      <c r="BD89" s="11">
        <v>1</v>
      </c>
      <c r="BE89" s="11">
        <v>1</v>
      </c>
      <c r="BF89" s="11">
        <v>1</v>
      </c>
      <c r="BG89" s="11">
        <v>1</v>
      </c>
      <c r="BH89" s="11">
        <v>1</v>
      </c>
      <c r="BI89" s="11">
        <v>1</v>
      </c>
      <c r="BJ89" s="11">
        <v>1</v>
      </c>
      <c r="BK89" s="11">
        <v>1</v>
      </c>
      <c r="BL89" s="11">
        <v>1</v>
      </c>
      <c r="BM89" s="11">
        <v>1</v>
      </c>
      <c r="BN89" s="11">
        <v>1</v>
      </c>
      <c r="BO89" s="11">
        <v>1</v>
      </c>
      <c r="BP89" t="s">
        <v>256</v>
      </c>
      <c r="BQ89" t="s">
        <v>260</v>
      </c>
    </row>
    <row r="90" ht="18" customHeight="1" spans="1:69" x14ac:dyDescent="0.25">
      <c r="A90" s="9"/>
      <c r="B90" s="9"/>
      <c r="C90" s="9"/>
      <c r="D90" s="9"/>
      <c r="E90" s="9"/>
      <c r="F90" s="9"/>
      <c r="G90" s="10"/>
      <c r="H90" s="9" t="s">
        <v>139</v>
      </c>
      <c r="I90" s="9"/>
      <c r="J90" s="9"/>
      <c r="K90" s="9"/>
      <c r="L90" s="9"/>
      <c r="M90" s="9"/>
      <c r="N90" s="9"/>
      <c r="O90" s="10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t="s">
        <v>256</v>
      </c>
      <c r="BQ90" t="s">
        <v>260</v>
      </c>
    </row>
    <row r="91" ht="28" customHeight="1" spans="1:69" x14ac:dyDescent="0.25">
      <c r="A91" s="9"/>
      <c r="B91" s="9"/>
      <c r="C91" s="9"/>
      <c r="D91" s="9"/>
      <c r="E91" s="9"/>
      <c r="F91" s="9" t="s">
        <v>261</v>
      </c>
      <c r="G91" s="10" t="s">
        <v>262</v>
      </c>
      <c r="H91" s="9" t="s">
        <v>136</v>
      </c>
      <c r="I91" s="9">
        <v>2</v>
      </c>
      <c r="J91" s="9">
        <v>1</v>
      </c>
      <c r="K91" s="9" t="s">
        <v>5</v>
      </c>
      <c r="L91" s="9" t="s">
        <v>137</v>
      </c>
      <c r="M91" s="9"/>
      <c r="N91" s="9"/>
      <c r="O91" s="10"/>
      <c r="P91" s="13"/>
      <c r="Q91" s="13"/>
      <c r="R91" s="16">
        <v>2</v>
      </c>
      <c r="S91" s="13"/>
      <c r="T91" s="13"/>
      <c r="U91" s="13"/>
      <c r="V91" s="13"/>
      <c r="W91" s="16">
        <v>2</v>
      </c>
      <c r="X91" s="13"/>
      <c r="Y91" s="13"/>
      <c r="Z91" s="13"/>
      <c r="AA91" s="16">
        <v>2</v>
      </c>
      <c r="AB91" s="13"/>
      <c r="AC91" s="13"/>
      <c r="AD91" s="13"/>
      <c r="AE91" s="16">
        <v>2</v>
      </c>
      <c r="AF91" s="13"/>
      <c r="AG91" s="13"/>
      <c r="AH91" s="13"/>
      <c r="AI91" s="16">
        <v>2</v>
      </c>
      <c r="AJ91" s="13"/>
      <c r="AK91" s="13"/>
      <c r="AL91" s="13"/>
      <c r="AM91" s="13"/>
      <c r="AN91" s="16">
        <v>2</v>
      </c>
      <c r="AO91" s="13"/>
      <c r="AP91" s="13"/>
      <c r="AQ91" s="13"/>
      <c r="AR91" s="16">
        <v>2</v>
      </c>
      <c r="AS91" s="13"/>
      <c r="AT91" s="13"/>
      <c r="AU91" s="13"/>
      <c r="AV91" s="13"/>
      <c r="AW91" s="16">
        <v>2</v>
      </c>
      <c r="AX91" s="13"/>
      <c r="AY91" s="13"/>
      <c r="AZ91" s="13"/>
      <c r="BA91" s="16">
        <v>2</v>
      </c>
      <c r="BB91" s="13"/>
      <c r="BC91" s="13"/>
      <c r="BD91" s="13"/>
      <c r="BE91" s="16">
        <v>2</v>
      </c>
      <c r="BF91" s="13"/>
      <c r="BG91" s="13"/>
      <c r="BH91" s="13"/>
      <c r="BI91" s="13"/>
      <c r="BJ91" s="16">
        <v>2</v>
      </c>
      <c r="BK91" s="13"/>
      <c r="BL91" s="13"/>
      <c r="BM91" s="13"/>
      <c r="BN91" s="16">
        <v>2</v>
      </c>
      <c r="BO91" s="13"/>
      <c r="BP91" t="s">
        <v>256</v>
      </c>
      <c r="BQ91" t="s">
        <v>263</v>
      </c>
    </row>
    <row r="92" ht="18" customHeight="1" spans="1:69" x14ac:dyDescent="0.25">
      <c r="A92" s="9"/>
      <c r="B92" s="9"/>
      <c r="C92" s="9"/>
      <c r="D92" s="9"/>
      <c r="E92" s="9"/>
      <c r="F92" s="9"/>
      <c r="G92" s="10"/>
      <c r="H92" s="9" t="s">
        <v>139</v>
      </c>
      <c r="I92" s="9"/>
      <c r="J92" s="9"/>
      <c r="K92" s="9"/>
      <c r="L92" s="9"/>
      <c r="M92" s="9"/>
      <c r="N92" s="9"/>
      <c r="O92" s="10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t="s">
        <v>256</v>
      </c>
      <c r="BQ92" t="s">
        <v>263</v>
      </c>
    </row>
    <row r="93" ht="28" customHeight="1" spans="1:69" x14ac:dyDescent="0.25">
      <c r="A93" s="9"/>
      <c r="B93" s="9"/>
      <c r="C93" s="9"/>
      <c r="D93" s="9"/>
      <c r="E93" s="9"/>
      <c r="F93" s="9" t="s">
        <v>261</v>
      </c>
      <c r="G93" s="10" t="s">
        <v>264</v>
      </c>
      <c r="H93" s="9" t="s">
        <v>136</v>
      </c>
      <c r="I93" s="9">
        <v>5</v>
      </c>
      <c r="J93" s="9">
        <v>12</v>
      </c>
      <c r="K93" s="9" t="s">
        <v>8</v>
      </c>
      <c r="L93" s="9" t="s">
        <v>137</v>
      </c>
      <c r="M93" s="9"/>
      <c r="N93" s="9"/>
      <c r="O93" s="10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4">
        <v>5</v>
      </c>
      <c r="BK93" s="13"/>
      <c r="BL93" s="13"/>
      <c r="BM93" s="13"/>
      <c r="BN93" s="13"/>
      <c r="BO93" s="13"/>
      <c r="BP93" t="s">
        <v>256</v>
      </c>
      <c r="BQ93" t="s">
        <v>265</v>
      </c>
    </row>
    <row r="94" ht="18" customHeight="1" spans="1:69" x14ac:dyDescent="0.25">
      <c r="A94" s="9"/>
      <c r="B94" s="9"/>
      <c r="C94" s="9"/>
      <c r="D94" s="9"/>
      <c r="E94" s="9"/>
      <c r="F94" s="9"/>
      <c r="G94" s="10"/>
      <c r="H94" s="9" t="s">
        <v>139</v>
      </c>
      <c r="I94" s="9"/>
      <c r="J94" s="9"/>
      <c r="K94" s="9"/>
      <c r="L94" s="9"/>
      <c r="M94" s="9"/>
      <c r="N94" s="9"/>
      <c r="O94" s="10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t="s">
        <v>256</v>
      </c>
      <c r="BQ94" t="s">
        <v>265</v>
      </c>
    </row>
    <row r="95" ht="28" customHeight="1" spans="1:69" x14ac:dyDescent="0.25">
      <c r="A95" s="9"/>
      <c r="B95" s="9"/>
      <c r="C95" s="9"/>
      <c r="D95" s="9"/>
      <c r="E95" s="9"/>
      <c r="F95" s="9" t="s">
        <v>168</v>
      </c>
      <c r="G95" s="10" t="s">
        <v>169</v>
      </c>
      <c r="H95" s="9" t="s">
        <v>136</v>
      </c>
      <c r="I95" s="9">
        <v>3</v>
      </c>
      <c r="J95" s="9">
        <v>2000</v>
      </c>
      <c r="K95" s="9" t="s">
        <v>189</v>
      </c>
      <c r="L95" s="9" t="s">
        <v>9</v>
      </c>
      <c r="M95" s="9"/>
      <c r="N95" s="9"/>
      <c r="O95" s="10"/>
      <c r="P95" s="13"/>
      <c r="Q95" s="13"/>
      <c r="R95" s="17">
        <v>3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7">
        <v>3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7">
        <v>3</v>
      </c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7">
        <v>3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t="s">
        <v>256</v>
      </c>
      <c r="BQ95" t="s">
        <v>266</v>
      </c>
    </row>
    <row r="96" ht="18" customHeight="1" spans="1:69" x14ac:dyDescent="0.25">
      <c r="A96" s="9"/>
      <c r="B96" s="9"/>
      <c r="C96" s="9"/>
      <c r="D96" s="9"/>
      <c r="E96" s="9"/>
      <c r="F96" s="9"/>
      <c r="G96" s="10"/>
      <c r="H96" s="9" t="s">
        <v>139</v>
      </c>
      <c r="I96" s="9"/>
      <c r="J96" s="9"/>
      <c r="K96" s="9"/>
      <c r="L96" s="9"/>
      <c r="M96" s="9"/>
      <c r="N96" s="9"/>
      <c r="O96" s="10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t="s">
        <v>256</v>
      </c>
      <c r="BQ96" t="s">
        <v>266</v>
      </c>
    </row>
    <row r="97" ht="28" customHeight="1" spans="1:69" x14ac:dyDescent="0.25">
      <c r="A97" s="9"/>
      <c r="B97" s="9"/>
      <c r="C97" s="9"/>
      <c r="D97" s="9"/>
      <c r="E97" s="9"/>
      <c r="F97" s="9" t="s">
        <v>168</v>
      </c>
      <c r="G97" s="10" t="s">
        <v>144</v>
      </c>
      <c r="H97" s="9" t="s">
        <v>136</v>
      </c>
      <c r="I97" s="9">
        <v>5</v>
      </c>
      <c r="J97" s="9">
        <v>10000</v>
      </c>
      <c r="K97" s="9" t="s">
        <v>145</v>
      </c>
      <c r="L97" s="9" t="s">
        <v>9</v>
      </c>
      <c r="M97" s="9"/>
      <c r="N97" s="9"/>
      <c r="O97" s="10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4">
        <v>5</v>
      </c>
      <c r="BK97" s="13"/>
      <c r="BL97" s="13"/>
      <c r="BM97" s="13"/>
      <c r="BN97" s="13"/>
      <c r="BO97" s="13"/>
      <c r="BP97" t="s">
        <v>256</v>
      </c>
      <c r="BQ97" t="s">
        <v>267</v>
      </c>
    </row>
    <row r="98" ht="18" customHeight="1" spans="1:69" x14ac:dyDescent="0.25">
      <c r="A98" s="9"/>
      <c r="B98" s="9"/>
      <c r="C98" s="9"/>
      <c r="D98" s="9"/>
      <c r="E98" s="9"/>
      <c r="F98" s="9"/>
      <c r="G98" s="10"/>
      <c r="H98" s="9" t="s">
        <v>139</v>
      </c>
      <c r="I98" s="9"/>
      <c r="J98" s="9"/>
      <c r="K98" s="9"/>
      <c r="L98" s="9"/>
      <c r="M98" s="9"/>
      <c r="N98" s="9"/>
      <c r="O98" s="10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t="s">
        <v>256</v>
      </c>
      <c r="BQ98" t="s">
        <v>267</v>
      </c>
    </row>
    <row r="99" ht="28" customHeight="1" spans="1:69" x14ac:dyDescent="0.25">
      <c r="A99" s="9"/>
      <c r="B99" s="9"/>
      <c r="C99" s="9"/>
      <c r="D99" s="9"/>
      <c r="E99" s="9"/>
      <c r="F99" s="9" t="s">
        <v>268</v>
      </c>
      <c r="G99" s="10" t="s">
        <v>269</v>
      </c>
      <c r="H99" s="9" t="s">
        <v>136</v>
      </c>
      <c r="I99" s="9">
        <v>2</v>
      </c>
      <c r="J99" s="9">
        <v>1</v>
      </c>
      <c r="K99" s="9" t="s">
        <v>5</v>
      </c>
      <c r="L99" s="9" t="s">
        <v>137</v>
      </c>
      <c r="M99" s="9"/>
      <c r="N99" s="9"/>
      <c r="O99" s="10"/>
      <c r="P99" s="13"/>
      <c r="Q99" s="13"/>
      <c r="R99" s="16">
        <v>2</v>
      </c>
      <c r="S99" s="13"/>
      <c r="T99" s="13"/>
      <c r="U99" s="13"/>
      <c r="V99" s="13"/>
      <c r="W99" s="16">
        <v>2</v>
      </c>
      <c r="X99" s="13"/>
      <c r="Y99" s="13"/>
      <c r="Z99" s="13"/>
      <c r="AA99" s="16">
        <v>2</v>
      </c>
      <c r="AB99" s="13"/>
      <c r="AC99" s="13"/>
      <c r="AD99" s="13"/>
      <c r="AE99" s="16">
        <v>2</v>
      </c>
      <c r="AF99" s="13"/>
      <c r="AG99" s="13"/>
      <c r="AH99" s="13"/>
      <c r="AI99" s="16">
        <v>2</v>
      </c>
      <c r="AJ99" s="13"/>
      <c r="AK99" s="13"/>
      <c r="AL99" s="13"/>
      <c r="AM99" s="13"/>
      <c r="AN99" s="16">
        <v>2</v>
      </c>
      <c r="AO99" s="13"/>
      <c r="AP99" s="13"/>
      <c r="AQ99" s="13"/>
      <c r="AR99" s="16">
        <v>2</v>
      </c>
      <c r="AS99" s="13"/>
      <c r="AT99" s="13"/>
      <c r="AU99" s="13"/>
      <c r="AV99" s="13"/>
      <c r="AW99" s="16">
        <v>2</v>
      </c>
      <c r="AX99" s="13"/>
      <c r="AY99" s="13"/>
      <c r="AZ99" s="13"/>
      <c r="BA99" s="16">
        <v>2</v>
      </c>
      <c r="BB99" s="13"/>
      <c r="BC99" s="13"/>
      <c r="BD99" s="13"/>
      <c r="BE99" s="16">
        <v>2</v>
      </c>
      <c r="BF99" s="13"/>
      <c r="BG99" s="13"/>
      <c r="BH99" s="13"/>
      <c r="BI99" s="13"/>
      <c r="BJ99" s="16">
        <v>2</v>
      </c>
      <c r="BK99" s="13"/>
      <c r="BL99" s="13"/>
      <c r="BM99" s="13"/>
      <c r="BN99" s="16">
        <v>2</v>
      </c>
      <c r="BO99" s="13"/>
      <c r="BP99" t="s">
        <v>256</v>
      </c>
      <c r="BQ99" t="s">
        <v>270</v>
      </c>
    </row>
    <row r="100" ht="18" customHeight="1" spans="1:69" x14ac:dyDescent="0.25">
      <c r="A100" s="9"/>
      <c r="B100" s="9"/>
      <c r="C100" s="9"/>
      <c r="D100" s="9"/>
      <c r="E100" s="9"/>
      <c r="F100" s="9"/>
      <c r="G100" s="10"/>
      <c r="H100" s="9" t="s">
        <v>139</v>
      </c>
      <c r="I100" s="9"/>
      <c r="J100" s="9"/>
      <c r="K100" s="9"/>
      <c r="L100" s="9"/>
      <c r="M100" s="9"/>
      <c r="N100" s="9"/>
      <c r="O100" s="10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t="s">
        <v>256</v>
      </c>
      <c r="BQ100" t="s">
        <v>270</v>
      </c>
    </row>
    <row r="101" ht="28" customHeight="1" spans="1:69" x14ac:dyDescent="0.25">
      <c r="A101" s="9"/>
      <c r="B101" s="9"/>
      <c r="C101" s="9"/>
      <c r="D101" s="9"/>
      <c r="E101" s="9"/>
      <c r="F101" s="9" t="s">
        <v>271</v>
      </c>
      <c r="G101" s="10" t="s">
        <v>272</v>
      </c>
      <c r="H101" s="9" t="s">
        <v>136</v>
      </c>
      <c r="I101" s="9">
        <v>2</v>
      </c>
      <c r="J101" s="9">
        <v>1</v>
      </c>
      <c r="K101" s="9" t="s">
        <v>5</v>
      </c>
      <c r="L101" s="9" t="s">
        <v>137</v>
      </c>
      <c r="M101" s="9"/>
      <c r="N101" s="9"/>
      <c r="O101" s="10"/>
      <c r="P101" s="13"/>
      <c r="Q101" s="13"/>
      <c r="R101" s="16">
        <v>2</v>
      </c>
      <c r="S101" s="13"/>
      <c r="T101" s="13"/>
      <c r="U101" s="13"/>
      <c r="V101" s="13"/>
      <c r="W101" s="16">
        <v>2</v>
      </c>
      <c r="X101" s="13"/>
      <c r="Y101" s="13"/>
      <c r="Z101" s="13"/>
      <c r="AA101" s="16">
        <v>2</v>
      </c>
      <c r="AB101" s="13"/>
      <c r="AC101" s="13"/>
      <c r="AD101" s="13"/>
      <c r="AE101" s="16">
        <v>2</v>
      </c>
      <c r="AF101" s="13"/>
      <c r="AG101" s="13"/>
      <c r="AH101" s="13"/>
      <c r="AI101" s="16">
        <v>2</v>
      </c>
      <c r="AJ101" s="13"/>
      <c r="AK101" s="13"/>
      <c r="AL101" s="13"/>
      <c r="AM101" s="13"/>
      <c r="AN101" s="16">
        <v>2</v>
      </c>
      <c r="AO101" s="13"/>
      <c r="AP101" s="13"/>
      <c r="AQ101" s="13"/>
      <c r="AR101" s="16">
        <v>2</v>
      </c>
      <c r="AS101" s="13"/>
      <c r="AT101" s="13"/>
      <c r="AU101" s="13"/>
      <c r="AV101" s="13"/>
      <c r="AW101" s="16">
        <v>2</v>
      </c>
      <c r="AX101" s="13"/>
      <c r="AY101" s="13"/>
      <c r="AZ101" s="13"/>
      <c r="BA101" s="16">
        <v>2</v>
      </c>
      <c r="BB101" s="13"/>
      <c r="BC101" s="13"/>
      <c r="BD101" s="13"/>
      <c r="BE101" s="16">
        <v>2</v>
      </c>
      <c r="BF101" s="13"/>
      <c r="BG101" s="13"/>
      <c r="BH101" s="13"/>
      <c r="BI101" s="13"/>
      <c r="BJ101" s="16">
        <v>2</v>
      </c>
      <c r="BK101" s="13"/>
      <c r="BL101" s="13"/>
      <c r="BM101" s="13"/>
      <c r="BN101" s="16">
        <v>2</v>
      </c>
      <c r="BO101" s="13"/>
      <c r="BP101" t="s">
        <v>256</v>
      </c>
      <c r="BQ101" t="s">
        <v>273</v>
      </c>
    </row>
    <row r="102" ht="18" customHeight="1" spans="1:69" x14ac:dyDescent="0.25">
      <c r="A102" s="9"/>
      <c r="B102" s="9"/>
      <c r="C102" s="9"/>
      <c r="D102" s="9"/>
      <c r="E102" s="9"/>
      <c r="F102" s="9"/>
      <c r="G102" s="10"/>
      <c r="H102" s="9" t="s">
        <v>139</v>
      </c>
      <c r="I102" s="9"/>
      <c r="J102" s="9"/>
      <c r="K102" s="9"/>
      <c r="L102" s="9"/>
      <c r="M102" s="9"/>
      <c r="N102" s="9"/>
      <c r="O102" s="10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t="s">
        <v>256</v>
      </c>
      <c r="BQ102" t="s">
        <v>273</v>
      </c>
    </row>
    <row r="103" ht="28" customHeight="1" spans="1:69" x14ac:dyDescent="0.25">
      <c r="A103" s="9"/>
      <c r="B103" s="9"/>
      <c r="C103" s="9"/>
      <c r="D103" s="9"/>
      <c r="E103" s="9"/>
      <c r="F103" s="9" t="s">
        <v>274</v>
      </c>
      <c r="G103" s="10" t="s">
        <v>275</v>
      </c>
      <c r="H103" s="9" t="s">
        <v>136</v>
      </c>
      <c r="I103" s="9">
        <v>2</v>
      </c>
      <c r="J103" s="9">
        <v>1</v>
      </c>
      <c r="K103" s="9" t="s">
        <v>5</v>
      </c>
      <c r="L103" s="9" t="s">
        <v>137</v>
      </c>
      <c r="M103" s="9"/>
      <c r="N103" s="9"/>
      <c r="O103" s="10"/>
      <c r="P103" s="13"/>
      <c r="Q103" s="13"/>
      <c r="R103" s="16">
        <v>2</v>
      </c>
      <c r="S103" s="13"/>
      <c r="T103" s="13"/>
      <c r="U103" s="13"/>
      <c r="V103" s="13"/>
      <c r="W103" s="16">
        <v>2</v>
      </c>
      <c r="X103" s="13"/>
      <c r="Y103" s="13"/>
      <c r="Z103" s="13"/>
      <c r="AA103" s="16">
        <v>2</v>
      </c>
      <c r="AB103" s="13"/>
      <c r="AC103" s="13"/>
      <c r="AD103" s="13"/>
      <c r="AE103" s="16">
        <v>2</v>
      </c>
      <c r="AF103" s="13"/>
      <c r="AG103" s="13"/>
      <c r="AH103" s="13"/>
      <c r="AI103" s="16">
        <v>2</v>
      </c>
      <c r="AJ103" s="13"/>
      <c r="AK103" s="13"/>
      <c r="AL103" s="13"/>
      <c r="AM103" s="13"/>
      <c r="AN103" s="16">
        <v>2</v>
      </c>
      <c r="AO103" s="13"/>
      <c r="AP103" s="13"/>
      <c r="AQ103" s="13"/>
      <c r="AR103" s="16">
        <v>2</v>
      </c>
      <c r="AS103" s="13"/>
      <c r="AT103" s="13"/>
      <c r="AU103" s="13"/>
      <c r="AV103" s="13"/>
      <c r="AW103" s="16">
        <v>2</v>
      </c>
      <c r="AX103" s="13"/>
      <c r="AY103" s="13"/>
      <c r="AZ103" s="13"/>
      <c r="BA103" s="16">
        <v>2</v>
      </c>
      <c r="BB103" s="13"/>
      <c r="BC103" s="13"/>
      <c r="BD103" s="13"/>
      <c r="BE103" s="16">
        <v>2</v>
      </c>
      <c r="BF103" s="13"/>
      <c r="BG103" s="13"/>
      <c r="BH103" s="13"/>
      <c r="BI103" s="13"/>
      <c r="BJ103" s="16">
        <v>2</v>
      </c>
      <c r="BK103" s="13"/>
      <c r="BL103" s="13"/>
      <c r="BM103" s="13"/>
      <c r="BN103" s="16">
        <v>2</v>
      </c>
      <c r="BO103" s="13"/>
      <c r="BP103" t="s">
        <v>256</v>
      </c>
      <c r="BQ103" t="s">
        <v>276</v>
      </c>
    </row>
    <row r="104" ht="18" customHeight="1" spans="1:69" x14ac:dyDescent="0.25">
      <c r="A104" s="9"/>
      <c r="B104" s="9"/>
      <c r="C104" s="9"/>
      <c r="D104" s="9"/>
      <c r="E104" s="9"/>
      <c r="F104" s="9"/>
      <c r="G104" s="10"/>
      <c r="H104" s="9" t="s">
        <v>139</v>
      </c>
      <c r="I104" s="9"/>
      <c r="J104" s="9"/>
      <c r="K104" s="9"/>
      <c r="L104" s="9"/>
      <c r="M104" s="9"/>
      <c r="N104" s="9"/>
      <c r="O104" s="10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t="s">
        <v>256</v>
      </c>
      <c r="BQ104" t="s">
        <v>276</v>
      </c>
    </row>
    <row r="105" ht="28" customHeight="1" spans="1:69" x14ac:dyDescent="0.25">
      <c r="A105" s="9"/>
      <c r="B105" s="9"/>
      <c r="C105" s="9"/>
      <c r="D105" s="9"/>
      <c r="E105" s="9"/>
      <c r="F105" s="9" t="s">
        <v>277</v>
      </c>
      <c r="G105" s="10" t="s">
        <v>278</v>
      </c>
      <c r="H105" s="9" t="s">
        <v>136</v>
      </c>
      <c r="I105" s="9">
        <v>1</v>
      </c>
      <c r="J105" s="9">
        <v>1</v>
      </c>
      <c r="K105" s="9" t="s">
        <v>4</v>
      </c>
      <c r="L105" s="9" t="s">
        <v>137</v>
      </c>
      <c r="M105" s="9"/>
      <c r="N105" s="9"/>
      <c r="O105" s="10"/>
      <c r="P105" s="11">
        <v>1</v>
      </c>
      <c r="Q105" s="11">
        <v>1</v>
      </c>
      <c r="R105" s="11">
        <v>1</v>
      </c>
      <c r="S105" s="11">
        <v>1</v>
      </c>
      <c r="T105" s="11">
        <v>1</v>
      </c>
      <c r="U105" s="11">
        <v>1</v>
      </c>
      <c r="V105" s="11">
        <v>1</v>
      </c>
      <c r="W105" s="11">
        <v>1</v>
      </c>
      <c r="X105" s="11">
        <v>1</v>
      </c>
      <c r="Y105" s="11">
        <v>1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  <c r="AF105" s="11">
        <v>1</v>
      </c>
      <c r="AG105" s="11">
        <v>1</v>
      </c>
      <c r="AH105" s="11">
        <v>1</v>
      </c>
      <c r="AI105" s="11">
        <v>1</v>
      </c>
      <c r="AJ105" s="11">
        <v>1</v>
      </c>
      <c r="AK105" s="11">
        <v>1</v>
      </c>
      <c r="AL105" s="11">
        <v>1</v>
      </c>
      <c r="AM105" s="11">
        <v>1</v>
      </c>
      <c r="AN105" s="11">
        <v>1</v>
      </c>
      <c r="AO105" s="11">
        <v>1</v>
      </c>
      <c r="AP105" s="11">
        <v>1</v>
      </c>
      <c r="AQ105" s="11">
        <v>1</v>
      </c>
      <c r="AR105" s="11">
        <v>1</v>
      </c>
      <c r="AS105" s="11">
        <v>1</v>
      </c>
      <c r="AT105" s="11">
        <v>1</v>
      </c>
      <c r="AU105" s="11">
        <v>1</v>
      </c>
      <c r="AV105" s="11">
        <v>1</v>
      </c>
      <c r="AW105" s="11">
        <v>1</v>
      </c>
      <c r="AX105" s="11">
        <v>1</v>
      </c>
      <c r="AY105" s="11">
        <v>1</v>
      </c>
      <c r="AZ105" s="11">
        <v>1</v>
      </c>
      <c r="BA105" s="11">
        <v>1</v>
      </c>
      <c r="BB105" s="11">
        <v>1</v>
      </c>
      <c r="BC105" s="11">
        <v>1</v>
      </c>
      <c r="BD105" s="11">
        <v>1</v>
      </c>
      <c r="BE105" s="11">
        <v>1</v>
      </c>
      <c r="BF105" s="11">
        <v>1</v>
      </c>
      <c r="BG105" s="11">
        <v>1</v>
      </c>
      <c r="BH105" s="11">
        <v>1</v>
      </c>
      <c r="BI105" s="11">
        <v>1</v>
      </c>
      <c r="BJ105" s="11">
        <v>1</v>
      </c>
      <c r="BK105" s="11">
        <v>1</v>
      </c>
      <c r="BL105" s="11">
        <v>1</v>
      </c>
      <c r="BM105" s="11">
        <v>1</v>
      </c>
      <c r="BN105" s="11">
        <v>1</v>
      </c>
      <c r="BO105" s="11">
        <v>1</v>
      </c>
      <c r="BP105" t="s">
        <v>256</v>
      </c>
      <c r="BQ105" t="s">
        <v>279</v>
      </c>
    </row>
    <row r="106" ht="18" customHeight="1" spans="1:69" x14ac:dyDescent="0.25">
      <c r="A106" s="9"/>
      <c r="B106" s="9"/>
      <c r="C106" s="9"/>
      <c r="D106" s="9"/>
      <c r="E106" s="9"/>
      <c r="F106" s="9"/>
      <c r="G106" s="10"/>
      <c r="H106" s="9" t="s">
        <v>139</v>
      </c>
      <c r="I106" s="9"/>
      <c r="J106" s="9"/>
      <c r="K106" s="9"/>
      <c r="L106" s="9"/>
      <c r="M106" s="9"/>
      <c r="N106" s="9"/>
      <c r="O106" s="10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t="s">
        <v>256</v>
      </c>
      <c r="BQ106" t="s">
        <v>279</v>
      </c>
    </row>
    <row r="107" ht="28" customHeight="1" spans="1:69" x14ac:dyDescent="0.25">
      <c r="A107" s="9"/>
      <c r="B107" s="9"/>
      <c r="C107" s="9"/>
      <c r="D107" s="9"/>
      <c r="E107" s="9"/>
      <c r="F107" s="9" t="s">
        <v>280</v>
      </c>
      <c r="G107" s="10" t="s">
        <v>281</v>
      </c>
      <c r="H107" s="9" t="s">
        <v>136</v>
      </c>
      <c r="I107" s="9">
        <v>1</v>
      </c>
      <c r="J107" s="9">
        <v>1</v>
      </c>
      <c r="K107" s="9" t="s">
        <v>4</v>
      </c>
      <c r="L107" s="9" t="s">
        <v>137</v>
      </c>
      <c r="M107" s="9"/>
      <c r="N107" s="9"/>
      <c r="O107" s="10"/>
      <c r="P107" s="11">
        <v>1</v>
      </c>
      <c r="Q107" s="11">
        <v>1</v>
      </c>
      <c r="R107" s="11">
        <v>1</v>
      </c>
      <c r="S107" s="11">
        <v>1</v>
      </c>
      <c r="T107" s="11">
        <v>1</v>
      </c>
      <c r="U107" s="11">
        <v>1</v>
      </c>
      <c r="V107" s="11">
        <v>1</v>
      </c>
      <c r="W107" s="11">
        <v>1</v>
      </c>
      <c r="X107" s="11">
        <v>1</v>
      </c>
      <c r="Y107" s="11">
        <v>1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1">
        <v>1</v>
      </c>
      <c r="AG107" s="11">
        <v>1</v>
      </c>
      <c r="AH107" s="11">
        <v>1</v>
      </c>
      <c r="AI107" s="11">
        <v>1</v>
      </c>
      <c r="AJ107" s="11">
        <v>1</v>
      </c>
      <c r="AK107" s="11">
        <v>1</v>
      </c>
      <c r="AL107" s="11">
        <v>1</v>
      </c>
      <c r="AM107" s="11">
        <v>1</v>
      </c>
      <c r="AN107" s="11">
        <v>1</v>
      </c>
      <c r="AO107" s="11">
        <v>1</v>
      </c>
      <c r="AP107" s="11">
        <v>1</v>
      </c>
      <c r="AQ107" s="11">
        <v>1</v>
      </c>
      <c r="AR107" s="11">
        <v>1</v>
      </c>
      <c r="AS107" s="11">
        <v>1</v>
      </c>
      <c r="AT107" s="11">
        <v>1</v>
      </c>
      <c r="AU107" s="11">
        <v>1</v>
      </c>
      <c r="AV107" s="11">
        <v>1</v>
      </c>
      <c r="AW107" s="11">
        <v>1</v>
      </c>
      <c r="AX107" s="11">
        <v>1</v>
      </c>
      <c r="AY107" s="11">
        <v>1</v>
      </c>
      <c r="AZ107" s="11">
        <v>1</v>
      </c>
      <c r="BA107" s="11">
        <v>1</v>
      </c>
      <c r="BB107" s="11">
        <v>1</v>
      </c>
      <c r="BC107" s="11">
        <v>1</v>
      </c>
      <c r="BD107" s="11">
        <v>1</v>
      </c>
      <c r="BE107" s="11">
        <v>1</v>
      </c>
      <c r="BF107" s="11">
        <v>1</v>
      </c>
      <c r="BG107" s="11">
        <v>1</v>
      </c>
      <c r="BH107" s="11">
        <v>1</v>
      </c>
      <c r="BI107" s="11">
        <v>1</v>
      </c>
      <c r="BJ107" s="11">
        <v>1</v>
      </c>
      <c r="BK107" s="11">
        <v>1</v>
      </c>
      <c r="BL107" s="11">
        <v>1</v>
      </c>
      <c r="BM107" s="11">
        <v>1</v>
      </c>
      <c r="BN107" s="11">
        <v>1</v>
      </c>
      <c r="BO107" s="11">
        <v>1</v>
      </c>
      <c r="BP107" t="s">
        <v>256</v>
      </c>
      <c r="BQ107" t="s">
        <v>282</v>
      </c>
    </row>
    <row r="108" ht="18" customHeight="1" spans="1:69" x14ac:dyDescent="0.25">
      <c r="A108" s="9"/>
      <c r="B108" s="9"/>
      <c r="C108" s="9"/>
      <c r="D108" s="9"/>
      <c r="E108" s="9"/>
      <c r="F108" s="9"/>
      <c r="G108" s="10"/>
      <c r="H108" s="9" t="s">
        <v>139</v>
      </c>
      <c r="I108" s="9"/>
      <c r="J108" s="9"/>
      <c r="K108" s="9"/>
      <c r="L108" s="9"/>
      <c r="M108" s="9"/>
      <c r="N108" s="9"/>
      <c r="O108" s="10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t="s">
        <v>256</v>
      </c>
      <c r="BQ108" t="s">
        <v>282</v>
      </c>
    </row>
    <row r="109" ht="28" customHeight="1" spans="1:69" x14ac:dyDescent="0.25">
      <c r="A109" s="9" t="s">
        <v>283</v>
      </c>
      <c r="B109" s="9" t="s">
        <v>284</v>
      </c>
      <c r="C109" s="9" t="s">
        <v>285</v>
      </c>
      <c r="D109" s="9" t="s">
        <v>286</v>
      </c>
      <c r="E109" s="9" t="s">
        <v>259</v>
      </c>
      <c r="F109" s="9" t="s">
        <v>134</v>
      </c>
      <c r="G109" s="10" t="s">
        <v>166</v>
      </c>
      <c r="H109" s="9" t="s">
        <v>136</v>
      </c>
      <c r="I109" s="9">
        <v>1</v>
      </c>
      <c r="J109" s="9">
        <v>1</v>
      </c>
      <c r="K109" s="9" t="s">
        <v>4</v>
      </c>
      <c r="L109" s="9" t="s">
        <v>137</v>
      </c>
      <c r="M109" s="9"/>
      <c r="N109" s="9"/>
      <c r="O109" s="10"/>
      <c r="P109" s="11">
        <v>1</v>
      </c>
      <c r="Q109" s="11">
        <v>1</v>
      </c>
      <c r="R109" s="11">
        <v>1</v>
      </c>
      <c r="S109" s="11">
        <v>1</v>
      </c>
      <c r="T109" s="11">
        <v>1</v>
      </c>
      <c r="U109" s="11">
        <v>1</v>
      </c>
      <c r="V109" s="11">
        <v>1</v>
      </c>
      <c r="W109" s="11">
        <v>1</v>
      </c>
      <c r="X109" s="11">
        <v>1</v>
      </c>
      <c r="Y109" s="11">
        <v>1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  <c r="AF109" s="11">
        <v>1</v>
      </c>
      <c r="AG109" s="11">
        <v>1</v>
      </c>
      <c r="AH109" s="11">
        <v>1</v>
      </c>
      <c r="AI109" s="11">
        <v>1</v>
      </c>
      <c r="AJ109" s="11">
        <v>1</v>
      </c>
      <c r="AK109" s="11">
        <v>1</v>
      </c>
      <c r="AL109" s="11">
        <v>1</v>
      </c>
      <c r="AM109" s="11">
        <v>1</v>
      </c>
      <c r="AN109" s="11">
        <v>1</v>
      </c>
      <c r="AO109" s="11">
        <v>1</v>
      </c>
      <c r="AP109" s="11">
        <v>1</v>
      </c>
      <c r="AQ109" s="11">
        <v>1</v>
      </c>
      <c r="AR109" s="11">
        <v>1</v>
      </c>
      <c r="AS109" s="11">
        <v>1</v>
      </c>
      <c r="AT109" s="11">
        <v>1</v>
      </c>
      <c r="AU109" s="11">
        <v>1</v>
      </c>
      <c r="AV109" s="11">
        <v>1</v>
      </c>
      <c r="AW109" s="11">
        <v>1</v>
      </c>
      <c r="AX109" s="11">
        <v>1</v>
      </c>
      <c r="AY109" s="11">
        <v>1</v>
      </c>
      <c r="AZ109" s="11">
        <v>1</v>
      </c>
      <c r="BA109" s="11">
        <v>1</v>
      </c>
      <c r="BB109" s="11">
        <v>1</v>
      </c>
      <c r="BC109" s="11">
        <v>1</v>
      </c>
      <c r="BD109" s="11">
        <v>1</v>
      </c>
      <c r="BE109" s="11">
        <v>1</v>
      </c>
      <c r="BF109" s="11">
        <v>1</v>
      </c>
      <c r="BG109" s="11">
        <v>1</v>
      </c>
      <c r="BH109" s="11">
        <v>1</v>
      </c>
      <c r="BI109" s="11">
        <v>1</v>
      </c>
      <c r="BJ109" s="11">
        <v>1</v>
      </c>
      <c r="BK109" s="11">
        <v>1</v>
      </c>
      <c r="BL109" s="11">
        <v>1</v>
      </c>
      <c r="BM109" s="11">
        <v>1</v>
      </c>
      <c r="BN109" s="11">
        <v>1</v>
      </c>
      <c r="BO109" s="11">
        <v>1</v>
      </c>
      <c r="BP109" t="s">
        <v>284</v>
      </c>
      <c r="BQ109" t="s">
        <v>287</v>
      </c>
    </row>
    <row r="110" ht="18" customHeight="1" spans="1:69" x14ac:dyDescent="0.25">
      <c r="A110" s="9"/>
      <c r="B110" s="9"/>
      <c r="C110" s="9"/>
      <c r="D110" s="9"/>
      <c r="E110" s="9"/>
      <c r="F110" s="9"/>
      <c r="G110" s="10"/>
      <c r="H110" s="9" t="s">
        <v>139</v>
      </c>
      <c r="I110" s="9"/>
      <c r="J110" s="9"/>
      <c r="K110" s="9"/>
      <c r="L110" s="9"/>
      <c r="M110" s="9"/>
      <c r="N110" s="9"/>
      <c r="O110" s="10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t="s">
        <v>284</v>
      </c>
      <c r="BQ110" t="s">
        <v>287</v>
      </c>
    </row>
    <row r="111" ht="28" customHeight="1" spans="1:69" x14ac:dyDescent="0.25">
      <c r="A111" s="9"/>
      <c r="B111" s="9"/>
      <c r="C111" s="9"/>
      <c r="D111" s="9"/>
      <c r="E111" s="9"/>
      <c r="F111" s="9" t="s">
        <v>168</v>
      </c>
      <c r="G111" s="10" t="s">
        <v>169</v>
      </c>
      <c r="H111" s="9" t="s">
        <v>136</v>
      </c>
      <c r="I111" s="9">
        <v>3</v>
      </c>
      <c r="J111" s="9">
        <v>2000</v>
      </c>
      <c r="K111" s="9" t="s">
        <v>189</v>
      </c>
      <c r="L111" s="9" t="s">
        <v>9</v>
      </c>
      <c r="M111" s="9"/>
      <c r="N111" s="9"/>
      <c r="O111" s="10"/>
      <c r="P111" s="13"/>
      <c r="Q111" s="13"/>
      <c r="R111" s="17">
        <v>3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7">
        <v>3</v>
      </c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7">
        <v>3</v>
      </c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7">
        <v>3</v>
      </c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t="s">
        <v>284</v>
      </c>
      <c r="BQ111" t="s">
        <v>288</v>
      </c>
    </row>
    <row r="112" ht="18" customHeight="1" spans="1:69" x14ac:dyDescent="0.25">
      <c r="A112" s="9"/>
      <c r="B112" s="9"/>
      <c r="C112" s="9"/>
      <c r="D112" s="9"/>
      <c r="E112" s="9"/>
      <c r="F112" s="9"/>
      <c r="G112" s="10"/>
      <c r="H112" s="9" t="s">
        <v>139</v>
      </c>
      <c r="I112" s="9"/>
      <c r="J112" s="9"/>
      <c r="K112" s="9"/>
      <c r="L112" s="9"/>
      <c r="M112" s="9"/>
      <c r="N112" s="9"/>
      <c r="O112" s="10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t="s">
        <v>284</v>
      </c>
      <c r="BQ112" t="s">
        <v>288</v>
      </c>
    </row>
    <row r="113" ht="28" customHeight="1" spans="1:69" x14ac:dyDescent="0.25">
      <c r="A113" s="9"/>
      <c r="B113" s="9"/>
      <c r="C113" s="9"/>
      <c r="D113" s="9"/>
      <c r="E113" s="9"/>
      <c r="F113" s="9" t="s">
        <v>168</v>
      </c>
      <c r="G113" s="10" t="s">
        <v>144</v>
      </c>
      <c r="H113" s="9" t="s">
        <v>136</v>
      </c>
      <c r="I113" s="9">
        <v>5</v>
      </c>
      <c r="J113" s="9">
        <v>10000</v>
      </c>
      <c r="K113" s="9" t="s">
        <v>145</v>
      </c>
      <c r="L113" s="9" t="s">
        <v>9</v>
      </c>
      <c r="M113" s="9"/>
      <c r="N113" s="9"/>
      <c r="O113" s="10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4">
        <v>5</v>
      </c>
      <c r="BK113" s="13"/>
      <c r="BL113" s="13"/>
      <c r="BM113" s="13"/>
      <c r="BN113" s="13"/>
      <c r="BO113" s="13"/>
      <c r="BP113" t="s">
        <v>284</v>
      </c>
      <c r="BQ113" t="s">
        <v>289</v>
      </c>
    </row>
    <row r="114" ht="18" customHeight="1" spans="1:69" x14ac:dyDescent="0.25">
      <c r="A114" s="9"/>
      <c r="B114" s="9"/>
      <c r="C114" s="9"/>
      <c r="D114" s="9"/>
      <c r="E114" s="9"/>
      <c r="F114" s="9"/>
      <c r="G114" s="10"/>
      <c r="H114" s="9" t="s">
        <v>139</v>
      </c>
      <c r="I114" s="9"/>
      <c r="J114" s="9"/>
      <c r="K114" s="9"/>
      <c r="L114" s="9"/>
      <c r="M114" s="9"/>
      <c r="N114" s="9"/>
      <c r="O114" s="10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t="s">
        <v>284</v>
      </c>
      <c r="BQ114" t="s">
        <v>289</v>
      </c>
    </row>
    <row r="115" ht="28" customHeight="1" spans="1:69" x14ac:dyDescent="0.25">
      <c r="A115" s="9"/>
      <c r="B115" s="9"/>
      <c r="C115" s="9"/>
      <c r="D115" s="9"/>
      <c r="E115" s="9"/>
      <c r="F115" s="9" t="s">
        <v>271</v>
      </c>
      <c r="G115" s="10" t="s">
        <v>290</v>
      </c>
      <c r="H115" s="9" t="s">
        <v>136</v>
      </c>
      <c r="I115" s="9">
        <v>2</v>
      </c>
      <c r="J115" s="9">
        <v>1</v>
      </c>
      <c r="K115" s="9" t="s">
        <v>5</v>
      </c>
      <c r="L115" s="9" t="s">
        <v>137</v>
      </c>
      <c r="M115" s="9"/>
      <c r="N115" s="9"/>
      <c r="O115" s="10"/>
      <c r="P115" s="13"/>
      <c r="Q115" s="13"/>
      <c r="R115" s="16">
        <v>2</v>
      </c>
      <c r="S115" s="13"/>
      <c r="T115" s="13"/>
      <c r="U115" s="13"/>
      <c r="V115" s="13"/>
      <c r="W115" s="16">
        <v>2</v>
      </c>
      <c r="X115" s="13"/>
      <c r="Y115" s="13"/>
      <c r="Z115" s="13"/>
      <c r="AA115" s="16">
        <v>2</v>
      </c>
      <c r="AB115" s="13"/>
      <c r="AC115" s="13"/>
      <c r="AD115" s="13"/>
      <c r="AE115" s="16">
        <v>2</v>
      </c>
      <c r="AF115" s="13"/>
      <c r="AG115" s="13"/>
      <c r="AH115" s="13"/>
      <c r="AI115" s="16">
        <v>2</v>
      </c>
      <c r="AJ115" s="13"/>
      <c r="AK115" s="13"/>
      <c r="AL115" s="13"/>
      <c r="AM115" s="13"/>
      <c r="AN115" s="16">
        <v>2</v>
      </c>
      <c r="AO115" s="13"/>
      <c r="AP115" s="13"/>
      <c r="AQ115" s="13"/>
      <c r="AR115" s="16">
        <v>2</v>
      </c>
      <c r="AS115" s="13"/>
      <c r="AT115" s="13"/>
      <c r="AU115" s="13"/>
      <c r="AV115" s="13"/>
      <c r="AW115" s="16">
        <v>2</v>
      </c>
      <c r="AX115" s="13"/>
      <c r="AY115" s="13"/>
      <c r="AZ115" s="13"/>
      <c r="BA115" s="16">
        <v>2</v>
      </c>
      <c r="BB115" s="13"/>
      <c r="BC115" s="13"/>
      <c r="BD115" s="13"/>
      <c r="BE115" s="16">
        <v>2</v>
      </c>
      <c r="BF115" s="13"/>
      <c r="BG115" s="13"/>
      <c r="BH115" s="13"/>
      <c r="BI115" s="13"/>
      <c r="BJ115" s="16">
        <v>2</v>
      </c>
      <c r="BK115" s="13"/>
      <c r="BL115" s="13"/>
      <c r="BM115" s="13"/>
      <c r="BN115" s="16">
        <v>2</v>
      </c>
      <c r="BO115" s="13"/>
      <c r="BP115" t="s">
        <v>284</v>
      </c>
      <c r="BQ115" t="s">
        <v>291</v>
      </c>
    </row>
    <row r="116" ht="18" customHeight="1" spans="1:69" x14ac:dyDescent="0.25">
      <c r="A116" s="9"/>
      <c r="B116" s="9"/>
      <c r="C116" s="9"/>
      <c r="D116" s="9"/>
      <c r="E116" s="9"/>
      <c r="F116" s="9"/>
      <c r="G116" s="10"/>
      <c r="H116" s="9" t="s">
        <v>139</v>
      </c>
      <c r="I116" s="9"/>
      <c r="J116" s="9"/>
      <c r="K116" s="9"/>
      <c r="L116" s="9"/>
      <c r="M116" s="9"/>
      <c r="N116" s="9"/>
      <c r="O116" s="10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t="s">
        <v>284</v>
      </c>
      <c r="BQ116" t="s">
        <v>291</v>
      </c>
    </row>
    <row r="117" ht="28" customHeight="1" spans="1:69" x14ac:dyDescent="0.25">
      <c r="A117" s="9"/>
      <c r="B117" s="9" t="s">
        <v>292</v>
      </c>
      <c r="C117" s="9" t="s">
        <v>293</v>
      </c>
      <c r="D117" s="9" t="s">
        <v>294</v>
      </c>
      <c r="E117" s="9" t="s">
        <v>295</v>
      </c>
      <c r="F117" s="9" t="s">
        <v>134</v>
      </c>
      <c r="G117" s="10" t="s">
        <v>296</v>
      </c>
      <c r="H117" s="9" t="s">
        <v>136</v>
      </c>
      <c r="I117" s="9">
        <v>1</v>
      </c>
      <c r="J117" s="9">
        <v>1</v>
      </c>
      <c r="K117" s="9" t="s">
        <v>4</v>
      </c>
      <c r="L117" s="9" t="s">
        <v>137</v>
      </c>
      <c r="M117" s="9"/>
      <c r="N117" s="9"/>
      <c r="O117" s="10"/>
      <c r="P117" s="11">
        <v>1</v>
      </c>
      <c r="Q117" s="11">
        <v>1</v>
      </c>
      <c r="R117" s="11">
        <v>1</v>
      </c>
      <c r="S117" s="11">
        <v>1</v>
      </c>
      <c r="T117" s="11">
        <v>1</v>
      </c>
      <c r="U117" s="11">
        <v>1</v>
      </c>
      <c r="V117" s="11">
        <v>1</v>
      </c>
      <c r="W117" s="11">
        <v>1</v>
      </c>
      <c r="X117" s="11">
        <v>1</v>
      </c>
      <c r="Y117" s="11">
        <v>1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  <c r="AF117" s="11">
        <v>1</v>
      </c>
      <c r="AG117" s="11">
        <v>1</v>
      </c>
      <c r="AH117" s="11">
        <v>1</v>
      </c>
      <c r="AI117" s="11">
        <v>1</v>
      </c>
      <c r="AJ117" s="11">
        <v>1</v>
      </c>
      <c r="AK117" s="11">
        <v>1</v>
      </c>
      <c r="AL117" s="11">
        <v>1</v>
      </c>
      <c r="AM117" s="11">
        <v>1</v>
      </c>
      <c r="AN117" s="11">
        <v>1</v>
      </c>
      <c r="AO117" s="11">
        <v>1</v>
      </c>
      <c r="AP117" s="11">
        <v>1</v>
      </c>
      <c r="AQ117" s="11">
        <v>1</v>
      </c>
      <c r="AR117" s="11">
        <v>1</v>
      </c>
      <c r="AS117" s="11">
        <v>1</v>
      </c>
      <c r="AT117" s="11">
        <v>1</v>
      </c>
      <c r="AU117" s="11">
        <v>1</v>
      </c>
      <c r="AV117" s="11">
        <v>1</v>
      </c>
      <c r="AW117" s="11">
        <v>1</v>
      </c>
      <c r="AX117" s="11">
        <v>1</v>
      </c>
      <c r="AY117" s="11">
        <v>1</v>
      </c>
      <c r="AZ117" s="11">
        <v>1</v>
      </c>
      <c r="BA117" s="11">
        <v>1</v>
      </c>
      <c r="BB117" s="11">
        <v>1</v>
      </c>
      <c r="BC117" s="11">
        <v>1</v>
      </c>
      <c r="BD117" s="11">
        <v>1</v>
      </c>
      <c r="BE117" s="11">
        <v>1</v>
      </c>
      <c r="BF117" s="11">
        <v>1</v>
      </c>
      <c r="BG117" s="11">
        <v>1</v>
      </c>
      <c r="BH117" s="11">
        <v>1</v>
      </c>
      <c r="BI117" s="11">
        <v>1</v>
      </c>
      <c r="BJ117" s="11">
        <v>1</v>
      </c>
      <c r="BK117" s="11">
        <v>1</v>
      </c>
      <c r="BL117" s="11">
        <v>1</v>
      </c>
      <c r="BM117" s="11">
        <v>1</v>
      </c>
      <c r="BN117" s="11">
        <v>1</v>
      </c>
      <c r="BO117" s="11">
        <v>1</v>
      </c>
      <c r="BP117" t="s">
        <v>292</v>
      </c>
      <c r="BQ117" t="s">
        <v>297</v>
      </c>
    </row>
    <row r="118" ht="18" customHeight="1" spans="1:69" x14ac:dyDescent="0.25">
      <c r="A118" s="9"/>
      <c r="B118" s="9"/>
      <c r="C118" s="9"/>
      <c r="D118" s="9"/>
      <c r="E118" s="9"/>
      <c r="F118" s="9"/>
      <c r="G118" s="10"/>
      <c r="H118" s="9" t="s">
        <v>139</v>
      </c>
      <c r="I118" s="9"/>
      <c r="J118" s="9"/>
      <c r="K118" s="9"/>
      <c r="L118" s="9"/>
      <c r="M118" s="9"/>
      <c r="N118" s="9"/>
      <c r="O118" s="10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t="s">
        <v>292</v>
      </c>
      <c r="BQ118" t="s">
        <v>297</v>
      </c>
    </row>
    <row r="119" ht="28" customHeight="1" spans="1:69" x14ac:dyDescent="0.25">
      <c r="A119" s="9"/>
      <c r="B119" s="9"/>
      <c r="C119" s="9"/>
      <c r="D119" s="9"/>
      <c r="E119" s="9"/>
      <c r="F119" s="9" t="s">
        <v>168</v>
      </c>
      <c r="G119" s="10" t="s">
        <v>298</v>
      </c>
      <c r="H119" s="9" t="s">
        <v>136</v>
      </c>
      <c r="I119" s="9">
        <v>3</v>
      </c>
      <c r="J119" s="9">
        <v>2000</v>
      </c>
      <c r="K119" s="9" t="s">
        <v>189</v>
      </c>
      <c r="L119" s="9" t="s">
        <v>9</v>
      </c>
      <c r="M119" s="9"/>
      <c r="N119" s="9"/>
      <c r="O119" s="10"/>
      <c r="P119" s="13"/>
      <c r="Q119" s="13"/>
      <c r="R119" s="17">
        <v>3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7">
        <v>3</v>
      </c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7">
        <v>3</v>
      </c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7">
        <v>3</v>
      </c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t="s">
        <v>292</v>
      </c>
      <c r="BQ119" t="s">
        <v>299</v>
      </c>
    </row>
    <row r="120" ht="18" customHeight="1" spans="1:69" x14ac:dyDescent="0.25">
      <c r="A120" s="9"/>
      <c r="B120" s="9"/>
      <c r="C120" s="9"/>
      <c r="D120" s="9"/>
      <c r="E120" s="9"/>
      <c r="F120" s="9"/>
      <c r="G120" s="10"/>
      <c r="H120" s="9" t="s">
        <v>139</v>
      </c>
      <c r="I120" s="9"/>
      <c r="J120" s="9"/>
      <c r="K120" s="9"/>
      <c r="L120" s="9"/>
      <c r="M120" s="9"/>
      <c r="N120" s="9"/>
      <c r="O120" s="10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t="s">
        <v>292</v>
      </c>
      <c r="BQ120" t="s">
        <v>299</v>
      </c>
    </row>
    <row r="121" ht="28" customHeight="1" spans="1:69" x14ac:dyDescent="0.25">
      <c r="A121" s="9"/>
      <c r="B121" s="9"/>
      <c r="C121" s="9"/>
      <c r="D121" s="9"/>
      <c r="E121" s="9"/>
      <c r="F121" s="9" t="s">
        <v>168</v>
      </c>
      <c r="G121" s="10" t="s">
        <v>300</v>
      </c>
      <c r="H121" s="9" t="s">
        <v>136</v>
      </c>
      <c r="I121" s="9">
        <v>5</v>
      </c>
      <c r="J121" s="9">
        <v>10000</v>
      </c>
      <c r="K121" s="9" t="s">
        <v>145</v>
      </c>
      <c r="L121" s="9" t="s">
        <v>9</v>
      </c>
      <c r="M121" s="9"/>
      <c r="N121" s="9"/>
      <c r="O121" s="10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4">
        <v>5</v>
      </c>
      <c r="BK121" s="13"/>
      <c r="BL121" s="13"/>
      <c r="BM121" s="13"/>
      <c r="BN121" s="13"/>
      <c r="BO121" s="13"/>
      <c r="BP121" t="s">
        <v>292</v>
      </c>
      <c r="BQ121" t="s">
        <v>301</v>
      </c>
    </row>
    <row r="122" ht="18" customHeight="1" spans="1:69" x14ac:dyDescent="0.25">
      <c r="A122" s="9"/>
      <c r="B122" s="9"/>
      <c r="C122" s="9"/>
      <c r="D122" s="9"/>
      <c r="E122" s="9"/>
      <c r="F122" s="9"/>
      <c r="G122" s="10"/>
      <c r="H122" s="9" t="s">
        <v>139</v>
      </c>
      <c r="I122" s="9"/>
      <c r="J122" s="9"/>
      <c r="K122" s="9"/>
      <c r="L122" s="9"/>
      <c r="M122" s="9"/>
      <c r="N122" s="9"/>
      <c r="O122" s="10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t="s">
        <v>292</v>
      </c>
      <c r="BQ122" t="s">
        <v>301</v>
      </c>
    </row>
    <row r="123" ht="28" customHeight="1" spans="1:69" x14ac:dyDescent="0.25">
      <c r="A123" s="9"/>
      <c r="B123" s="9"/>
      <c r="C123" s="9"/>
      <c r="D123" s="9"/>
      <c r="E123" s="9"/>
      <c r="F123" s="9" t="s">
        <v>302</v>
      </c>
      <c r="G123" s="10" t="s">
        <v>303</v>
      </c>
      <c r="H123" s="9" t="s">
        <v>136</v>
      </c>
      <c r="I123" s="9">
        <v>2</v>
      </c>
      <c r="J123" s="9">
        <v>1000</v>
      </c>
      <c r="K123" s="9" t="s">
        <v>152</v>
      </c>
      <c r="L123" s="9" t="s">
        <v>9</v>
      </c>
      <c r="M123" s="9"/>
      <c r="N123" s="9"/>
      <c r="O123" s="10"/>
      <c r="P123" s="13"/>
      <c r="Q123" s="13"/>
      <c r="R123" s="16">
        <v>2</v>
      </c>
      <c r="S123" s="13"/>
      <c r="T123" s="13"/>
      <c r="U123" s="13"/>
      <c r="V123" s="13"/>
      <c r="W123" s="16">
        <v>2</v>
      </c>
      <c r="X123" s="13"/>
      <c r="Y123" s="13"/>
      <c r="Z123" s="13"/>
      <c r="AA123" s="16">
        <v>2</v>
      </c>
      <c r="AB123" s="13"/>
      <c r="AC123" s="13"/>
      <c r="AD123" s="13"/>
      <c r="AE123" s="16">
        <v>2</v>
      </c>
      <c r="AF123" s="13"/>
      <c r="AG123" s="13"/>
      <c r="AH123" s="13"/>
      <c r="AI123" s="16">
        <v>2</v>
      </c>
      <c r="AJ123" s="13"/>
      <c r="AK123" s="13"/>
      <c r="AL123" s="13"/>
      <c r="AM123" s="13"/>
      <c r="AN123" s="16">
        <v>2</v>
      </c>
      <c r="AO123" s="13"/>
      <c r="AP123" s="13"/>
      <c r="AQ123" s="13"/>
      <c r="AR123" s="16">
        <v>2</v>
      </c>
      <c r="AS123" s="13"/>
      <c r="AT123" s="13"/>
      <c r="AU123" s="13"/>
      <c r="AV123" s="13"/>
      <c r="AW123" s="16">
        <v>2</v>
      </c>
      <c r="AX123" s="13"/>
      <c r="AY123" s="13"/>
      <c r="AZ123" s="13"/>
      <c r="BA123" s="16">
        <v>2</v>
      </c>
      <c r="BB123" s="13"/>
      <c r="BC123" s="13"/>
      <c r="BD123" s="13"/>
      <c r="BE123" s="16">
        <v>2</v>
      </c>
      <c r="BF123" s="13"/>
      <c r="BG123" s="13"/>
      <c r="BH123" s="13"/>
      <c r="BI123" s="13"/>
      <c r="BJ123" s="16">
        <v>2</v>
      </c>
      <c r="BK123" s="13"/>
      <c r="BL123" s="13"/>
      <c r="BM123" s="13"/>
      <c r="BN123" s="16">
        <v>2</v>
      </c>
      <c r="BO123" s="13"/>
      <c r="BP123" t="s">
        <v>292</v>
      </c>
      <c r="BQ123" t="s">
        <v>304</v>
      </c>
    </row>
    <row r="124" ht="18" customHeight="1" spans="1:69" x14ac:dyDescent="0.25">
      <c r="A124" s="9"/>
      <c r="B124" s="9"/>
      <c r="C124" s="9"/>
      <c r="D124" s="9"/>
      <c r="E124" s="9"/>
      <c r="F124" s="9"/>
      <c r="G124" s="10"/>
      <c r="H124" s="9" t="s">
        <v>139</v>
      </c>
      <c r="I124" s="9"/>
      <c r="J124" s="9"/>
      <c r="K124" s="9"/>
      <c r="L124" s="9"/>
      <c r="M124" s="9"/>
      <c r="N124" s="9"/>
      <c r="O124" s="10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t="s">
        <v>292</v>
      </c>
      <c r="BQ124" t="s">
        <v>304</v>
      </c>
    </row>
    <row r="125" ht="28" customHeight="1" spans="1:69" x14ac:dyDescent="0.25">
      <c r="A125" s="9"/>
      <c r="B125" s="9" t="s">
        <v>305</v>
      </c>
      <c r="C125" s="9" t="s">
        <v>306</v>
      </c>
      <c r="D125" s="9" t="s">
        <v>307</v>
      </c>
      <c r="E125" s="9" t="s">
        <v>295</v>
      </c>
      <c r="F125" s="9" t="s">
        <v>134</v>
      </c>
      <c r="G125" s="10" t="s">
        <v>296</v>
      </c>
      <c r="H125" s="9" t="s">
        <v>136</v>
      </c>
      <c r="I125" s="9">
        <v>1</v>
      </c>
      <c r="J125" s="9">
        <v>1</v>
      </c>
      <c r="K125" s="9" t="s">
        <v>4</v>
      </c>
      <c r="L125" s="9" t="s">
        <v>137</v>
      </c>
      <c r="M125" s="9"/>
      <c r="N125" s="9"/>
      <c r="O125" s="10"/>
      <c r="P125" s="11">
        <v>1</v>
      </c>
      <c r="Q125" s="11">
        <v>1</v>
      </c>
      <c r="R125" s="11">
        <v>1</v>
      </c>
      <c r="S125" s="11">
        <v>1</v>
      </c>
      <c r="T125" s="11">
        <v>1</v>
      </c>
      <c r="U125" s="11">
        <v>1</v>
      </c>
      <c r="V125" s="11">
        <v>1</v>
      </c>
      <c r="W125" s="11">
        <v>1</v>
      </c>
      <c r="X125" s="11">
        <v>1</v>
      </c>
      <c r="Y125" s="11">
        <v>1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  <c r="AF125" s="11">
        <v>1</v>
      </c>
      <c r="AG125" s="11">
        <v>1</v>
      </c>
      <c r="AH125" s="11">
        <v>1</v>
      </c>
      <c r="AI125" s="11">
        <v>1</v>
      </c>
      <c r="AJ125" s="11">
        <v>1</v>
      </c>
      <c r="AK125" s="11">
        <v>1</v>
      </c>
      <c r="AL125" s="11">
        <v>1</v>
      </c>
      <c r="AM125" s="11">
        <v>1</v>
      </c>
      <c r="AN125" s="11">
        <v>1</v>
      </c>
      <c r="AO125" s="11">
        <v>1</v>
      </c>
      <c r="AP125" s="11">
        <v>1</v>
      </c>
      <c r="AQ125" s="11">
        <v>1</v>
      </c>
      <c r="AR125" s="11">
        <v>1</v>
      </c>
      <c r="AS125" s="11">
        <v>1</v>
      </c>
      <c r="AT125" s="11">
        <v>1</v>
      </c>
      <c r="AU125" s="11">
        <v>1</v>
      </c>
      <c r="AV125" s="11">
        <v>1</v>
      </c>
      <c r="AW125" s="11">
        <v>1</v>
      </c>
      <c r="AX125" s="11">
        <v>1</v>
      </c>
      <c r="AY125" s="11">
        <v>1</v>
      </c>
      <c r="AZ125" s="11">
        <v>1</v>
      </c>
      <c r="BA125" s="11">
        <v>1</v>
      </c>
      <c r="BB125" s="11">
        <v>1</v>
      </c>
      <c r="BC125" s="11">
        <v>1</v>
      </c>
      <c r="BD125" s="11">
        <v>1</v>
      </c>
      <c r="BE125" s="11">
        <v>1</v>
      </c>
      <c r="BF125" s="11">
        <v>1</v>
      </c>
      <c r="BG125" s="11">
        <v>1</v>
      </c>
      <c r="BH125" s="11">
        <v>1</v>
      </c>
      <c r="BI125" s="11">
        <v>1</v>
      </c>
      <c r="BJ125" s="11">
        <v>1</v>
      </c>
      <c r="BK125" s="11">
        <v>1</v>
      </c>
      <c r="BL125" s="11">
        <v>1</v>
      </c>
      <c r="BM125" s="11">
        <v>1</v>
      </c>
      <c r="BN125" s="11">
        <v>1</v>
      </c>
      <c r="BO125" s="11">
        <v>1</v>
      </c>
      <c r="BP125" t="s">
        <v>305</v>
      </c>
      <c r="BQ125" t="s">
        <v>308</v>
      </c>
    </row>
    <row r="126" ht="18" customHeight="1" spans="1:69" x14ac:dyDescent="0.25">
      <c r="A126" s="9"/>
      <c r="B126" s="9"/>
      <c r="C126" s="9"/>
      <c r="D126" s="9"/>
      <c r="E126" s="9"/>
      <c r="F126" s="9"/>
      <c r="G126" s="10"/>
      <c r="H126" s="9" t="s">
        <v>139</v>
      </c>
      <c r="I126" s="9"/>
      <c r="J126" s="9"/>
      <c r="K126" s="9"/>
      <c r="L126" s="9"/>
      <c r="M126" s="9"/>
      <c r="N126" s="9"/>
      <c r="O126" s="10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t="s">
        <v>305</v>
      </c>
      <c r="BQ126" t="s">
        <v>308</v>
      </c>
    </row>
    <row r="127" ht="28" customHeight="1" spans="1:69" x14ac:dyDescent="0.25">
      <c r="A127" s="9"/>
      <c r="B127" s="9"/>
      <c r="C127" s="9"/>
      <c r="D127" s="9"/>
      <c r="E127" s="9"/>
      <c r="F127" s="9" t="s">
        <v>168</v>
      </c>
      <c r="G127" s="10" t="s">
        <v>298</v>
      </c>
      <c r="H127" s="9" t="s">
        <v>136</v>
      </c>
      <c r="I127" s="9">
        <v>3</v>
      </c>
      <c r="J127" s="9">
        <v>2000</v>
      </c>
      <c r="K127" s="9" t="s">
        <v>189</v>
      </c>
      <c r="L127" s="9" t="s">
        <v>9</v>
      </c>
      <c r="M127" s="9"/>
      <c r="N127" s="9"/>
      <c r="O127" s="10"/>
      <c r="P127" s="13"/>
      <c r="Q127" s="13"/>
      <c r="R127" s="17">
        <v>3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7">
        <v>3</v>
      </c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7">
        <v>3</v>
      </c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7">
        <v>3</v>
      </c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t="s">
        <v>305</v>
      </c>
      <c r="BQ127" t="s">
        <v>309</v>
      </c>
    </row>
    <row r="128" ht="18" customHeight="1" spans="1:69" x14ac:dyDescent="0.25">
      <c r="A128" s="9"/>
      <c r="B128" s="9"/>
      <c r="C128" s="9"/>
      <c r="D128" s="9"/>
      <c r="E128" s="9"/>
      <c r="F128" s="9"/>
      <c r="G128" s="10"/>
      <c r="H128" s="9" t="s">
        <v>139</v>
      </c>
      <c r="I128" s="9"/>
      <c r="J128" s="9"/>
      <c r="K128" s="9"/>
      <c r="L128" s="9"/>
      <c r="M128" s="9"/>
      <c r="N128" s="9"/>
      <c r="O128" s="10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t="s">
        <v>305</v>
      </c>
      <c r="BQ128" t="s">
        <v>309</v>
      </c>
    </row>
    <row r="129" ht="28" customHeight="1" spans="1:69" x14ac:dyDescent="0.25">
      <c r="A129" s="9"/>
      <c r="B129" s="9"/>
      <c r="C129" s="9"/>
      <c r="D129" s="9"/>
      <c r="E129" s="9"/>
      <c r="F129" s="9" t="s">
        <v>168</v>
      </c>
      <c r="G129" s="10" t="s">
        <v>300</v>
      </c>
      <c r="H129" s="9" t="s">
        <v>136</v>
      </c>
      <c r="I129" s="9">
        <v>5</v>
      </c>
      <c r="J129" s="9">
        <v>10000</v>
      </c>
      <c r="K129" s="9" t="s">
        <v>145</v>
      </c>
      <c r="L129" s="9" t="s">
        <v>9</v>
      </c>
      <c r="M129" s="9"/>
      <c r="N129" s="9"/>
      <c r="O129" s="10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4">
        <v>5</v>
      </c>
      <c r="BK129" s="13"/>
      <c r="BL129" s="13"/>
      <c r="BM129" s="13"/>
      <c r="BN129" s="13"/>
      <c r="BO129" s="13"/>
      <c r="BP129" t="s">
        <v>305</v>
      </c>
      <c r="BQ129" t="s">
        <v>310</v>
      </c>
    </row>
    <row r="130" ht="18" customHeight="1" spans="1:69" x14ac:dyDescent="0.25">
      <c r="A130" s="9"/>
      <c r="B130" s="9"/>
      <c r="C130" s="9"/>
      <c r="D130" s="9"/>
      <c r="E130" s="9"/>
      <c r="F130" s="9"/>
      <c r="G130" s="10"/>
      <c r="H130" s="9" t="s">
        <v>139</v>
      </c>
      <c r="I130" s="9"/>
      <c r="J130" s="9"/>
      <c r="K130" s="9"/>
      <c r="L130" s="9"/>
      <c r="M130" s="9"/>
      <c r="N130" s="9"/>
      <c r="O130" s="10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t="s">
        <v>305</v>
      </c>
      <c r="BQ130" t="s">
        <v>310</v>
      </c>
    </row>
    <row r="131" ht="28" customHeight="1" spans="1:69" x14ac:dyDescent="0.25">
      <c r="A131" s="9"/>
      <c r="B131" s="9"/>
      <c r="C131" s="9"/>
      <c r="D131" s="9"/>
      <c r="E131" s="9"/>
      <c r="F131" s="9" t="s">
        <v>302</v>
      </c>
      <c r="G131" s="10" t="s">
        <v>303</v>
      </c>
      <c r="H131" s="9" t="s">
        <v>136</v>
      </c>
      <c r="I131" s="9">
        <v>2</v>
      </c>
      <c r="J131" s="9">
        <v>1000</v>
      </c>
      <c r="K131" s="9" t="s">
        <v>152</v>
      </c>
      <c r="L131" s="9" t="s">
        <v>9</v>
      </c>
      <c r="M131" s="9"/>
      <c r="N131" s="9"/>
      <c r="O131" s="10"/>
      <c r="P131" s="13"/>
      <c r="Q131" s="13"/>
      <c r="R131" s="16">
        <v>2</v>
      </c>
      <c r="S131" s="13"/>
      <c r="T131" s="13"/>
      <c r="U131" s="13"/>
      <c r="V131" s="13"/>
      <c r="W131" s="16">
        <v>2</v>
      </c>
      <c r="X131" s="13"/>
      <c r="Y131" s="13"/>
      <c r="Z131" s="13"/>
      <c r="AA131" s="16">
        <v>2</v>
      </c>
      <c r="AB131" s="13"/>
      <c r="AC131" s="13"/>
      <c r="AD131" s="13"/>
      <c r="AE131" s="16">
        <v>2</v>
      </c>
      <c r="AF131" s="13"/>
      <c r="AG131" s="13"/>
      <c r="AH131" s="13"/>
      <c r="AI131" s="16">
        <v>2</v>
      </c>
      <c r="AJ131" s="13"/>
      <c r="AK131" s="13"/>
      <c r="AL131" s="13"/>
      <c r="AM131" s="13"/>
      <c r="AN131" s="16">
        <v>2</v>
      </c>
      <c r="AO131" s="13"/>
      <c r="AP131" s="13"/>
      <c r="AQ131" s="13"/>
      <c r="AR131" s="16">
        <v>2</v>
      </c>
      <c r="AS131" s="13"/>
      <c r="AT131" s="13"/>
      <c r="AU131" s="13"/>
      <c r="AV131" s="13"/>
      <c r="AW131" s="16">
        <v>2</v>
      </c>
      <c r="AX131" s="13"/>
      <c r="AY131" s="13"/>
      <c r="AZ131" s="13"/>
      <c r="BA131" s="16">
        <v>2</v>
      </c>
      <c r="BB131" s="13"/>
      <c r="BC131" s="13"/>
      <c r="BD131" s="13"/>
      <c r="BE131" s="16">
        <v>2</v>
      </c>
      <c r="BF131" s="13"/>
      <c r="BG131" s="13"/>
      <c r="BH131" s="13"/>
      <c r="BI131" s="13"/>
      <c r="BJ131" s="16">
        <v>2</v>
      </c>
      <c r="BK131" s="13"/>
      <c r="BL131" s="13"/>
      <c r="BM131" s="13"/>
      <c r="BN131" s="16">
        <v>2</v>
      </c>
      <c r="BO131" s="13"/>
      <c r="BP131" t="s">
        <v>305</v>
      </c>
      <c r="BQ131" t="s">
        <v>311</v>
      </c>
    </row>
    <row r="132" ht="18" customHeight="1" spans="1:69" x14ac:dyDescent="0.25">
      <c r="A132" s="9"/>
      <c r="B132" s="9"/>
      <c r="C132" s="9"/>
      <c r="D132" s="9"/>
      <c r="E132" s="9"/>
      <c r="F132" s="9"/>
      <c r="G132" s="10"/>
      <c r="H132" s="9" t="s">
        <v>139</v>
      </c>
      <c r="I132" s="9"/>
      <c r="J132" s="9"/>
      <c r="K132" s="9"/>
      <c r="L132" s="9"/>
      <c r="M132" s="9"/>
      <c r="N132" s="9"/>
      <c r="O132" s="10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t="s">
        <v>305</v>
      </c>
      <c r="BQ132" t="s">
        <v>311</v>
      </c>
    </row>
    <row r="133" ht="28" customHeight="1" spans="1:69" x14ac:dyDescent="0.25">
      <c r="A133" s="9"/>
      <c r="B133" s="9" t="s">
        <v>312</v>
      </c>
      <c r="C133" s="9" t="s">
        <v>313</v>
      </c>
      <c r="D133" s="9" t="s">
        <v>314</v>
      </c>
      <c r="E133" s="9" t="s">
        <v>295</v>
      </c>
      <c r="F133" s="9" t="s">
        <v>134</v>
      </c>
      <c r="G133" s="10" t="s">
        <v>296</v>
      </c>
      <c r="H133" s="9" t="s">
        <v>136</v>
      </c>
      <c r="I133" s="9">
        <v>1</v>
      </c>
      <c r="J133" s="9">
        <v>1</v>
      </c>
      <c r="K133" s="9" t="s">
        <v>4</v>
      </c>
      <c r="L133" s="9" t="s">
        <v>137</v>
      </c>
      <c r="M133" s="9"/>
      <c r="N133" s="9"/>
      <c r="O133" s="10"/>
      <c r="P133" s="11">
        <v>1</v>
      </c>
      <c r="Q133" s="11">
        <v>1</v>
      </c>
      <c r="R133" s="11">
        <v>1</v>
      </c>
      <c r="S133" s="11">
        <v>1</v>
      </c>
      <c r="T133" s="11">
        <v>1</v>
      </c>
      <c r="U133" s="11">
        <v>1</v>
      </c>
      <c r="V133" s="11">
        <v>1</v>
      </c>
      <c r="W133" s="11">
        <v>1</v>
      </c>
      <c r="X133" s="11">
        <v>1</v>
      </c>
      <c r="Y133" s="11">
        <v>1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  <c r="AF133" s="11">
        <v>1</v>
      </c>
      <c r="AG133" s="11">
        <v>1</v>
      </c>
      <c r="AH133" s="11">
        <v>1</v>
      </c>
      <c r="AI133" s="11">
        <v>1</v>
      </c>
      <c r="AJ133" s="11">
        <v>1</v>
      </c>
      <c r="AK133" s="11">
        <v>1</v>
      </c>
      <c r="AL133" s="11">
        <v>1</v>
      </c>
      <c r="AM133" s="11">
        <v>1</v>
      </c>
      <c r="AN133" s="11">
        <v>1</v>
      </c>
      <c r="AO133" s="11">
        <v>1</v>
      </c>
      <c r="AP133" s="11">
        <v>1</v>
      </c>
      <c r="AQ133" s="11">
        <v>1</v>
      </c>
      <c r="AR133" s="11">
        <v>1</v>
      </c>
      <c r="AS133" s="11">
        <v>1</v>
      </c>
      <c r="AT133" s="11">
        <v>1</v>
      </c>
      <c r="AU133" s="11">
        <v>1</v>
      </c>
      <c r="AV133" s="11">
        <v>1</v>
      </c>
      <c r="AW133" s="11">
        <v>1</v>
      </c>
      <c r="AX133" s="11">
        <v>1</v>
      </c>
      <c r="AY133" s="11">
        <v>1</v>
      </c>
      <c r="AZ133" s="11">
        <v>1</v>
      </c>
      <c r="BA133" s="11">
        <v>1</v>
      </c>
      <c r="BB133" s="11">
        <v>1</v>
      </c>
      <c r="BC133" s="11">
        <v>1</v>
      </c>
      <c r="BD133" s="11">
        <v>1</v>
      </c>
      <c r="BE133" s="11">
        <v>1</v>
      </c>
      <c r="BF133" s="11">
        <v>1</v>
      </c>
      <c r="BG133" s="11">
        <v>1</v>
      </c>
      <c r="BH133" s="11">
        <v>1</v>
      </c>
      <c r="BI133" s="11">
        <v>1</v>
      </c>
      <c r="BJ133" s="11">
        <v>1</v>
      </c>
      <c r="BK133" s="11">
        <v>1</v>
      </c>
      <c r="BL133" s="11">
        <v>1</v>
      </c>
      <c r="BM133" s="11">
        <v>1</v>
      </c>
      <c r="BN133" s="11">
        <v>1</v>
      </c>
      <c r="BO133" s="11">
        <v>1</v>
      </c>
      <c r="BP133" t="s">
        <v>312</v>
      </c>
      <c r="BQ133" t="s">
        <v>315</v>
      </c>
    </row>
    <row r="134" ht="18" customHeight="1" spans="1:69" x14ac:dyDescent="0.25">
      <c r="A134" s="9"/>
      <c r="B134" s="9"/>
      <c r="C134" s="9"/>
      <c r="D134" s="9"/>
      <c r="E134" s="9"/>
      <c r="F134" s="9"/>
      <c r="G134" s="10"/>
      <c r="H134" s="9" t="s">
        <v>139</v>
      </c>
      <c r="I134" s="9"/>
      <c r="J134" s="9"/>
      <c r="K134" s="9"/>
      <c r="L134" s="9"/>
      <c r="M134" s="9"/>
      <c r="N134" s="9"/>
      <c r="O134" s="10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t="s">
        <v>312</v>
      </c>
      <c r="BQ134" t="s">
        <v>315</v>
      </c>
    </row>
    <row r="135" ht="28" customHeight="1" spans="1:69" x14ac:dyDescent="0.25">
      <c r="A135" s="9"/>
      <c r="B135" s="9"/>
      <c r="C135" s="9"/>
      <c r="D135" s="9"/>
      <c r="E135" s="9"/>
      <c r="F135" s="9" t="s">
        <v>168</v>
      </c>
      <c r="G135" s="10" t="s">
        <v>298</v>
      </c>
      <c r="H135" s="9" t="s">
        <v>136</v>
      </c>
      <c r="I135" s="9">
        <v>3</v>
      </c>
      <c r="J135" s="9">
        <v>2000</v>
      </c>
      <c r="K135" s="9" t="s">
        <v>189</v>
      </c>
      <c r="L135" s="9" t="s">
        <v>9</v>
      </c>
      <c r="M135" s="9"/>
      <c r="N135" s="9"/>
      <c r="O135" s="10"/>
      <c r="P135" s="13"/>
      <c r="Q135" s="13"/>
      <c r="R135" s="17">
        <v>3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7">
        <v>3</v>
      </c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7">
        <v>3</v>
      </c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7">
        <v>3</v>
      </c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t="s">
        <v>312</v>
      </c>
      <c r="BQ135" t="s">
        <v>316</v>
      </c>
    </row>
    <row r="136" ht="18" customHeight="1" spans="1:69" x14ac:dyDescent="0.25">
      <c r="A136" s="9"/>
      <c r="B136" s="9"/>
      <c r="C136" s="9"/>
      <c r="D136" s="9"/>
      <c r="E136" s="9"/>
      <c r="F136" s="9"/>
      <c r="G136" s="10"/>
      <c r="H136" s="9" t="s">
        <v>139</v>
      </c>
      <c r="I136" s="9"/>
      <c r="J136" s="9"/>
      <c r="K136" s="9"/>
      <c r="L136" s="9"/>
      <c r="M136" s="9"/>
      <c r="N136" s="9"/>
      <c r="O136" s="10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t="s">
        <v>312</v>
      </c>
      <c r="BQ136" t="s">
        <v>316</v>
      </c>
    </row>
    <row r="137" ht="28" customHeight="1" spans="1:69" x14ac:dyDescent="0.25">
      <c r="A137" s="9"/>
      <c r="B137" s="9"/>
      <c r="C137" s="9"/>
      <c r="D137" s="9"/>
      <c r="E137" s="9"/>
      <c r="F137" s="9" t="s">
        <v>168</v>
      </c>
      <c r="G137" s="10" t="s">
        <v>300</v>
      </c>
      <c r="H137" s="9" t="s">
        <v>136</v>
      </c>
      <c r="I137" s="9">
        <v>5</v>
      </c>
      <c r="J137" s="9">
        <v>10000</v>
      </c>
      <c r="K137" s="9" t="s">
        <v>145</v>
      </c>
      <c r="L137" s="9" t="s">
        <v>9</v>
      </c>
      <c r="M137" s="9"/>
      <c r="N137" s="9"/>
      <c r="O137" s="10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4">
        <v>5</v>
      </c>
      <c r="BK137" s="13"/>
      <c r="BL137" s="13"/>
      <c r="BM137" s="13"/>
      <c r="BN137" s="13"/>
      <c r="BO137" s="13"/>
      <c r="BP137" t="s">
        <v>312</v>
      </c>
      <c r="BQ137" t="s">
        <v>317</v>
      </c>
    </row>
    <row r="138" ht="18" customHeight="1" spans="1:69" x14ac:dyDescent="0.25">
      <c r="A138" s="9"/>
      <c r="B138" s="9"/>
      <c r="C138" s="9"/>
      <c r="D138" s="9"/>
      <c r="E138" s="9"/>
      <c r="F138" s="9"/>
      <c r="G138" s="10"/>
      <c r="H138" s="9" t="s">
        <v>139</v>
      </c>
      <c r="I138" s="9"/>
      <c r="J138" s="9"/>
      <c r="K138" s="9"/>
      <c r="L138" s="9"/>
      <c r="M138" s="9"/>
      <c r="N138" s="9"/>
      <c r="O138" s="10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t="s">
        <v>312</v>
      </c>
      <c r="BQ138" t="s">
        <v>317</v>
      </c>
    </row>
    <row r="139" ht="28" customHeight="1" spans="1:69" x14ac:dyDescent="0.25">
      <c r="A139" s="9"/>
      <c r="B139" s="9"/>
      <c r="C139" s="9"/>
      <c r="D139" s="9"/>
      <c r="E139" s="9"/>
      <c r="F139" s="9" t="s">
        <v>302</v>
      </c>
      <c r="G139" s="10" t="s">
        <v>303</v>
      </c>
      <c r="H139" s="9" t="s">
        <v>136</v>
      </c>
      <c r="I139" s="9">
        <v>2</v>
      </c>
      <c r="J139" s="9">
        <v>1000</v>
      </c>
      <c r="K139" s="9" t="s">
        <v>152</v>
      </c>
      <c r="L139" s="9" t="s">
        <v>9</v>
      </c>
      <c r="M139" s="9"/>
      <c r="N139" s="9"/>
      <c r="O139" s="10"/>
      <c r="P139" s="13"/>
      <c r="Q139" s="13"/>
      <c r="R139" s="16">
        <v>2</v>
      </c>
      <c r="S139" s="13"/>
      <c r="T139" s="13"/>
      <c r="U139" s="13"/>
      <c r="V139" s="13"/>
      <c r="W139" s="16">
        <v>2</v>
      </c>
      <c r="X139" s="13"/>
      <c r="Y139" s="13"/>
      <c r="Z139" s="13"/>
      <c r="AA139" s="16">
        <v>2</v>
      </c>
      <c r="AB139" s="13"/>
      <c r="AC139" s="13"/>
      <c r="AD139" s="13"/>
      <c r="AE139" s="16">
        <v>2</v>
      </c>
      <c r="AF139" s="13"/>
      <c r="AG139" s="13"/>
      <c r="AH139" s="13"/>
      <c r="AI139" s="16">
        <v>2</v>
      </c>
      <c r="AJ139" s="13"/>
      <c r="AK139" s="13"/>
      <c r="AL139" s="13"/>
      <c r="AM139" s="13"/>
      <c r="AN139" s="16">
        <v>2</v>
      </c>
      <c r="AO139" s="13"/>
      <c r="AP139" s="13"/>
      <c r="AQ139" s="13"/>
      <c r="AR139" s="16">
        <v>2</v>
      </c>
      <c r="AS139" s="13"/>
      <c r="AT139" s="13"/>
      <c r="AU139" s="13"/>
      <c r="AV139" s="13"/>
      <c r="AW139" s="16">
        <v>2</v>
      </c>
      <c r="AX139" s="13"/>
      <c r="AY139" s="13"/>
      <c r="AZ139" s="13"/>
      <c r="BA139" s="16">
        <v>2</v>
      </c>
      <c r="BB139" s="13"/>
      <c r="BC139" s="13"/>
      <c r="BD139" s="13"/>
      <c r="BE139" s="16">
        <v>2</v>
      </c>
      <c r="BF139" s="13"/>
      <c r="BG139" s="13"/>
      <c r="BH139" s="13"/>
      <c r="BI139" s="13"/>
      <c r="BJ139" s="16">
        <v>2</v>
      </c>
      <c r="BK139" s="13"/>
      <c r="BL139" s="13"/>
      <c r="BM139" s="13"/>
      <c r="BN139" s="16">
        <v>2</v>
      </c>
      <c r="BO139" s="13"/>
      <c r="BP139" t="s">
        <v>312</v>
      </c>
      <c r="BQ139" t="s">
        <v>318</v>
      </c>
    </row>
    <row r="140" ht="18" customHeight="1" spans="1:69" x14ac:dyDescent="0.25">
      <c r="A140" s="9"/>
      <c r="B140" s="9"/>
      <c r="C140" s="9"/>
      <c r="D140" s="9"/>
      <c r="E140" s="9"/>
      <c r="F140" s="9"/>
      <c r="G140" s="10"/>
      <c r="H140" s="9" t="s">
        <v>139</v>
      </c>
      <c r="I140" s="9"/>
      <c r="J140" s="9"/>
      <c r="K140" s="9"/>
      <c r="L140" s="9"/>
      <c r="M140" s="9"/>
      <c r="N140" s="9"/>
      <c r="O140" s="10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t="s">
        <v>312</v>
      </c>
      <c r="BQ140" t="s">
        <v>318</v>
      </c>
    </row>
    <row r="141" ht="28" customHeight="1" spans="1:69" x14ac:dyDescent="0.25">
      <c r="A141" s="9"/>
      <c r="B141" s="9" t="s">
        <v>319</v>
      </c>
      <c r="C141" s="9" t="s">
        <v>320</v>
      </c>
      <c r="D141" s="9" t="s">
        <v>321</v>
      </c>
      <c r="E141" s="9" t="s">
        <v>295</v>
      </c>
      <c r="F141" s="9" t="s">
        <v>134</v>
      </c>
      <c r="G141" s="10" t="s">
        <v>296</v>
      </c>
      <c r="H141" s="9" t="s">
        <v>136</v>
      </c>
      <c r="I141" s="9">
        <v>1</v>
      </c>
      <c r="J141" s="9">
        <v>1</v>
      </c>
      <c r="K141" s="9" t="s">
        <v>4</v>
      </c>
      <c r="L141" s="9" t="s">
        <v>137</v>
      </c>
      <c r="M141" s="9"/>
      <c r="N141" s="9"/>
      <c r="O141" s="10"/>
      <c r="P141" s="11">
        <v>1</v>
      </c>
      <c r="Q141" s="11">
        <v>1</v>
      </c>
      <c r="R141" s="11">
        <v>1</v>
      </c>
      <c r="S141" s="11">
        <v>1</v>
      </c>
      <c r="T141" s="11">
        <v>1</v>
      </c>
      <c r="U141" s="11">
        <v>1</v>
      </c>
      <c r="V141" s="11">
        <v>1</v>
      </c>
      <c r="W141" s="11">
        <v>1</v>
      </c>
      <c r="X141" s="11">
        <v>1</v>
      </c>
      <c r="Y141" s="11">
        <v>1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  <c r="AF141" s="11">
        <v>1</v>
      </c>
      <c r="AG141" s="11">
        <v>1</v>
      </c>
      <c r="AH141" s="11">
        <v>1</v>
      </c>
      <c r="AI141" s="11">
        <v>1</v>
      </c>
      <c r="AJ141" s="11">
        <v>1</v>
      </c>
      <c r="AK141" s="11">
        <v>1</v>
      </c>
      <c r="AL141" s="11">
        <v>1</v>
      </c>
      <c r="AM141" s="11">
        <v>1</v>
      </c>
      <c r="AN141" s="11">
        <v>1</v>
      </c>
      <c r="AO141" s="11">
        <v>1</v>
      </c>
      <c r="AP141" s="11">
        <v>1</v>
      </c>
      <c r="AQ141" s="11">
        <v>1</v>
      </c>
      <c r="AR141" s="11">
        <v>1</v>
      </c>
      <c r="AS141" s="11">
        <v>1</v>
      </c>
      <c r="AT141" s="11">
        <v>1</v>
      </c>
      <c r="AU141" s="11">
        <v>1</v>
      </c>
      <c r="AV141" s="11">
        <v>1</v>
      </c>
      <c r="AW141" s="11">
        <v>1</v>
      </c>
      <c r="AX141" s="11">
        <v>1</v>
      </c>
      <c r="AY141" s="11">
        <v>1</v>
      </c>
      <c r="AZ141" s="11">
        <v>1</v>
      </c>
      <c r="BA141" s="11">
        <v>1</v>
      </c>
      <c r="BB141" s="11">
        <v>1</v>
      </c>
      <c r="BC141" s="11">
        <v>1</v>
      </c>
      <c r="BD141" s="11">
        <v>1</v>
      </c>
      <c r="BE141" s="11">
        <v>1</v>
      </c>
      <c r="BF141" s="11">
        <v>1</v>
      </c>
      <c r="BG141" s="11">
        <v>1</v>
      </c>
      <c r="BH141" s="11">
        <v>1</v>
      </c>
      <c r="BI141" s="11">
        <v>1</v>
      </c>
      <c r="BJ141" s="11">
        <v>1</v>
      </c>
      <c r="BK141" s="11">
        <v>1</v>
      </c>
      <c r="BL141" s="11">
        <v>1</v>
      </c>
      <c r="BM141" s="11">
        <v>1</v>
      </c>
      <c r="BN141" s="11">
        <v>1</v>
      </c>
      <c r="BO141" s="11">
        <v>1</v>
      </c>
      <c r="BP141" t="s">
        <v>319</v>
      </c>
      <c r="BQ141" t="s">
        <v>322</v>
      </c>
    </row>
    <row r="142" ht="18" customHeight="1" spans="1:69" x14ac:dyDescent="0.25">
      <c r="A142" s="9"/>
      <c r="B142" s="9"/>
      <c r="C142" s="9"/>
      <c r="D142" s="9"/>
      <c r="E142" s="9"/>
      <c r="F142" s="9"/>
      <c r="G142" s="10"/>
      <c r="H142" s="9" t="s">
        <v>139</v>
      </c>
      <c r="I142" s="9"/>
      <c r="J142" s="9"/>
      <c r="K142" s="9"/>
      <c r="L142" s="9"/>
      <c r="M142" s="9"/>
      <c r="N142" s="9"/>
      <c r="O142" s="10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t="s">
        <v>319</v>
      </c>
      <c r="BQ142" t="s">
        <v>322</v>
      </c>
    </row>
    <row r="143" ht="28" customHeight="1" spans="1:69" x14ac:dyDescent="0.25">
      <c r="A143" s="9"/>
      <c r="B143" s="9"/>
      <c r="C143" s="9"/>
      <c r="D143" s="9"/>
      <c r="E143" s="9"/>
      <c r="F143" s="9" t="s">
        <v>168</v>
      </c>
      <c r="G143" s="10" t="s">
        <v>298</v>
      </c>
      <c r="H143" s="9" t="s">
        <v>136</v>
      </c>
      <c r="I143" s="9">
        <v>3</v>
      </c>
      <c r="J143" s="9">
        <v>2000</v>
      </c>
      <c r="K143" s="9" t="s">
        <v>189</v>
      </c>
      <c r="L143" s="9" t="s">
        <v>9</v>
      </c>
      <c r="M143" s="9"/>
      <c r="N143" s="9"/>
      <c r="O143" s="10"/>
      <c r="P143" s="13"/>
      <c r="Q143" s="13"/>
      <c r="R143" s="17">
        <v>3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7">
        <v>3</v>
      </c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7">
        <v>3</v>
      </c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7">
        <v>3</v>
      </c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t="s">
        <v>319</v>
      </c>
      <c r="BQ143" t="s">
        <v>323</v>
      </c>
    </row>
    <row r="144" ht="18" customHeight="1" spans="1:69" x14ac:dyDescent="0.25">
      <c r="A144" s="9"/>
      <c r="B144" s="9"/>
      <c r="C144" s="9"/>
      <c r="D144" s="9"/>
      <c r="E144" s="9"/>
      <c r="F144" s="9"/>
      <c r="G144" s="10"/>
      <c r="H144" s="9" t="s">
        <v>139</v>
      </c>
      <c r="I144" s="9"/>
      <c r="J144" s="9"/>
      <c r="K144" s="9"/>
      <c r="L144" s="9"/>
      <c r="M144" s="9"/>
      <c r="N144" s="9"/>
      <c r="O144" s="10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t="s">
        <v>319</v>
      </c>
      <c r="BQ144" t="s">
        <v>323</v>
      </c>
    </row>
    <row r="145" ht="28" customHeight="1" spans="1:69" x14ac:dyDescent="0.25">
      <c r="A145" s="9"/>
      <c r="B145" s="9"/>
      <c r="C145" s="9"/>
      <c r="D145" s="9"/>
      <c r="E145" s="9"/>
      <c r="F145" s="9" t="s">
        <v>168</v>
      </c>
      <c r="G145" s="10" t="s">
        <v>300</v>
      </c>
      <c r="H145" s="9" t="s">
        <v>136</v>
      </c>
      <c r="I145" s="9">
        <v>5</v>
      </c>
      <c r="J145" s="9">
        <v>10000</v>
      </c>
      <c r="K145" s="9" t="s">
        <v>145</v>
      </c>
      <c r="L145" s="9" t="s">
        <v>9</v>
      </c>
      <c r="M145" s="9"/>
      <c r="N145" s="9"/>
      <c r="O145" s="10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4">
        <v>5</v>
      </c>
      <c r="BK145" s="13"/>
      <c r="BL145" s="13"/>
      <c r="BM145" s="13"/>
      <c r="BN145" s="13"/>
      <c r="BO145" s="13"/>
      <c r="BP145" t="s">
        <v>319</v>
      </c>
      <c r="BQ145" t="s">
        <v>324</v>
      </c>
    </row>
    <row r="146" ht="18" customHeight="1" spans="1:69" x14ac:dyDescent="0.25">
      <c r="A146" s="9"/>
      <c r="B146" s="9"/>
      <c r="C146" s="9"/>
      <c r="D146" s="9"/>
      <c r="E146" s="9"/>
      <c r="F146" s="9"/>
      <c r="G146" s="10"/>
      <c r="H146" s="9" t="s">
        <v>139</v>
      </c>
      <c r="I146" s="9"/>
      <c r="J146" s="9"/>
      <c r="K146" s="9"/>
      <c r="L146" s="9"/>
      <c r="M146" s="9"/>
      <c r="N146" s="9"/>
      <c r="O146" s="10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t="s">
        <v>319</v>
      </c>
      <c r="BQ146" t="s">
        <v>324</v>
      </c>
    </row>
    <row r="147" ht="28" customHeight="1" spans="1:69" x14ac:dyDescent="0.25">
      <c r="A147" s="9"/>
      <c r="B147" s="9"/>
      <c r="C147" s="9"/>
      <c r="D147" s="9"/>
      <c r="E147" s="9"/>
      <c r="F147" s="9" t="s">
        <v>302</v>
      </c>
      <c r="G147" s="10" t="s">
        <v>303</v>
      </c>
      <c r="H147" s="9" t="s">
        <v>136</v>
      </c>
      <c r="I147" s="9">
        <v>2</v>
      </c>
      <c r="J147" s="9">
        <v>1000</v>
      </c>
      <c r="K147" s="9" t="s">
        <v>152</v>
      </c>
      <c r="L147" s="9" t="s">
        <v>9</v>
      </c>
      <c r="M147" s="9"/>
      <c r="N147" s="9"/>
      <c r="O147" s="10"/>
      <c r="P147" s="13"/>
      <c r="Q147" s="13"/>
      <c r="R147" s="16">
        <v>2</v>
      </c>
      <c r="S147" s="13"/>
      <c r="T147" s="13"/>
      <c r="U147" s="13"/>
      <c r="V147" s="13"/>
      <c r="W147" s="16">
        <v>2</v>
      </c>
      <c r="X147" s="13"/>
      <c r="Y147" s="13"/>
      <c r="Z147" s="13"/>
      <c r="AA147" s="16">
        <v>2</v>
      </c>
      <c r="AB147" s="13"/>
      <c r="AC147" s="13"/>
      <c r="AD147" s="13"/>
      <c r="AE147" s="16">
        <v>2</v>
      </c>
      <c r="AF147" s="13"/>
      <c r="AG147" s="13"/>
      <c r="AH147" s="13"/>
      <c r="AI147" s="16">
        <v>2</v>
      </c>
      <c r="AJ147" s="13"/>
      <c r="AK147" s="13"/>
      <c r="AL147" s="13"/>
      <c r="AM147" s="13"/>
      <c r="AN147" s="16">
        <v>2</v>
      </c>
      <c r="AO147" s="13"/>
      <c r="AP147" s="13"/>
      <c r="AQ147" s="13"/>
      <c r="AR147" s="16">
        <v>2</v>
      </c>
      <c r="AS147" s="13"/>
      <c r="AT147" s="13"/>
      <c r="AU147" s="13"/>
      <c r="AV147" s="13"/>
      <c r="AW147" s="16">
        <v>2</v>
      </c>
      <c r="AX147" s="13"/>
      <c r="AY147" s="13"/>
      <c r="AZ147" s="13"/>
      <c r="BA147" s="16">
        <v>2</v>
      </c>
      <c r="BB147" s="13"/>
      <c r="BC147" s="13"/>
      <c r="BD147" s="13"/>
      <c r="BE147" s="16">
        <v>2</v>
      </c>
      <c r="BF147" s="13"/>
      <c r="BG147" s="13"/>
      <c r="BH147" s="13"/>
      <c r="BI147" s="13"/>
      <c r="BJ147" s="16">
        <v>2</v>
      </c>
      <c r="BK147" s="13"/>
      <c r="BL147" s="13"/>
      <c r="BM147" s="13"/>
      <c r="BN147" s="16">
        <v>2</v>
      </c>
      <c r="BO147" s="13"/>
      <c r="BP147" t="s">
        <v>319</v>
      </c>
      <c r="BQ147" t="s">
        <v>325</v>
      </c>
    </row>
    <row r="148" ht="18" customHeight="1" spans="1:69" x14ac:dyDescent="0.25">
      <c r="A148" s="9"/>
      <c r="B148" s="9"/>
      <c r="C148" s="9"/>
      <c r="D148" s="9"/>
      <c r="E148" s="9"/>
      <c r="F148" s="9"/>
      <c r="G148" s="10"/>
      <c r="H148" s="9" t="s">
        <v>139</v>
      </c>
      <c r="I148" s="9"/>
      <c r="J148" s="9"/>
      <c r="K148" s="9"/>
      <c r="L148" s="9"/>
      <c r="M148" s="9"/>
      <c r="N148" s="9"/>
      <c r="O148" s="10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t="s">
        <v>319</v>
      </c>
      <c r="BQ148" t="s">
        <v>325</v>
      </c>
    </row>
    <row r="149" ht="28" customHeight="1" spans="1:69" x14ac:dyDescent="0.25">
      <c r="A149" s="9"/>
      <c r="B149" s="9" t="s">
        <v>326</v>
      </c>
      <c r="C149" s="9" t="s">
        <v>327</v>
      </c>
      <c r="D149" s="9" t="s">
        <v>328</v>
      </c>
      <c r="E149" s="9" t="s">
        <v>295</v>
      </c>
      <c r="F149" s="9" t="s">
        <v>134</v>
      </c>
      <c r="G149" s="10" t="s">
        <v>296</v>
      </c>
      <c r="H149" s="9" t="s">
        <v>136</v>
      </c>
      <c r="I149" s="9">
        <v>1</v>
      </c>
      <c r="J149" s="9">
        <v>1</v>
      </c>
      <c r="K149" s="9" t="s">
        <v>4</v>
      </c>
      <c r="L149" s="9" t="s">
        <v>137</v>
      </c>
      <c r="M149" s="9"/>
      <c r="N149" s="9"/>
      <c r="O149" s="10"/>
      <c r="P149" s="11">
        <v>1</v>
      </c>
      <c r="Q149" s="11">
        <v>1</v>
      </c>
      <c r="R149" s="11">
        <v>1</v>
      </c>
      <c r="S149" s="11">
        <v>1</v>
      </c>
      <c r="T149" s="11">
        <v>1</v>
      </c>
      <c r="U149" s="11">
        <v>1</v>
      </c>
      <c r="V149" s="11">
        <v>1</v>
      </c>
      <c r="W149" s="11">
        <v>1</v>
      </c>
      <c r="X149" s="11">
        <v>1</v>
      </c>
      <c r="Y149" s="11">
        <v>1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  <c r="AF149" s="11">
        <v>1</v>
      </c>
      <c r="AG149" s="11">
        <v>1</v>
      </c>
      <c r="AH149" s="11">
        <v>1</v>
      </c>
      <c r="AI149" s="11">
        <v>1</v>
      </c>
      <c r="AJ149" s="11">
        <v>1</v>
      </c>
      <c r="AK149" s="11">
        <v>1</v>
      </c>
      <c r="AL149" s="11">
        <v>1</v>
      </c>
      <c r="AM149" s="11">
        <v>1</v>
      </c>
      <c r="AN149" s="11">
        <v>1</v>
      </c>
      <c r="AO149" s="11">
        <v>1</v>
      </c>
      <c r="AP149" s="11">
        <v>1</v>
      </c>
      <c r="AQ149" s="11">
        <v>1</v>
      </c>
      <c r="AR149" s="11">
        <v>1</v>
      </c>
      <c r="AS149" s="11">
        <v>1</v>
      </c>
      <c r="AT149" s="11">
        <v>1</v>
      </c>
      <c r="AU149" s="11">
        <v>1</v>
      </c>
      <c r="AV149" s="11">
        <v>1</v>
      </c>
      <c r="AW149" s="11">
        <v>1</v>
      </c>
      <c r="AX149" s="11">
        <v>1</v>
      </c>
      <c r="AY149" s="11">
        <v>1</v>
      </c>
      <c r="AZ149" s="11">
        <v>1</v>
      </c>
      <c r="BA149" s="11">
        <v>1</v>
      </c>
      <c r="BB149" s="11">
        <v>1</v>
      </c>
      <c r="BC149" s="11">
        <v>1</v>
      </c>
      <c r="BD149" s="11">
        <v>1</v>
      </c>
      <c r="BE149" s="11">
        <v>1</v>
      </c>
      <c r="BF149" s="11">
        <v>1</v>
      </c>
      <c r="BG149" s="11">
        <v>1</v>
      </c>
      <c r="BH149" s="11">
        <v>1</v>
      </c>
      <c r="BI149" s="11">
        <v>1</v>
      </c>
      <c r="BJ149" s="11">
        <v>1</v>
      </c>
      <c r="BK149" s="11">
        <v>1</v>
      </c>
      <c r="BL149" s="11">
        <v>1</v>
      </c>
      <c r="BM149" s="11">
        <v>1</v>
      </c>
      <c r="BN149" s="11">
        <v>1</v>
      </c>
      <c r="BO149" s="11">
        <v>1</v>
      </c>
      <c r="BP149" t="s">
        <v>326</v>
      </c>
      <c r="BQ149" t="s">
        <v>329</v>
      </c>
    </row>
    <row r="150" ht="18" customHeight="1" spans="1:69" x14ac:dyDescent="0.25">
      <c r="A150" s="9"/>
      <c r="B150" s="9"/>
      <c r="C150" s="9"/>
      <c r="D150" s="9"/>
      <c r="E150" s="9"/>
      <c r="F150" s="9"/>
      <c r="G150" s="10"/>
      <c r="H150" s="9" t="s">
        <v>139</v>
      </c>
      <c r="I150" s="9"/>
      <c r="J150" s="9"/>
      <c r="K150" s="9"/>
      <c r="L150" s="9"/>
      <c r="M150" s="9"/>
      <c r="N150" s="9"/>
      <c r="O150" s="10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t="s">
        <v>326</v>
      </c>
      <c r="BQ150" t="s">
        <v>329</v>
      </c>
    </row>
    <row r="151" ht="28" customHeight="1" spans="1:69" x14ac:dyDescent="0.25">
      <c r="A151" s="9"/>
      <c r="B151" s="9"/>
      <c r="C151" s="9"/>
      <c r="D151" s="9"/>
      <c r="E151" s="9"/>
      <c r="F151" s="9" t="s">
        <v>168</v>
      </c>
      <c r="G151" s="10" t="s">
        <v>298</v>
      </c>
      <c r="H151" s="9" t="s">
        <v>136</v>
      </c>
      <c r="I151" s="9">
        <v>3</v>
      </c>
      <c r="J151" s="9">
        <v>2000</v>
      </c>
      <c r="K151" s="9" t="s">
        <v>189</v>
      </c>
      <c r="L151" s="9" t="s">
        <v>9</v>
      </c>
      <c r="M151" s="9"/>
      <c r="N151" s="9"/>
      <c r="O151" s="10"/>
      <c r="P151" s="13"/>
      <c r="Q151" s="13"/>
      <c r="R151" s="17">
        <v>3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7">
        <v>3</v>
      </c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7">
        <v>3</v>
      </c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7">
        <v>3</v>
      </c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t="s">
        <v>326</v>
      </c>
      <c r="BQ151" t="s">
        <v>330</v>
      </c>
    </row>
    <row r="152" ht="18" customHeight="1" spans="1:69" x14ac:dyDescent="0.25">
      <c r="A152" s="9"/>
      <c r="B152" s="9"/>
      <c r="C152" s="9"/>
      <c r="D152" s="9"/>
      <c r="E152" s="9"/>
      <c r="F152" s="9"/>
      <c r="G152" s="10"/>
      <c r="H152" s="9" t="s">
        <v>139</v>
      </c>
      <c r="I152" s="9"/>
      <c r="J152" s="9"/>
      <c r="K152" s="9"/>
      <c r="L152" s="9"/>
      <c r="M152" s="9"/>
      <c r="N152" s="9"/>
      <c r="O152" s="10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t="s">
        <v>326</v>
      </c>
      <c r="BQ152" t="s">
        <v>330</v>
      </c>
    </row>
    <row r="153" ht="28" customHeight="1" spans="1:69" x14ac:dyDescent="0.25">
      <c r="A153" s="9"/>
      <c r="B153" s="9"/>
      <c r="C153" s="9"/>
      <c r="D153" s="9"/>
      <c r="E153" s="9"/>
      <c r="F153" s="9" t="s">
        <v>168</v>
      </c>
      <c r="G153" s="10" t="s">
        <v>300</v>
      </c>
      <c r="H153" s="9" t="s">
        <v>136</v>
      </c>
      <c r="I153" s="9">
        <v>5</v>
      </c>
      <c r="J153" s="9">
        <v>10000</v>
      </c>
      <c r="K153" s="9" t="s">
        <v>145</v>
      </c>
      <c r="L153" s="9" t="s">
        <v>9</v>
      </c>
      <c r="M153" s="9"/>
      <c r="N153" s="9"/>
      <c r="O153" s="10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4">
        <v>5</v>
      </c>
      <c r="BK153" s="13"/>
      <c r="BL153" s="13"/>
      <c r="BM153" s="13"/>
      <c r="BN153" s="13"/>
      <c r="BO153" s="13"/>
      <c r="BP153" t="s">
        <v>326</v>
      </c>
      <c r="BQ153" t="s">
        <v>331</v>
      </c>
    </row>
    <row r="154" ht="18" customHeight="1" spans="1:69" x14ac:dyDescent="0.25">
      <c r="A154" s="9"/>
      <c r="B154" s="9"/>
      <c r="C154" s="9"/>
      <c r="D154" s="9"/>
      <c r="E154" s="9"/>
      <c r="F154" s="9"/>
      <c r="G154" s="10"/>
      <c r="H154" s="9" t="s">
        <v>139</v>
      </c>
      <c r="I154" s="9"/>
      <c r="J154" s="9"/>
      <c r="K154" s="9"/>
      <c r="L154" s="9"/>
      <c r="M154" s="9"/>
      <c r="N154" s="9"/>
      <c r="O154" s="10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t="s">
        <v>326</v>
      </c>
      <c r="BQ154" t="s">
        <v>331</v>
      </c>
    </row>
    <row r="155" ht="28" customHeight="1" spans="1:69" x14ac:dyDescent="0.25">
      <c r="A155" s="9"/>
      <c r="B155" s="9"/>
      <c r="C155" s="9"/>
      <c r="D155" s="9"/>
      <c r="E155" s="9"/>
      <c r="F155" s="9" t="s">
        <v>302</v>
      </c>
      <c r="G155" s="10" t="s">
        <v>303</v>
      </c>
      <c r="H155" s="9" t="s">
        <v>136</v>
      </c>
      <c r="I155" s="9">
        <v>2</v>
      </c>
      <c r="J155" s="9">
        <v>1000</v>
      </c>
      <c r="K155" s="9" t="s">
        <v>152</v>
      </c>
      <c r="L155" s="9" t="s">
        <v>9</v>
      </c>
      <c r="M155" s="9"/>
      <c r="N155" s="9"/>
      <c r="O155" s="10"/>
      <c r="P155" s="13"/>
      <c r="Q155" s="13"/>
      <c r="R155" s="16">
        <v>2</v>
      </c>
      <c r="S155" s="13"/>
      <c r="T155" s="13"/>
      <c r="U155" s="13"/>
      <c r="V155" s="13"/>
      <c r="W155" s="16">
        <v>2</v>
      </c>
      <c r="X155" s="13"/>
      <c r="Y155" s="13"/>
      <c r="Z155" s="13"/>
      <c r="AA155" s="16">
        <v>2</v>
      </c>
      <c r="AB155" s="13"/>
      <c r="AC155" s="13"/>
      <c r="AD155" s="13"/>
      <c r="AE155" s="16">
        <v>2</v>
      </c>
      <c r="AF155" s="13"/>
      <c r="AG155" s="13"/>
      <c r="AH155" s="13"/>
      <c r="AI155" s="16">
        <v>2</v>
      </c>
      <c r="AJ155" s="13"/>
      <c r="AK155" s="13"/>
      <c r="AL155" s="13"/>
      <c r="AM155" s="13"/>
      <c r="AN155" s="16">
        <v>2</v>
      </c>
      <c r="AO155" s="13"/>
      <c r="AP155" s="13"/>
      <c r="AQ155" s="13"/>
      <c r="AR155" s="16">
        <v>2</v>
      </c>
      <c r="AS155" s="13"/>
      <c r="AT155" s="13"/>
      <c r="AU155" s="13"/>
      <c r="AV155" s="13"/>
      <c r="AW155" s="16">
        <v>2</v>
      </c>
      <c r="AX155" s="13"/>
      <c r="AY155" s="13"/>
      <c r="AZ155" s="13"/>
      <c r="BA155" s="16">
        <v>2</v>
      </c>
      <c r="BB155" s="13"/>
      <c r="BC155" s="13"/>
      <c r="BD155" s="13"/>
      <c r="BE155" s="16">
        <v>2</v>
      </c>
      <c r="BF155" s="13"/>
      <c r="BG155" s="13"/>
      <c r="BH155" s="13"/>
      <c r="BI155" s="13"/>
      <c r="BJ155" s="16">
        <v>2</v>
      </c>
      <c r="BK155" s="13"/>
      <c r="BL155" s="13"/>
      <c r="BM155" s="13"/>
      <c r="BN155" s="16">
        <v>2</v>
      </c>
      <c r="BO155" s="13"/>
      <c r="BP155" t="s">
        <v>326</v>
      </c>
      <c r="BQ155" t="s">
        <v>332</v>
      </c>
    </row>
    <row r="156" ht="18" customHeight="1" spans="1:69" x14ac:dyDescent="0.25">
      <c r="A156" s="9"/>
      <c r="B156" s="9"/>
      <c r="C156" s="9"/>
      <c r="D156" s="9"/>
      <c r="E156" s="9"/>
      <c r="F156" s="9"/>
      <c r="G156" s="10"/>
      <c r="H156" s="9" t="s">
        <v>139</v>
      </c>
      <c r="I156" s="9"/>
      <c r="J156" s="9"/>
      <c r="K156" s="9"/>
      <c r="L156" s="9"/>
      <c r="M156" s="9"/>
      <c r="N156" s="9"/>
      <c r="O156" s="10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t="s">
        <v>326</v>
      </c>
      <c r="BQ156" t="s">
        <v>332</v>
      </c>
    </row>
    <row r="157" ht="28" customHeight="1" spans="1:69" x14ac:dyDescent="0.25">
      <c r="A157" s="9"/>
      <c r="B157" s="9" t="s">
        <v>333</v>
      </c>
      <c r="C157" s="9" t="s">
        <v>334</v>
      </c>
      <c r="D157" s="9" t="s">
        <v>335</v>
      </c>
      <c r="E157" s="9" t="s">
        <v>295</v>
      </c>
      <c r="F157" s="9" t="s">
        <v>134</v>
      </c>
      <c r="G157" s="10" t="s">
        <v>296</v>
      </c>
      <c r="H157" s="9" t="s">
        <v>136</v>
      </c>
      <c r="I157" s="9">
        <v>1</v>
      </c>
      <c r="J157" s="9">
        <v>1</v>
      </c>
      <c r="K157" s="9" t="s">
        <v>4</v>
      </c>
      <c r="L157" s="9" t="s">
        <v>137</v>
      </c>
      <c r="M157" s="9"/>
      <c r="N157" s="9"/>
      <c r="O157" s="10"/>
      <c r="P157" s="11">
        <v>1</v>
      </c>
      <c r="Q157" s="11">
        <v>1</v>
      </c>
      <c r="R157" s="11">
        <v>1</v>
      </c>
      <c r="S157" s="11">
        <v>1</v>
      </c>
      <c r="T157" s="11">
        <v>1</v>
      </c>
      <c r="U157" s="11">
        <v>1</v>
      </c>
      <c r="V157" s="11">
        <v>1</v>
      </c>
      <c r="W157" s="11">
        <v>1</v>
      </c>
      <c r="X157" s="11">
        <v>1</v>
      </c>
      <c r="Y157" s="11">
        <v>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1">
        <v>1</v>
      </c>
      <c r="AG157" s="11">
        <v>1</v>
      </c>
      <c r="AH157" s="11">
        <v>1</v>
      </c>
      <c r="AI157" s="11">
        <v>1</v>
      </c>
      <c r="AJ157" s="11">
        <v>1</v>
      </c>
      <c r="AK157" s="11">
        <v>1</v>
      </c>
      <c r="AL157" s="11">
        <v>1</v>
      </c>
      <c r="AM157" s="11">
        <v>1</v>
      </c>
      <c r="AN157" s="11">
        <v>1</v>
      </c>
      <c r="AO157" s="11">
        <v>1</v>
      </c>
      <c r="AP157" s="11">
        <v>1</v>
      </c>
      <c r="AQ157" s="11">
        <v>1</v>
      </c>
      <c r="AR157" s="11">
        <v>1</v>
      </c>
      <c r="AS157" s="11">
        <v>1</v>
      </c>
      <c r="AT157" s="11">
        <v>1</v>
      </c>
      <c r="AU157" s="11">
        <v>1</v>
      </c>
      <c r="AV157" s="11">
        <v>1</v>
      </c>
      <c r="AW157" s="11">
        <v>1</v>
      </c>
      <c r="AX157" s="11">
        <v>1</v>
      </c>
      <c r="AY157" s="11">
        <v>1</v>
      </c>
      <c r="AZ157" s="11">
        <v>1</v>
      </c>
      <c r="BA157" s="11">
        <v>1</v>
      </c>
      <c r="BB157" s="11">
        <v>1</v>
      </c>
      <c r="BC157" s="11">
        <v>1</v>
      </c>
      <c r="BD157" s="11">
        <v>1</v>
      </c>
      <c r="BE157" s="11">
        <v>1</v>
      </c>
      <c r="BF157" s="11">
        <v>1</v>
      </c>
      <c r="BG157" s="11">
        <v>1</v>
      </c>
      <c r="BH157" s="11">
        <v>1</v>
      </c>
      <c r="BI157" s="11">
        <v>1</v>
      </c>
      <c r="BJ157" s="11">
        <v>1</v>
      </c>
      <c r="BK157" s="11">
        <v>1</v>
      </c>
      <c r="BL157" s="11">
        <v>1</v>
      </c>
      <c r="BM157" s="11">
        <v>1</v>
      </c>
      <c r="BN157" s="11">
        <v>1</v>
      </c>
      <c r="BO157" s="11">
        <v>1</v>
      </c>
      <c r="BP157" t="s">
        <v>333</v>
      </c>
      <c r="BQ157" t="s">
        <v>336</v>
      </c>
    </row>
    <row r="158" ht="18" customHeight="1" spans="1:69" x14ac:dyDescent="0.25">
      <c r="A158" s="9"/>
      <c r="B158" s="9"/>
      <c r="C158" s="9"/>
      <c r="D158" s="9"/>
      <c r="E158" s="9"/>
      <c r="F158" s="9"/>
      <c r="G158" s="10"/>
      <c r="H158" s="9" t="s">
        <v>139</v>
      </c>
      <c r="I158" s="9"/>
      <c r="J158" s="9"/>
      <c r="K158" s="9"/>
      <c r="L158" s="9"/>
      <c r="M158" s="9"/>
      <c r="N158" s="9"/>
      <c r="O158" s="10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t="s">
        <v>333</v>
      </c>
      <c r="BQ158" t="s">
        <v>336</v>
      </c>
    </row>
    <row r="159" ht="28" customHeight="1" spans="1:69" x14ac:dyDescent="0.25">
      <c r="A159" s="9"/>
      <c r="B159" s="9"/>
      <c r="C159" s="9"/>
      <c r="D159" s="9"/>
      <c r="E159" s="9"/>
      <c r="F159" s="9" t="s">
        <v>168</v>
      </c>
      <c r="G159" s="10" t="s">
        <v>298</v>
      </c>
      <c r="H159" s="9" t="s">
        <v>136</v>
      </c>
      <c r="I159" s="9">
        <v>3</v>
      </c>
      <c r="J159" s="9">
        <v>2000</v>
      </c>
      <c r="K159" s="9" t="s">
        <v>189</v>
      </c>
      <c r="L159" s="9" t="s">
        <v>9</v>
      </c>
      <c r="M159" s="9"/>
      <c r="N159" s="9"/>
      <c r="O159" s="10"/>
      <c r="P159" s="13"/>
      <c r="Q159" s="13"/>
      <c r="R159" s="17">
        <v>3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7">
        <v>3</v>
      </c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7">
        <v>3</v>
      </c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7">
        <v>3</v>
      </c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t="s">
        <v>333</v>
      </c>
      <c r="BQ159" t="s">
        <v>337</v>
      </c>
    </row>
    <row r="160" ht="18" customHeight="1" spans="1:69" x14ac:dyDescent="0.25">
      <c r="A160" s="9"/>
      <c r="B160" s="9"/>
      <c r="C160" s="9"/>
      <c r="D160" s="9"/>
      <c r="E160" s="9"/>
      <c r="F160" s="9"/>
      <c r="G160" s="10"/>
      <c r="H160" s="9" t="s">
        <v>139</v>
      </c>
      <c r="I160" s="9"/>
      <c r="J160" s="9"/>
      <c r="K160" s="9"/>
      <c r="L160" s="9"/>
      <c r="M160" s="9"/>
      <c r="N160" s="9"/>
      <c r="O160" s="10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t="s">
        <v>333</v>
      </c>
      <c r="BQ160" t="s">
        <v>337</v>
      </c>
    </row>
    <row r="161" ht="28" customHeight="1" spans="1:69" x14ac:dyDescent="0.25">
      <c r="A161" s="9"/>
      <c r="B161" s="9"/>
      <c r="C161" s="9"/>
      <c r="D161" s="9"/>
      <c r="E161" s="9"/>
      <c r="F161" s="9" t="s">
        <v>168</v>
      </c>
      <c r="G161" s="10" t="s">
        <v>300</v>
      </c>
      <c r="H161" s="9" t="s">
        <v>136</v>
      </c>
      <c r="I161" s="9">
        <v>5</v>
      </c>
      <c r="J161" s="9">
        <v>10000</v>
      </c>
      <c r="K161" s="9" t="s">
        <v>145</v>
      </c>
      <c r="L161" s="9" t="s">
        <v>9</v>
      </c>
      <c r="M161" s="9"/>
      <c r="N161" s="9"/>
      <c r="O161" s="10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4">
        <v>5</v>
      </c>
      <c r="BK161" s="13"/>
      <c r="BL161" s="13"/>
      <c r="BM161" s="13"/>
      <c r="BN161" s="13"/>
      <c r="BO161" s="13"/>
      <c r="BP161" t="s">
        <v>333</v>
      </c>
      <c r="BQ161" t="s">
        <v>338</v>
      </c>
    </row>
    <row r="162" ht="18" customHeight="1" spans="1:69" x14ac:dyDescent="0.25">
      <c r="A162" s="9"/>
      <c r="B162" s="9"/>
      <c r="C162" s="9"/>
      <c r="D162" s="9"/>
      <c r="E162" s="9"/>
      <c r="F162" s="9"/>
      <c r="G162" s="10"/>
      <c r="H162" s="9" t="s">
        <v>139</v>
      </c>
      <c r="I162" s="9"/>
      <c r="J162" s="9"/>
      <c r="K162" s="9"/>
      <c r="L162" s="9"/>
      <c r="M162" s="9"/>
      <c r="N162" s="9"/>
      <c r="O162" s="10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t="s">
        <v>333</v>
      </c>
      <c r="BQ162" t="s">
        <v>338</v>
      </c>
    </row>
    <row r="163" ht="28" customHeight="1" spans="1:69" x14ac:dyDescent="0.25">
      <c r="A163" s="9"/>
      <c r="B163" s="9"/>
      <c r="C163" s="9"/>
      <c r="D163" s="9"/>
      <c r="E163" s="9"/>
      <c r="F163" s="9" t="s">
        <v>302</v>
      </c>
      <c r="G163" s="10" t="s">
        <v>303</v>
      </c>
      <c r="H163" s="9" t="s">
        <v>136</v>
      </c>
      <c r="I163" s="9">
        <v>2</v>
      </c>
      <c r="J163" s="9">
        <v>1000</v>
      </c>
      <c r="K163" s="9" t="s">
        <v>152</v>
      </c>
      <c r="L163" s="9" t="s">
        <v>9</v>
      </c>
      <c r="M163" s="9"/>
      <c r="N163" s="9"/>
      <c r="O163" s="10"/>
      <c r="P163" s="13"/>
      <c r="Q163" s="13"/>
      <c r="R163" s="16">
        <v>2</v>
      </c>
      <c r="S163" s="13"/>
      <c r="T163" s="13"/>
      <c r="U163" s="13"/>
      <c r="V163" s="13"/>
      <c r="W163" s="16">
        <v>2</v>
      </c>
      <c r="X163" s="13"/>
      <c r="Y163" s="13"/>
      <c r="Z163" s="13"/>
      <c r="AA163" s="16">
        <v>2</v>
      </c>
      <c r="AB163" s="13"/>
      <c r="AC163" s="13"/>
      <c r="AD163" s="13"/>
      <c r="AE163" s="16">
        <v>2</v>
      </c>
      <c r="AF163" s="13"/>
      <c r="AG163" s="13"/>
      <c r="AH163" s="13"/>
      <c r="AI163" s="16">
        <v>2</v>
      </c>
      <c r="AJ163" s="13"/>
      <c r="AK163" s="13"/>
      <c r="AL163" s="13"/>
      <c r="AM163" s="13"/>
      <c r="AN163" s="16">
        <v>2</v>
      </c>
      <c r="AO163" s="13"/>
      <c r="AP163" s="13"/>
      <c r="AQ163" s="13"/>
      <c r="AR163" s="16">
        <v>2</v>
      </c>
      <c r="AS163" s="13"/>
      <c r="AT163" s="13"/>
      <c r="AU163" s="13"/>
      <c r="AV163" s="13"/>
      <c r="AW163" s="16">
        <v>2</v>
      </c>
      <c r="AX163" s="13"/>
      <c r="AY163" s="13"/>
      <c r="AZ163" s="13"/>
      <c r="BA163" s="16">
        <v>2</v>
      </c>
      <c r="BB163" s="13"/>
      <c r="BC163" s="13"/>
      <c r="BD163" s="13"/>
      <c r="BE163" s="16">
        <v>2</v>
      </c>
      <c r="BF163" s="13"/>
      <c r="BG163" s="13"/>
      <c r="BH163" s="13"/>
      <c r="BI163" s="13"/>
      <c r="BJ163" s="16">
        <v>2</v>
      </c>
      <c r="BK163" s="13"/>
      <c r="BL163" s="13"/>
      <c r="BM163" s="13"/>
      <c r="BN163" s="16">
        <v>2</v>
      </c>
      <c r="BO163" s="13"/>
      <c r="BP163" t="s">
        <v>333</v>
      </c>
      <c r="BQ163" t="s">
        <v>339</v>
      </c>
    </row>
    <row r="164" ht="18" customHeight="1" spans="1:69" x14ac:dyDescent="0.25">
      <c r="A164" s="9"/>
      <c r="B164" s="9"/>
      <c r="C164" s="9"/>
      <c r="D164" s="9"/>
      <c r="E164" s="9"/>
      <c r="F164" s="9"/>
      <c r="G164" s="10"/>
      <c r="H164" s="9" t="s">
        <v>139</v>
      </c>
      <c r="I164" s="9"/>
      <c r="J164" s="9"/>
      <c r="K164" s="9"/>
      <c r="L164" s="9"/>
      <c r="M164" s="9"/>
      <c r="N164" s="9"/>
      <c r="O164" s="10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t="s">
        <v>333</v>
      </c>
      <c r="BQ164" t="s">
        <v>339</v>
      </c>
    </row>
    <row r="165" ht="28" customHeight="1" spans="1:69" x14ac:dyDescent="0.25">
      <c r="A165" s="9"/>
      <c r="B165" s="9" t="s">
        <v>340</v>
      </c>
      <c r="C165" s="9" t="s">
        <v>341</v>
      </c>
      <c r="D165" s="9" t="s">
        <v>342</v>
      </c>
      <c r="E165" s="9" t="s">
        <v>295</v>
      </c>
      <c r="F165" s="9" t="s">
        <v>134</v>
      </c>
      <c r="G165" s="10" t="s">
        <v>296</v>
      </c>
      <c r="H165" s="9" t="s">
        <v>136</v>
      </c>
      <c r="I165" s="9">
        <v>1</v>
      </c>
      <c r="J165" s="9">
        <v>1</v>
      </c>
      <c r="K165" s="9" t="s">
        <v>4</v>
      </c>
      <c r="L165" s="9" t="s">
        <v>137</v>
      </c>
      <c r="M165" s="9"/>
      <c r="N165" s="9"/>
      <c r="O165" s="10"/>
      <c r="P165" s="11">
        <v>1</v>
      </c>
      <c r="Q165" s="11">
        <v>1</v>
      </c>
      <c r="R165" s="11">
        <v>1</v>
      </c>
      <c r="S165" s="11">
        <v>1</v>
      </c>
      <c r="T165" s="11">
        <v>1</v>
      </c>
      <c r="U165" s="11">
        <v>1</v>
      </c>
      <c r="V165" s="11">
        <v>1</v>
      </c>
      <c r="W165" s="11">
        <v>1</v>
      </c>
      <c r="X165" s="11">
        <v>1</v>
      </c>
      <c r="Y165" s="11">
        <v>1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  <c r="AF165" s="11">
        <v>1</v>
      </c>
      <c r="AG165" s="11">
        <v>1</v>
      </c>
      <c r="AH165" s="11">
        <v>1</v>
      </c>
      <c r="AI165" s="11">
        <v>1</v>
      </c>
      <c r="AJ165" s="11">
        <v>1</v>
      </c>
      <c r="AK165" s="11">
        <v>1</v>
      </c>
      <c r="AL165" s="11">
        <v>1</v>
      </c>
      <c r="AM165" s="11">
        <v>1</v>
      </c>
      <c r="AN165" s="11">
        <v>1</v>
      </c>
      <c r="AO165" s="11">
        <v>1</v>
      </c>
      <c r="AP165" s="11">
        <v>1</v>
      </c>
      <c r="AQ165" s="11">
        <v>1</v>
      </c>
      <c r="AR165" s="11">
        <v>1</v>
      </c>
      <c r="AS165" s="11">
        <v>1</v>
      </c>
      <c r="AT165" s="11">
        <v>1</v>
      </c>
      <c r="AU165" s="11">
        <v>1</v>
      </c>
      <c r="AV165" s="11">
        <v>1</v>
      </c>
      <c r="AW165" s="11">
        <v>1</v>
      </c>
      <c r="AX165" s="11">
        <v>1</v>
      </c>
      <c r="AY165" s="11">
        <v>1</v>
      </c>
      <c r="AZ165" s="11">
        <v>1</v>
      </c>
      <c r="BA165" s="11">
        <v>1</v>
      </c>
      <c r="BB165" s="11">
        <v>1</v>
      </c>
      <c r="BC165" s="11">
        <v>1</v>
      </c>
      <c r="BD165" s="11">
        <v>1</v>
      </c>
      <c r="BE165" s="11">
        <v>1</v>
      </c>
      <c r="BF165" s="11">
        <v>1</v>
      </c>
      <c r="BG165" s="11">
        <v>1</v>
      </c>
      <c r="BH165" s="11">
        <v>1</v>
      </c>
      <c r="BI165" s="11">
        <v>1</v>
      </c>
      <c r="BJ165" s="11">
        <v>1</v>
      </c>
      <c r="BK165" s="11">
        <v>1</v>
      </c>
      <c r="BL165" s="11">
        <v>1</v>
      </c>
      <c r="BM165" s="11">
        <v>1</v>
      </c>
      <c r="BN165" s="11">
        <v>1</v>
      </c>
      <c r="BO165" s="11">
        <v>1</v>
      </c>
      <c r="BP165" t="s">
        <v>340</v>
      </c>
      <c r="BQ165" t="s">
        <v>343</v>
      </c>
    </row>
    <row r="166" ht="18" customHeight="1" spans="1:69" x14ac:dyDescent="0.25">
      <c r="A166" s="9"/>
      <c r="B166" s="9"/>
      <c r="C166" s="9"/>
      <c r="D166" s="9"/>
      <c r="E166" s="9"/>
      <c r="F166" s="9"/>
      <c r="G166" s="10"/>
      <c r="H166" s="9" t="s">
        <v>139</v>
      </c>
      <c r="I166" s="9"/>
      <c r="J166" s="9"/>
      <c r="K166" s="9"/>
      <c r="L166" s="9"/>
      <c r="M166" s="9"/>
      <c r="N166" s="9"/>
      <c r="O166" s="10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t="s">
        <v>340</v>
      </c>
      <c r="BQ166" t="s">
        <v>343</v>
      </c>
    </row>
    <row r="167" ht="28" customHeight="1" spans="1:69" x14ac:dyDescent="0.25">
      <c r="A167" s="9"/>
      <c r="B167" s="9"/>
      <c r="C167" s="9"/>
      <c r="D167" s="9"/>
      <c r="E167" s="9"/>
      <c r="F167" s="9" t="s">
        <v>168</v>
      </c>
      <c r="G167" s="10" t="s">
        <v>298</v>
      </c>
      <c r="H167" s="9" t="s">
        <v>136</v>
      </c>
      <c r="I167" s="9">
        <v>3</v>
      </c>
      <c r="J167" s="9">
        <v>2000</v>
      </c>
      <c r="K167" s="9" t="s">
        <v>189</v>
      </c>
      <c r="L167" s="9" t="s">
        <v>9</v>
      </c>
      <c r="M167" s="9"/>
      <c r="N167" s="9"/>
      <c r="O167" s="10"/>
      <c r="P167" s="13"/>
      <c r="Q167" s="13"/>
      <c r="R167" s="17">
        <v>3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7">
        <v>3</v>
      </c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7">
        <v>3</v>
      </c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7">
        <v>3</v>
      </c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t="s">
        <v>340</v>
      </c>
      <c r="BQ167" t="s">
        <v>344</v>
      </c>
    </row>
    <row r="168" ht="18" customHeight="1" spans="1:69" x14ac:dyDescent="0.25">
      <c r="A168" s="9"/>
      <c r="B168" s="9"/>
      <c r="C168" s="9"/>
      <c r="D168" s="9"/>
      <c r="E168" s="9"/>
      <c r="F168" s="9"/>
      <c r="G168" s="10"/>
      <c r="H168" s="9" t="s">
        <v>139</v>
      </c>
      <c r="I168" s="9"/>
      <c r="J168" s="9"/>
      <c r="K168" s="9"/>
      <c r="L168" s="9"/>
      <c r="M168" s="9"/>
      <c r="N168" s="9"/>
      <c r="O168" s="10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t="s">
        <v>340</v>
      </c>
      <c r="BQ168" t="s">
        <v>344</v>
      </c>
    </row>
    <row r="169" ht="28" customHeight="1" spans="1:69" x14ac:dyDescent="0.25">
      <c r="A169" s="9"/>
      <c r="B169" s="9"/>
      <c r="C169" s="9"/>
      <c r="D169" s="9"/>
      <c r="E169" s="9"/>
      <c r="F169" s="9" t="s">
        <v>168</v>
      </c>
      <c r="G169" s="10" t="s">
        <v>300</v>
      </c>
      <c r="H169" s="9" t="s">
        <v>136</v>
      </c>
      <c r="I169" s="9">
        <v>5</v>
      </c>
      <c r="J169" s="9">
        <v>10000</v>
      </c>
      <c r="K169" s="9" t="s">
        <v>145</v>
      </c>
      <c r="L169" s="9" t="s">
        <v>9</v>
      </c>
      <c r="M169" s="9"/>
      <c r="N169" s="9"/>
      <c r="O169" s="10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4">
        <v>5</v>
      </c>
      <c r="BK169" s="13"/>
      <c r="BL169" s="13"/>
      <c r="BM169" s="13"/>
      <c r="BN169" s="13"/>
      <c r="BO169" s="13"/>
      <c r="BP169" t="s">
        <v>340</v>
      </c>
      <c r="BQ169" t="s">
        <v>345</v>
      </c>
    </row>
    <row r="170" ht="18" customHeight="1" spans="1:69" x14ac:dyDescent="0.25">
      <c r="A170" s="9"/>
      <c r="B170" s="9"/>
      <c r="C170" s="9"/>
      <c r="D170" s="9"/>
      <c r="E170" s="9"/>
      <c r="F170" s="9"/>
      <c r="G170" s="10"/>
      <c r="H170" s="9" t="s">
        <v>139</v>
      </c>
      <c r="I170" s="9"/>
      <c r="J170" s="9"/>
      <c r="K170" s="9"/>
      <c r="L170" s="9"/>
      <c r="M170" s="9"/>
      <c r="N170" s="9"/>
      <c r="O170" s="10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t="s">
        <v>340</v>
      </c>
      <c r="BQ170" t="s">
        <v>345</v>
      </c>
    </row>
    <row r="171" ht="28" customHeight="1" spans="1:69" x14ac:dyDescent="0.25">
      <c r="A171" s="9"/>
      <c r="B171" s="9"/>
      <c r="C171" s="9"/>
      <c r="D171" s="9"/>
      <c r="E171" s="9"/>
      <c r="F171" s="9" t="s">
        <v>302</v>
      </c>
      <c r="G171" s="10" t="s">
        <v>303</v>
      </c>
      <c r="H171" s="9" t="s">
        <v>136</v>
      </c>
      <c r="I171" s="9">
        <v>2</v>
      </c>
      <c r="J171" s="9">
        <v>1</v>
      </c>
      <c r="K171" s="9" t="s">
        <v>5</v>
      </c>
      <c r="L171" s="9" t="s">
        <v>137</v>
      </c>
      <c r="M171" s="9"/>
      <c r="N171" s="9"/>
      <c r="O171" s="10"/>
      <c r="P171" s="13"/>
      <c r="Q171" s="13"/>
      <c r="R171" s="16">
        <v>2</v>
      </c>
      <c r="S171" s="13"/>
      <c r="T171" s="13"/>
      <c r="U171" s="13"/>
      <c r="V171" s="13"/>
      <c r="W171" s="16">
        <v>2</v>
      </c>
      <c r="X171" s="13"/>
      <c r="Y171" s="13"/>
      <c r="Z171" s="13"/>
      <c r="AA171" s="16">
        <v>2</v>
      </c>
      <c r="AB171" s="13"/>
      <c r="AC171" s="13"/>
      <c r="AD171" s="13"/>
      <c r="AE171" s="16">
        <v>2</v>
      </c>
      <c r="AF171" s="13"/>
      <c r="AG171" s="13"/>
      <c r="AH171" s="13"/>
      <c r="AI171" s="16">
        <v>2</v>
      </c>
      <c r="AJ171" s="13"/>
      <c r="AK171" s="13"/>
      <c r="AL171" s="13"/>
      <c r="AM171" s="13"/>
      <c r="AN171" s="16">
        <v>2</v>
      </c>
      <c r="AO171" s="13"/>
      <c r="AP171" s="13"/>
      <c r="AQ171" s="13"/>
      <c r="AR171" s="16">
        <v>2</v>
      </c>
      <c r="AS171" s="13"/>
      <c r="AT171" s="13"/>
      <c r="AU171" s="13"/>
      <c r="AV171" s="13"/>
      <c r="AW171" s="16">
        <v>2</v>
      </c>
      <c r="AX171" s="13"/>
      <c r="AY171" s="13"/>
      <c r="AZ171" s="13"/>
      <c r="BA171" s="16">
        <v>2</v>
      </c>
      <c r="BB171" s="13"/>
      <c r="BC171" s="13"/>
      <c r="BD171" s="13"/>
      <c r="BE171" s="16">
        <v>2</v>
      </c>
      <c r="BF171" s="13"/>
      <c r="BG171" s="13"/>
      <c r="BH171" s="13"/>
      <c r="BI171" s="13"/>
      <c r="BJ171" s="16">
        <v>2</v>
      </c>
      <c r="BK171" s="13"/>
      <c r="BL171" s="13"/>
      <c r="BM171" s="13"/>
      <c r="BN171" s="16">
        <v>2</v>
      </c>
      <c r="BO171" s="13"/>
      <c r="BP171" t="s">
        <v>340</v>
      </c>
      <c r="BQ171" t="s">
        <v>346</v>
      </c>
    </row>
    <row r="172" ht="18" customHeight="1" spans="1:69" x14ac:dyDescent="0.25">
      <c r="A172" s="9"/>
      <c r="B172" s="9"/>
      <c r="C172" s="9"/>
      <c r="D172" s="9"/>
      <c r="E172" s="9"/>
      <c r="F172" s="9"/>
      <c r="G172" s="10"/>
      <c r="H172" s="9" t="s">
        <v>139</v>
      </c>
      <c r="I172" s="9"/>
      <c r="J172" s="9"/>
      <c r="K172" s="9"/>
      <c r="L172" s="9"/>
      <c r="M172" s="9"/>
      <c r="N172" s="9"/>
      <c r="O172" s="10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t="s">
        <v>340</v>
      </c>
      <c r="BQ172" t="s">
        <v>346</v>
      </c>
    </row>
    <row r="173" ht="28" customHeight="1" spans="1:69" x14ac:dyDescent="0.25">
      <c r="A173" s="9" t="s">
        <v>347</v>
      </c>
      <c r="B173" s="9" t="s">
        <v>348</v>
      </c>
      <c r="C173" s="9" t="s">
        <v>349</v>
      </c>
      <c r="D173" s="9" t="s">
        <v>350</v>
      </c>
      <c r="E173" s="9" t="s">
        <v>351</v>
      </c>
      <c r="F173" s="9" t="s">
        <v>134</v>
      </c>
      <c r="G173" s="10" t="s">
        <v>352</v>
      </c>
      <c r="H173" s="9" t="s">
        <v>136</v>
      </c>
      <c r="I173" s="9">
        <v>1</v>
      </c>
      <c r="J173" s="9">
        <v>1</v>
      </c>
      <c r="K173" s="9" t="s">
        <v>4</v>
      </c>
      <c r="L173" s="9" t="s">
        <v>137</v>
      </c>
      <c r="M173" s="9"/>
      <c r="N173" s="9"/>
      <c r="O173" s="10"/>
      <c r="P173" s="11">
        <v>1</v>
      </c>
      <c r="Q173" s="11">
        <v>1</v>
      </c>
      <c r="R173" s="11">
        <v>1</v>
      </c>
      <c r="S173" s="11">
        <v>1</v>
      </c>
      <c r="T173" s="11">
        <v>1</v>
      </c>
      <c r="U173" s="11">
        <v>1</v>
      </c>
      <c r="V173" s="11">
        <v>1</v>
      </c>
      <c r="W173" s="11">
        <v>1</v>
      </c>
      <c r="X173" s="11">
        <v>1</v>
      </c>
      <c r="Y173" s="11">
        <v>1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  <c r="AF173" s="11">
        <v>1</v>
      </c>
      <c r="AG173" s="11">
        <v>1</v>
      </c>
      <c r="AH173" s="11">
        <v>1</v>
      </c>
      <c r="AI173" s="11">
        <v>1</v>
      </c>
      <c r="AJ173" s="11">
        <v>1</v>
      </c>
      <c r="AK173" s="11">
        <v>1</v>
      </c>
      <c r="AL173" s="11">
        <v>1</v>
      </c>
      <c r="AM173" s="11">
        <v>1</v>
      </c>
      <c r="AN173" s="11">
        <v>1</v>
      </c>
      <c r="AO173" s="11">
        <v>1</v>
      </c>
      <c r="AP173" s="11">
        <v>1</v>
      </c>
      <c r="AQ173" s="11">
        <v>1</v>
      </c>
      <c r="AR173" s="11">
        <v>1</v>
      </c>
      <c r="AS173" s="11">
        <v>1</v>
      </c>
      <c r="AT173" s="11">
        <v>1</v>
      </c>
      <c r="AU173" s="11">
        <v>1</v>
      </c>
      <c r="AV173" s="11">
        <v>1</v>
      </c>
      <c r="AW173" s="11">
        <v>1</v>
      </c>
      <c r="AX173" s="11">
        <v>1</v>
      </c>
      <c r="AY173" s="11">
        <v>1</v>
      </c>
      <c r="AZ173" s="11">
        <v>1</v>
      </c>
      <c r="BA173" s="11">
        <v>1</v>
      </c>
      <c r="BB173" s="11">
        <v>1</v>
      </c>
      <c r="BC173" s="11">
        <v>1</v>
      </c>
      <c r="BD173" s="11">
        <v>1</v>
      </c>
      <c r="BE173" s="11">
        <v>1</v>
      </c>
      <c r="BF173" s="11">
        <v>1</v>
      </c>
      <c r="BG173" s="11">
        <v>1</v>
      </c>
      <c r="BH173" s="11">
        <v>1</v>
      </c>
      <c r="BI173" s="11">
        <v>1</v>
      </c>
      <c r="BJ173" s="11">
        <v>1</v>
      </c>
      <c r="BK173" s="11">
        <v>1</v>
      </c>
      <c r="BL173" s="11">
        <v>1</v>
      </c>
      <c r="BM173" s="11">
        <v>1</v>
      </c>
      <c r="BN173" s="11">
        <v>1</v>
      </c>
      <c r="BO173" s="11">
        <v>1</v>
      </c>
      <c r="BP173" t="s">
        <v>348</v>
      </c>
      <c r="BQ173" t="s">
        <v>353</v>
      </c>
    </row>
    <row r="174" ht="18" customHeight="1" spans="1:69" x14ac:dyDescent="0.25">
      <c r="A174" s="9"/>
      <c r="B174" s="9"/>
      <c r="C174" s="9"/>
      <c r="D174" s="9"/>
      <c r="E174" s="9"/>
      <c r="F174" s="9"/>
      <c r="G174" s="10"/>
      <c r="H174" s="9" t="s">
        <v>139</v>
      </c>
      <c r="I174" s="9"/>
      <c r="J174" s="9"/>
      <c r="K174" s="9"/>
      <c r="L174" s="9"/>
      <c r="M174" s="9"/>
      <c r="N174" s="9"/>
      <c r="O174" s="10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t="s">
        <v>348</v>
      </c>
      <c r="BQ174" t="s">
        <v>353</v>
      </c>
    </row>
    <row r="175" ht="28" customHeight="1" spans="1:69" x14ac:dyDescent="0.25">
      <c r="A175" s="9"/>
      <c r="B175" s="9"/>
      <c r="C175" s="9"/>
      <c r="D175" s="9"/>
      <c r="E175" s="9"/>
      <c r="F175" s="9" t="s">
        <v>168</v>
      </c>
      <c r="G175" s="10" t="s">
        <v>298</v>
      </c>
      <c r="H175" s="9" t="s">
        <v>136</v>
      </c>
      <c r="I175" s="9">
        <v>3</v>
      </c>
      <c r="J175" s="9">
        <v>3</v>
      </c>
      <c r="K175" s="9" t="s">
        <v>6</v>
      </c>
      <c r="L175" s="9" t="s">
        <v>137</v>
      </c>
      <c r="M175" s="9"/>
      <c r="N175" s="9"/>
      <c r="O175" s="10"/>
      <c r="P175" s="17">
        <v>3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7">
        <v>3</v>
      </c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7">
        <v>3</v>
      </c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7">
        <v>3</v>
      </c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t="s">
        <v>348</v>
      </c>
      <c r="BQ175" t="s">
        <v>354</v>
      </c>
    </row>
    <row r="176" ht="18" customHeight="1" spans="1:69" x14ac:dyDescent="0.25">
      <c r="A176" s="9"/>
      <c r="B176" s="9"/>
      <c r="C176" s="9"/>
      <c r="D176" s="9"/>
      <c r="E176" s="9"/>
      <c r="F176" s="9"/>
      <c r="G176" s="10"/>
      <c r="H176" s="9" t="s">
        <v>139</v>
      </c>
      <c r="I176" s="9"/>
      <c r="J176" s="9"/>
      <c r="K176" s="9"/>
      <c r="L176" s="9"/>
      <c r="M176" s="9"/>
      <c r="N176" s="9"/>
      <c r="O176" s="10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t="s">
        <v>348</v>
      </c>
      <c r="BQ176" t="s">
        <v>354</v>
      </c>
    </row>
    <row r="177" ht="28" customHeight="1" spans="1:69" x14ac:dyDescent="0.25">
      <c r="A177" s="9"/>
      <c r="B177" s="9"/>
      <c r="C177" s="9"/>
      <c r="D177" s="9"/>
      <c r="E177" s="9"/>
      <c r="F177" s="9" t="s">
        <v>168</v>
      </c>
      <c r="G177" s="10" t="s">
        <v>300</v>
      </c>
      <c r="H177" s="9" t="s">
        <v>136</v>
      </c>
      <c r="I177" s="9">
        <v>5</v>
      </c>
      <c r="J177" s="9">
        <v>10000</v>
      </c>
      <c r="K177" s="9" t="s">
        <v>145</v>
      </c>
      <c r="L177" s="9" t="s">
        <v>9</v>
      </c>
      <c r="M177" s="9"/>
      <c r="N177" s="9"/>
      <c r="O177" s="10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4">
        <v>5</v>
      </c>
      <c r="BI177" s="13"/>
      <c r="BJ177" s="13"/>
      <c r="BK177" s="13"/>
      <c r="BL177" s="13"/>
      <c r="BM177" s="13"/>
      <c r="BN177" s="13"/>
      <c r="BO177" s="13"/>
      <c r="BP177" t="s">
        <v>348</v>
      </c>
      <c r="BQ177" t="s">
        <v>355</v>
      </c>
    </row>
    <row r="178" ht="18" customHeight="1" spans="1:69" x14ac:dyDescent="0.25">
      <c r="A178" s="9"/>
      <c r="B178" s="9"/>
      <c r="C178" s="9"/>
      <c r="D178" s="9"/>
      <c r="E178" s="9"/>
      <c r="F178" s="9"/>
      <c r="G178" s="10"/>
      <c r="H178" s="9" t="s">
        <v>139</v>
      </c>
      <c r="I178" s="9"/>
      <c r="J178" s="9"/>
      <c r="K178" s="9"/>
      <c r="L178" s="9"/>
      <c r="M178" s="9"/>
      <c r="N178" s="9"/>
      <c r="O178" s="10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t="s">
        <v>348</v>
      </c>
      <c r="BQ178" t="s">
        <v>355</v>
      </c>
    </row>
    <row r="179" ht="28" customHeight="1" spans="1:69" x14ac:dyDescent="0.25">
      <c r="A179" s="9"/>
      <c r="B179" s="9"/>
      <c r="C179" s="9"/>
      <c r="D179" s="9"/>
      <c r="E179" s="9"/>
      <c r="F179" s="9" t="s">
        <v>268</v>
      </c>
      <c r="G179" s="10" t="s">
        <v>356</v>
      </c>
      <c r="H179" s="9" t="s">
        <v>136</v>
      </c>
      <c r="I179" s="9">
        <v>2</v>
      </c>
      <c r="J179" s="9">
        <v>500</v>
      </c>
      <c r="K179" s="9" t="s">
        <v>357</v>
      </c>
      <c r="L179" s="9" t="s">
        <v>9</v>
      </c>
      <c r="M179" s="9"/>
      <c r="N179" s="9"/>
      <c r="O179" s="10"/>
      <c r="P179" s="16">
        <v>2</v>
      </c>
      <c r="Q179" s="13"/>
      <c r="R179" s="13"/>
      <c r="S179" s="13"/>
      <c r="T179" s="13"/>
      <c r="U179" s="16">
        <v>2</v>
      </c>
      <c r="V179" s="13"/>
      <c r="W179" s="13"/>
      <c r="X179" s="13"/>
      <c r="Y179" s="16">
        <v>2</v>
      </c>
      <c r="Z179" s="13"/>
      <c r="AA179" s="13"/>
      <c r="AB179" s="13"/>
      <c r="AC179" s="16">
        <v>2</v>
      </c>
      <c r="AD179" s="13"/>
      <c r="AE179" s="13"/>
      <c r="AF179" s="13"/>
      <c r="AG179" s="16">
        <v>2</v>
      </c>
      <c r="AH179" s="13"/>
      <c r="AI179" s="13"/>
      <c r="AJ179" s="13"/>
      <c r="AK179" s="13"/>
      <c r="AL179" s="16">
        <v>2</v>
      </c>
      <c r="AM179" s="13"/>
      <c r="AN179" s="13"/>
      <c r="AO179" s="13"/>
      <c r="AP179" s="16">
        <v>2</v>
      </c>
      <c r="AQ179" s="13"/>
      <c r="AR179" s="13"/>
      <c r="AS179" s="13"/>
      <c r="AT179" s="13"/>
      <c r="AU179" s="16">
        <v>2</v>
      </c>
      <c r="AV179" s="13"/>
      <c r="AW179" s="13"/>
      <c r="AX179" s="13"/>
      <c r="AY179" s="16">
        <v>2</v>
      </c>
      <c r="AZ179" s="13"/>
      <c r="BA179" s="13"/>
      <c r="BB179" s="13"/>
      <c r="BC179" s="16">
        <v>2</v>
      </c>
      <c r="BD179" s="13"/>
      <c r="BE179" s="13"/>
      <c r="BF179" s="13"/>
      <c r="BG179" s="13"/>
      <c r="BH179" s="16">
        <v>2</v>
      </c>
      <c r="BI179" s="13"/>
      <c r="BJ179" s="13"/>
      <c r="BK179" s="13"/>
      <c r="BL179" s="16">
        <v>2</v>
      </c>
      <c r="BM179" s="13"/>
      <c r="BN179" s="13"/>
      <c r="BO179" s="13"/>
      <c r="BP179" t="s">
        <v>348</v>
      </c>
      <c r="BQ179" t="s">
        <v>358</v>
      </c>
    </row>
    <row r="180" ht="18" customHeight="1" spans="1:69" x14ac:dyDescent="0.25">
      <c r="A180" s="9"/>
      <c r="B180" s="9"/>
      <c r="C180" s="9"/>
      <c r="D180" s="9"/>
      <c r="E180" s="9"/>
      <c r="F180" s="9"/>
      <c r="G180" s="10"/>
      <c r="H180" s="9" t="s">
        <v>139</v>
      </c>
      <c r="I180" s="9"/>
      <c r="J180" s="9"/>
      <c r="K180" s="9"/>
      <c r="L180" s="9"/>
      <c r="M180" s="9"/>
      <c r="N180" s="9"/>
      <c r="O180" s="10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t="s">
        <v>348</v>
      </c>
      <c r="BQ180" t="s">
        <v>358</v>
      </c>
    </row>
    <row r="181" ht="28" customHeight="1" spans="1:69" x14ac:dyDescent="0.25">
      <c r="A181" s="9"/>
      <c r="B181" s="9"/>
      <c r="C181" s="9"/>
      <c r="D181" s="9"/>
      <c r="E181" s="9"/>
      <c r="F181" s="9" t="s">
        <v>359</v>
      </c>
      <c r="G181" s="10" t="s">
        <v>360</v>
      </c>
      <c r="H181" s="9" t="s">
        <v>136</v>
      </c>
      <c r="I181" s="9">
        <v>1</v>
      </c>
      <c r="J181" s="9">
        <v>300</v>
      </c>
      <c r="K181" s="9" t="s">
        <v>361</v>
      </c>
      <c r="L181" s="9" t="s">
        <v>9</v>
      </c>
      <c r="M181" s="9"/>
      <c r="N181" s="9"/>
      <c r="O181" s="10"/>
      <c r="P181" s="11">
        <v>1</v>
      </c>
      <c r="Q181" s="11">
        <v>1</v>
      </c>
      <c r="R181" s="11">
        <v>1</v>
      </c>
      <c r="S181" s="11">
        <v>1</v>
      </c>
      <c r="T181" s="11">
        <v>1</v>
      </c>
      <c r="U181" s="11">
        <v>1</v>
      </c>
      <c r="V181" s="11">
        <v>1</v>
      </c>
      <c r="W181" s="11">
        <v>1</v>
      </c>
      <c r="X181" s="11">
        <v>1</v>
      </c>
      <c r="Y181" s="11">
        <v>1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1">
        <v>1</v>
      </c>
      <c r="AG181" s="11">
        <v>1</v>
      </c>
      <c r="AH181" s="11">
        <v>1</v>
      </c>
      <c r="AI181" s="11">
        <v>1</v>
      </c>
      <c r="AJ181" s="11">
        <v>1</v>
      </c>
      <c r="AK181" s="11">
        <v>1</v>
      </c>
      <c r="AL181" s="11">
        <v>1</v>
      </c>
      <c r="AM181" s="11">
        <v>1</v>
      </c>
      <c r="AN181" s="11">
        <v>1</v>
      </c>
      <c r="AO181" s="11">
        <v>1</v>
      </c>
      <c r="AP181" s="11">
        <v>1</v>
      </c>
      <c r="AQ181" s="11">
        <v>1</v>
      </c>
      <c r="AR181" s="11">
        <v>1</v>
      </c>
      <c r="AS181" s="11">
        <v>1</v>
      </c>
      <c r="AT181" s="11">
        <v>1</v>
      </c>
      <c r="AU181" s="11">
        <v>1</v>
      </c>
      <c r="AV181" s="11">
        <v>1</v>
      </c>
      <c r="AW181" s="11">
        <v>1</v>
      </c>
      <c r="AX181" s="11">
        <v>1</v>
      </c>
      <c r="AY181" s="11">
        <v>1</v>
      </c>
      <c r="AZ181" s="11">
        <v>1</v>
      </c>
      <c r="BA181" s="11">
        <v>1</v>
      </c>
      <c r="BB181" s="11">
        <v>1</v>
      </c>
      <c r="BC181" s="11">
        <v>1</v>
      </c>
      <c r="BD181" s="11">
        <v>1</v>
      </c>
      <c r="BE181" s="11">
        <v>1</v>
      </c>
      <c r="BF181" s="11">
        <v>1</v>
      </c>
      <c r="BG181" s="11">
        <v>1</v>
      </c>
      <c r="BH181" s="11">
        <v>1</v>
      </c>
      <c r="BI181" s="11">
        <v>1</v>
      </c>
      <c r="BJ181" s="11">
        <v>1</v>
      </c>
      <c r="BK181" s="11">
        <v>1</v>
      </c>
      <c r="BL181" s="11">
        <v>1</v>
      </c>
      <c r="BM181" s="11">
        <v>1</v>
      </c>
      <c r="BN181" s="11">
        <v>1</v>
      </c>
      <c r="BO181" s="11">
        <v>1</v>
      </c>
      <c r="BP181" t="s">
        <v>348</v>
      </c>
      <c r="BQ181" t="s">
        <v>362</v>
      </c>
    </row>
    <row r="182" ht="18" customHeight="1" spans="1:69" x14ac:dyDescent="0.25">
      <c r="A182" s="9"/>
      <c r="B182" s="9"/>
      <c r="C182" s="9"/>
      <c r="D182" s="9"/>
      <c r="E182" s="9"/>
      <c r="F182" s="9"/>
      <c r="G182" s="10"/>
      <c r="H182" s="9" t="s">
        <v>139</v>
      </c>
      <c r="I182" s="9"/>
      <c r="J182" s="9"/>
      <c r="K182" s="9"/>
      <c r="L182" s="9"/>
      <c r="M182" s="9"/>
      <c r="N182" s="9"/>
      <c r="O182" s="10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t="s">
        <v>348</v>
      </c>
      <c r="BQ182" t="s">
        <v>362</v>
      </c>
    </row>
    <row r="183" ht="28" customHeight="1" spans="1:69" x14ac:dyDescent="0.25">
      <c r="A183" s="9"/>
      <c r="B183" s="9"/>
      <c r="C183" s="9"/>
      <c r="D183" s="9"/>
      <c r="E183" s="9"/>
      <c r="F183" s="9" t="s">
        <v>363</v>
      </c>
      <c r="G183" s="10" t="s">
        <v>364</v>
      </c>
      <c r="H183" s="9" t="s">
        <v>136</v>
      </c>
      <c r="I183" s="9">
        <v>1</v>
      </c>
      <c r="J183" s="9">
        <v>300</v>
      </c>
      <c r="K183" s="9" t="s">
        <v>361</v>
      </c>
      <c r="L183" s="9" t="s">
        <v>9</v>
      </c>
      <c r="M183" s="9"/>
      <c r="N183" s="9"/>
      <c r="O183" s="10"/>
      <c r="P183" s="11">
        <v>1</v>
      </c>
      <c r="Q183" s="11">
        <v>1</v>
      </c>
      <c r="R183" s="11">
        <v>1</v>
      </c>
      <c r="S183" s="11">
        <v>1</v>
      </c>
      <c r="T183" s="11">
        <v>1</v>
      </c>
      <c r="U183" s="11">
        <v>1</v>
      </c>
      <c r="V183" s="11">
        <v>1</v>
      </c>
      <c r="W183" s="11">
        <v>1</v>
      </c>
      <c r="X183" s="11">
        <v>1</v>
      </c>
      <c r="Y183" s="11">
        <v>1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  <c r="AF183" s="11">
        <v>1</v>
      </c>
      <c r="AG183" s="11">
        <v>1</v>
      </c>
      <c r="AH183" s="11">
        <v>1</v>
      </c>
      <c r="AI183" s="11">
        <v>1</v>
      </c>
      <c r="AJ183" s="11">
        <v>1</v>
      </c>
      <c r="AK183" s="11">
        <v>1</v>
      </c>
      <c r="AL183" s="11">
        <v>1</v>
      </c>
      <c r="AM183" s="11">
        <v>1</v>
      </c>
      <c r="AN183" s="11">
        <v>1</v>
      </c>
      <c r="AO183" s="11">
        <v>1</v>
      </c>
      <c r="AP183" s="11">
        <v>1</v>
      </c>
      <c r="AQ183" s="11">
        <v>1</v>
      </c>
      <c r="AR183" s="11">
        <v>1</v>
      </c>
      <c r="AS183" s="11">
        <v>1</v>
      </c>
      <c r="AT183" s="11">
        <v>1</v>
      </c>
      <c r="AU183" s="11">
        <v>1</v>
      </c>
      <c r="AV183" s="11">
        <v>1</v>
      </c>
      <c r="AW183" s="11">
        <v>1</v>
      </c>
      <c r="AX183" s="11">
        <v>1</v>
      </c>
      <c r="AY183" s="11">
        <v>1</v>
      </c>
      <c r="AZ183" s="11">
        <v>1</v>
      </c>
      <c r="BA183" s="11">
        <v>1</v>
      </c>
      <c r="BB183" s="11">
        <v>1</v>
      </c>
      <c r="BC183" s="11">
        <v>1</v>
      </c>
      <c r="BD183" s="11">
        <v>1</v>
      </c>
      <c r="BE183" s="11">
        <v>1</v>
      </c>
      <c r="BF183" s="11">
        <v>1</v>
      </c>
      <c r="BG183" s="11">
        <v>1</v>
      </c>
      <c r="BH183" s="11">
        <v>1</v>
      </c>
      <c r="BI183" s="11">
        <v>1</v>
      </c>
      <c r="BJ183" s="11">
        <v>1</v>
      </c>
      <c r="BK183" s="11">
        <v>1</v>
      </c>
      <c r="BL183" s="11">
        <v>1</v>
      </c>
      <c r="BM183" s="11">
        <v>1</v>
      </c>
      <c r="BN183" s="11">
        <v>1</v>
      </c>
      <c r="BO183" s="11">
        <v>1</v>
      </c>
      <c r="BP183" t="s">
        <v>348</v>
      </c>
      <c r="BQ183" t="s">
        <v>365</v>
      </c>
    </row>
    <row r="184" ht="18" customHeight="1" spans="1:69" x14ac:dyDescent="0.25">
      <c r="A184" s="9"/>
      <c r="B184" s="9"/>
      <c r="C184" s="9"/>
      <c r="D184" s="9"/>
      <c r="E184" s="9"/>
      <c r="F184" s="9"/>
      <c r="G184" s="10"/>
      <c r="H184" s="9" t="s">
        <v>139</v>
      </c>
      <c r="I184" s="9"/>
      <c r="J184" s="9"/>
      <c r="K184" s="9"/>
      <c r="L184" s="9"/>
      <c r="M184" s="9"/>
      <c r="N184" s="9"/>
      <c r="O184" s="10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t="s">
        <v>348</v>
      </c>
      <c r="BQ184" t="s">
        <v>365</v>
      </c>
    </row>
    <row r="185" ht="28" customHeight="1" spans="1:69" x14ac:dyDescent="0.25">
      <c r="A185" s="9"/>
      <c r="B185" s="9"/>
      <c r="C185" s="9"/>
      <c r="D185" s="9"/>
      <c r="E185" s="9"/>
      <c r="F185" s="9" t="s">
        <v>363</v>
      </c>
      <c r="G185" s="10" t="s">
        <v>366</v>
      </c>
      <c r="H185" s="9" t="s">
        <v>136</v>
      </c>
      <c r="I185" s="9">
        <v>1</v>
      </c>
      <c r="J185" s="9">
        <v>300</v>
      </c>
      <c r="K185" s="9" t="s">
        <v>361</v>
      </c>
      <c r="L185" s="9" t="s">
        <v>9</v>
      </c>
      <c r="M185" s="9"/>
      <c r="N185" s="9"/>
      <c r="O185" s="10"/>
      <c r="P185" s="11">
        <v>1</v>
      </c>
      <c r="Q185" s="11">
        <v>1</v>
      </c>
      <c r="R185" s="11">
        <v>1</v>
      </c>
      <c r="S185" s="11">
        <v>1</v>
      </c>
      <c r="T185" s="11">
        <v>1</v>
      </c>
      <c r="U185" s="11">
        <v>1</v>
      </c>
      <c r="V185" s="11">
        <v>1</v>
      </c>
      <c r="W185" s="11">
        <v>1</v>
      </c>
      <c r="X185" s="11">
        <v>1</v>
      </c>
      <c r="Y185" s="11">
        <v>1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  <c r="AF185" s="11">
        <v>1</v>
      </c>
      <c r="AG185" s="11">
        <v>1</v>
      </c>
      <c r="AH185" s="11">
        <v>1</v>
      </c>
      <c r="AI185" s="11">
        <v>1</v>
      </c>
      <c r="AJ185" s="11">
        <v>1</v>
      </c>
      <c r="AK185" s="11">
        <v>1</v>
      </c>
      <c r="AL185" s="11">
        <v>1</v>
      </c>
      <c r="AM185" s="11">
        <v>1</v>
      </c>
      <c r="AN185" s="11">
        <v>1</v>
      </c>
      <c r="AO185" s="11">
        <v>1</v>
      </c>
      <c r="AP185" s="11">
        <v>1</v>
      </c>
      <c r="AQ185" s="11">
        <v>1</v>
      </c>
      <c r="AR185" s="11">
        <v>1</v>
      </c>
      <c r="AS185" s="11">
        <v>1</v>
      </c>
      <c r="AT185" s="11">
        <v>1</v>
      </c>
      <c r="AU185" s="11">
        <v>1</v>
      </c>
      <c r="AV185" s="11">
        <v>1</v>
      </c>
      <c r="AW185" s="11">
        <v>1</v>
      </c>
      <c r="AX185" s="11">
        <v>1</v>
      </c>
      <c r="AY185" s="11">
        <v>1</v>
      </c>
      <c r="AZ185" s="11">
        <v>1</v>
      </c>
      <c r="BA185" s="11">
        <v>1</v>
      </c>
      <c r="BB185" s="11">
        <v>1</v>
      </c>
      <c r="BC185" s="11">
        <v>1</v>
      </c>
      <c r="BD185" s="11">
        <v>1</v>
      </c>
      <c r="BE185" s="11">
        <v>1</v>
      </c>
      <c r="BF185" s="11">
        <v>1</v>
      </c>
      <c r="BG185" s="11">
        <v>1</v>
      </c>
      <c r="BH185" s="11">
        <v>1</v>
      </c>
      <c r="BI185" s="11">
        <v>1</v>
      </c>
      <c r="BJ185" s="11">
        <v>1</v>
      </c>
      <c r="BK185" s="11">
        <v>1</v>
      </c>
      <c r="BL185" s="11">
        <v>1</v>
      </c>
      <c r="BM185" s="11">
        <v>1</v>
      </c>
      <c r="BN185" s="11">
        <v>1</v>
      </c>
      <c r="BO185" s="11">
        <v>1</v>
      </c>
      <c r="BP185" t="s">
        <v>348</v>
      </c>
      <c r="BQ185" t="s">
        <v>367</v>
      </c>
    </row>
    <row r="186" ht="18" customHeight="1" spans="1:69" x14ac:dyDescent="0.25">
      <c r="A186" s="9"/>
      <c r="B186" s="9"/>
      <c r="C186" s="9"/>
      <c r="D186" s="9"/>
      <c r="E186" s="9"/>
      <c r="F186" s="9"/>
      <c r="G186" s="10"/>
      <c r="H186" s="9" t="s">
        <v>139</v>
      </c>
      <c r="I186" s="9"/>
      <c r="J186" s="9"/>
      <c r="K186" s="9"/>
      <c r="L186" s="9"/>
      <c r="M186" s="9"/>
      <c r="N186" s="9"/>
      <c r="O186" s="10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t="s">
        <v>348</v>
      </c>
      <c r="BQ186" t="s">
        <v>367</v>
      </c>
    </row>
    <row r="187" ht="28" customHeight="1" spans="1:69" x14ac:dyDescent="0.25">
      <c r="A187" s="9"/>
      <c r="B187" s="9"/>
      <c r="C187" s="9"/>
      <c r="D187" s="9"/>
      <c r="E187" s="9"/>
      <c r="F187" s="9" t="s">
        <v>368</v>
      </c>
      <c r="G187" s="10" t="s">
        <v>369</v>
      </c>
      <c r="H187" s="9" t="s">
        <v>136</v>
      </c>
      <c r="I187" s="9">
        <v>3</v>
      </c>
      <c r="J187" s="9">
        <v>3</v>
      </c>
      <c r="K187" s="9" t="s">
        <v>6</v>
      </c>
      <c r="L187" s="9" t="s">
        <v>137</v>
      </c>
      <c r="M187" s="9"/>
      <c r="N187" s="9"/>
      <c r="O187" s="10"/>
      <c r="P187" s="17">
        <v>3</v>
      </c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7">
        <v>3</v>
      </c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7">
        <v>3</v>
      </c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7">
        <v>3</v>
      </c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t="s">
        <v>348</v>
      </c>
      <c r="BQ187" t="s">
        <v>370</v>
      </c>
    </row>
    <row r="188" ht="18" customHeight="1" spans="1:69" x14ac:dyDescent="0.25">
      <c r="A188" s="9"/>
      <c r="B188" s="9"/>
      <c r="C188" s="9"/>
      <c r="D188" s="9"/>
      <c r="E188" s="9"/>
      <c r="F188" s="9"/>
      <c r="G188" s="10"/>
      <c r="H188" s="9" t="s">
        <v>139</v>
      </c>
      <c r="I188" s="9"/>
      <c r="J188" s="9"/>
      <c r="K188" s="9"/>
      <c r="L188" s="9"/>
      <c r="M188" s="9"/>
      <c r="N188" s="9"/>
      <c r="O188" s="10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t="s">
        <v>348</v>
      </c>
      <c r="BQ188" t="s">
        <v>370</v>
      </c>
    </row>
    <row r="189" ht="28" customHeight="1" spans="1:69" x14ac:dyDescent="0.25">
      <c r="A189" s="9"/>
      <c r="B189" s="9"/>
      <c r="C189" s="9"/>
      <c r="D189" s="9"/>
      <c r="E189" s="9"/>
      <c r="F189" s="9" t="s">
        <v>371</v>
      </c>
      <c r="G189" s="10" t="s">
        <v>372</v>
      </c>
      <c r="H189" s="9" t="s">
        <v>136</v>
      </c>
      <c r="I189" s="9">
        <v>2</v>
      </c>
      <c r="J189" s="9">
        <v>500</v>
      </c>
      <c r="K189" s="9" t="s">
        <v>357</v>
      </c>
      <c r="L189" s="9" t="s">
        <v>9</v>
      </c>
      <c r="M189" s="9"/>
      <c r="N189" s="9"/>
      <c r="O189" s="10"/>
      <c r="P189" s="16">
        <v>2</v>
      </c>
      <c r="Q189" s="13"/>
      <c r="R189" s="13"/>
      <c r="S189" s="13"/>
      <c r="T189" s="13"/>
      <c r="U189" s="16">
        <v>2</v>
      </c>
      <c r="V189" s="13"/>
      <c r="W189" s="13"/>
      <c r="X189" s="13"/>
      <c r="Y189" s="16">
        <v>2</v>
      </c>
      <c r="Z189" s="13"/>
      <c r="AA189" s="13"/>
      <c r="AB189" s="13"/>
      <c r="AC189" s="16">
        <v>2</v>
      </c>
      <c r="AD189" s="13"/>
      <c r="AE189" s="13"/>
      <c r="AF189" s="13"/>
      <c r="AG189" s="16">
        <v>2</v>
      </c>
      <c r="AH189" s="13"/>
      <c r="AI189" s="13"/>
      <c r="AJ189" s="13"/>
      <c r="AK189" s="13"/>
      <c r="AL189" s="16">
        <v>2</v>
      </c>
      <c r="AM189" s="13"/>
      <c r="AN189" s="13"/>
      <c r="AO189" s="13"/>
      <c r="AP189" s="16">
        <v>2</v>
      </c>
      <c r="AQ189" s="13"/>
      <c r="AR189" s="13"/>
      <c r="AS189" s="13"/>
      <c r="AT189" s="13"/>
      <c r="AU189" s="16">
        <v>2</v>
      </c>
      <c r="AV189" s="13"/>
      <c r="AW189" s="13"/>
      <c r="AX189" s="13"/>
      <c r="AY189" s="16">
        <v>2</v>
      </c>
      <c r="AZ189" s="13"/>
      <c r="BA189" s="13"/>
      <c r="BB189" s="13"/>
      <c r="BC189" s="16">
        <v>2</v>
      </c>
      <c r="BD189" s="13"/>
      <c r="BE189" s="13"/>
      <c r="BF189" s="13"/>
      <c r="BG189" s="13"/>
      <c r="BH189" s="16">
        <v>2</v>
      </c>
      <c r="BI189" s="13"/>
      <c r="BJ189" s="13"/>
      <c r="BK189" s="13"/>
      <c r="BL189" s="16">
        <v>2</v>
      </c>
      <c r="BM189" s="13"/>
      <c r="BN189" s="13"/>
      <c r="BO189" s="13"/>
      <c r="BP189" t="s">
        <v>348</v>
      </c>
      <c r="BQ189" t="s">
        <v>373</v>
      </c>
    </row>
    <row r="190" ht="18" customHeight="1" spans="1:69" x14ac:dyDescent="0.25">
      <c r="A190" s="9"/>
      <c r="B190" s="9"/>
      <c r="C190" s="9"/>
      <c r="D190" s="9"/>
      <c r="E190" s="9"/>
      <c r="F190" s="9"/>
      <c r="G190" s="10"/>
      <c r="H190" s="9" t="s">
        <v>139</v>
      </c>
      <c r="I190" s="9"/>
      <c r="J190" s="9"/>
      <c r="K190" s="9"/>
      <c r="L190" s="9"/>
      <c r="M190" s="9"/>
      <c r="N190" s="9"/>
      <c r="O190" s="10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t="s">
        <v>348</v>
      </c>
      <c r="BQ190" t="s">
        <v>373</v>
      </c>
    </row>
    <row r="191" ht="28" customHeight="1" spans="1:69" x14ac:dyDescent="0.25">
      <c r="A191" s="9"/>
      <c r="B191" s="9"/>
      <c r="C191" s="9"/>
      <c r="D191" s="9"/>
      <c r="E191" s="9"/>
      <c r="F191" s="9" t="s">
        <v>374</v>
      </c>
      <c r="G191" s="10" t="s">
        <v>375</v>
      </c>
      <c r="H191" s="9" t="s">
        <v>136</v>
      </c>
      <c r="I191" s="9">
        <v>3</v>
      </c>
      <c r="J191" s="9">
        <v>200</v>
      </c>
      <c r="K191" s="9" t="s">
        <v>376</v>
      </c>
      <c r="L191" s="9" t="s">
        <v>9</v>
      </c>
      <c r="M191" s="9"/>
      <c r="N191" s="9"/>
      <c r="O191" s="10"/>
      <c r="P191" s="17">
        <v>3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7">
        <v>3</v>
      </c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7">
        <v>3</v>
      </c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7">
        <v>3</v>
      </c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t="s">
        <v>348</v>
      </c>
      <c r="BQ191" t="s">
        <v>377</v>
      </c>
    </row>
    <row r="192" ht="18" customHeight="1" spans="1:69" x14ac:dyDescent="0.25">
      <c r="A192" s="9"/>
      <c r="B192" s="9"/>
      <c r="C192" s="9"/>
      <c r="D192" s="9"/>
      <c r="E192" s="9"/>
      <c r="F192" s="9"/>
      <c r="G192" s="10"/>
      <c r="H192" s="9" t="s">
        <v>139</v>
      </c>
      <c r="I192" s="9"/>
      <c r="J192" s="9"/>
      <c r="K192" s="9"/>
      <c r="L192" s="9"/>
      <c r="M192" s="9"/>
      <c r="N192" s="9"/>
      <c r="O192" s="10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t="s">
        <v>348</v>
      </c>
      <c r="BQ192" t="s">
        <v>377</v>
      </c>
    </row>
    <row r="193" ht="28" customHeight="1" spans="1:69" x14ac:dyDescent="0.25">
      <c r="A193" s="9"/>
      <c r="B193" s="9"/>
      <c r="C193" s="9"/>
      <c r="D193" s="9"/>
      <c r="E193" s="9"/>
      <c r="F193" s="9" t="s">
        <v>378</v>
      </c>
      <c r="G193" s="10" t="s">
        <v>379</v>
      </c>
      <c r="H193" s="9" t="s">
        <v>136</v>
      </c>
      <c r="I193" s="9">
        <v>1</v>
      </c>
      <c r="J193" s="9">
        <v>200</v>
      </c>
      <c r="K193" s="9" t="s">
        <v>376</v>
      </c>
      <c r="L193" s="9" t="s">
        <v>9</v>
      </c>
      <c r="M193" s="9"/>
      <c r="N193" s="9"/>
      <c r="O193" s="10"/>
      <c r="P193" s="11">
        <v>1</v>
      </c>
      <c r="Q193" s="11">
        <v>1</v>
      </c>
      <c r="R193" s="11">
        <v>1</v>
      </c>
      <c r="S193" s="11">
        <v>1</v>
      </c>
      <c r="T193" s="11">
        <v>1</v>
      </c>
      <c r="U193" s="11">
        <v>1</v>
      </c>
      <c r="V193" s="11">
        <v>1</v>
      </c>
      <c r="W193" s="11">
        <v>1</v>
      </c>
      <c r="X193" s="11">
        <v>1</v>
      </c>
      <c r="Y193" s="11">
        <v>1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  <c r="AF193" s="11">
        <v>1</v>
      </c>
      <c r="AG193" s="11">
        <v>1</v>
      </c>
      <c r="AH193" s="11">
        <v>1</v>
      </c>
      <c r="AI193" s="11">
        <v>1</v>
      </c>
      <c r="AJ193" s="11">
        <v>1</v>
      </c>
      <c r="AK193" s="11">
        <v>1</v>
      </c>
      <c r="AL193" s="11">
        <v>1</v>
      </c>
      <c r="AM193" s="11">
        <v>1</v>
      </c>
      <c r="AN193" s="11">
        <v>1</v>
      </c>
      <c r="AO193" s="11">
        <v>1</v>
      </c>
      <c r="AP193" s="11">
        <v>1</v>
      </c>
      <c r="AQ193" s="11">
        <v>1</v>
      </c>
      <c r="AR193" s="11">
        <v>1</v>
      </c>
      <c r="AS193" s="11">
        <v>1</v>
      </c>
      <c r="AT193" s="11">
        <v>1</v>
      </c>
      <c r="AU193" s="11">
        <v>1</v>
      </c>
      <c r="AV193" s="11">
        <v>1</v>
      </c>
      <c r="AW193" s="11">
        <v>1</v>
      </c>
      <c r="AX193" s="11">
        <v>1</v>
      </c>
      <c r="AY193" s="11">
        <v>1</v>
      </c>
      <c r="AZ193" s="11">
        <v>1</v>
      </c>
      <c r="BA193" s="11">
        <v>1</v>
      </c>
      <c r="BB193" s="11">
        <v>1</v>
      </c>
      <c r="BC193" s="11">
        <v>1</v>
      </c>
      <c r="BD193" s="11">
        <v>1</v>
      </c>
      <c r="BE193" s="11">
        <v>1</v>
      </c>
      <c r="BF193" s="11">
        <v>1</v>
      </c>
      <c r="BG193" s="11">
        <v>1</v>
      </c>
      <c r="BH193" s="11">
        <v>1</v>
      </c>
      <c r="BI193" s="11">
        <v>1</v>
      </c>
      <c r="BJ193" s="11">
        <v>1</v>
      </c>
      <c r="BK193" s="11">
        <v>1</v>
      </c>
      <c r="BL193" s="11">
        <v>1</v>
      </c>
      <c r="BM193" s="11">
        <v>1</v>
      </c>
      <c r="BN193" s="11">
        <v>1</v>
      </c>
      <c r="BO193" s="11">
        <v>1</v>
      </c>
      <c r="BP193" t="s">
        <v>348</v>
      </c>
      <c r="BQ193" t="s">
        <v>380</v>
      </c>
    </row>
    <row r="194" ht="18" customHeight="1" spans="1:69" x14ac:dyDescent="0.25">
      <c r="A194" s="9"/>
      <c r="B194" s="9"/>
      <c r="C194" s="9"/>
      <c r="D194" s="9"/>
      <c r="E194" s="9"/>
      <c r="F194" s="9"/>
      <c r="G194" s="10"/>
      <c r="H194" s="9" t="s">
        <v>139</v>
      </c>
      <c r="I194" s="9"/>
      <c r="J194" s="9"/>
      <c r="K194" s="9"/>
      <c r="L194" s="9"/>
      <c r="M194" s="9"/>
      <c r="N194" s="9"/>
      <c r="O194" s="10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t="s">
        <v>348</v>
      </c>
      <c r="BQ194" t="s">
        <v>380</v>
      </c>
    </row>
    <row r="195" ht="28" customHeight="1" spans="1:69" x14ac:dyDescent="0.25">
      <c r="A195" s="9"/>
      <c r="B195" s="9"/>
      <c r="C195" s="9"/>
      <c r="D195" s="9"/>
      <c r="E195" s="9"/>
      <c r="F195" s="9" t="s">
        <v>381</v>
      </c>
      <c r="G195" s="10" t="s">
        <v>382</v>
      </c>
      <c r="H195" s="9" t="s">
        <v>136</v>
      </c>
      <c r="I195" s="9">
        <v>2</v>
      </c>
      <c r="J195" s="9">
        <v>1000</v>
      </c>
      <c r="K195" s="9" t="s">
        <v>152</v>
      </c>
      <c r="L195" s="9" t="s">
        <v>9</v>
      </c>
      <c r="M195" s="9"/>
      <c r="N195" s="9"/>
      <c r="O195" s="10"/>
      <c r="P195" s="16">
        <v>2</v>
      </c>
      <c r="Q195" s="13"/>
      <c r="R195" s="13"/>
      <c r="S195" s="13"/>
      <c r="T195" s="13"/>
      <c r="U195" s="16">
        <v>2</v>
      </c>
      <c r="V195" s="13"/>
      <c r="W195" s="13"/>
      <c r="X195" s="13"/>
      <c r="Y195" s="16">
        <v>2</v>
      </c>
      <c r="Z195" s="13"/>
      <c r="AA195" s="13"/>
      <c r="AB195" s="13"/>
      <c r="AC195" s="16">
        <v>2</v>
      </c>
      <c r="AD195" s="13"/>
      <c r="AE195" s="13"/>
      <c r="AF195" s="13"/>
      <c r="AG195" s="16">
        <v>2</v>
      </c>
      <c r="AH195" s="13"/>
      <c r="AI195" s="13"/>
      <c r="AJ195" s="13"/>
      <c r="AK195" s="13"/>
      <c r="AL195" s="16">
        <v>2</v>
      </c>
      <c r="AM195" s="13"/>
      <c r="AN195" s="13"/>
      <c r="AO195" s="13"/>
      <c r="AP195" s="16">
        <v>2</v>
      </c>
      <c r="AQ195" s="13"/>
      <c r="AR195" s="13"/>
      <c r="AS195" s="13"/>
      <c r="AT195" s="13"/>
      <c r="AU195" s="16">
        <v>2</v>
      </c>
      <c r="AV195" s="13"/>
      <c r="AW195" s="13"/>
      <c r="AX195" s="13"/>
      <c r="AY195" s="16">
        <v>2</v>
      </c>
      <c r="AZ195" s="13"/>
      <c r="BA195" s="13"/>
      <c r="BB195" s="13"/>
      <c r="BC195" s="16">
        <v>2</v>
      </c>
      <c r="BD195" s="13"/>
      <c r="BE195" s="13"/>
      <c r="BF195" s="13"/>
      <c r="BG195" s="13"/>
      <c r="BH195" s="16">
        <v>2</v>
      </c>
      <c r="BI195" s="13"/>
      <c r="BJ195" s="13"/>
      <c r="BK195" s="13"/>
      <c r="BL195" s="16">
        <v>2</v>
      </c>
      <c r="BM195" s="13"/>
      <c r="BN195" s="13"/>
      <c r="BO195" s="13"/>
      <c r="BP195" t="s">
        <v>348</v>
      </c>
      <c r="BQ195" t="s">
        <v>383</v>
      </c>
    </row>
    <row r="196" ht="18" customHeight="1" spans="1:69" x14ac:dyDescent="0.25">
      <c r="A196" s="9"/>
      <c r="B196" s="9"/>
      <c r="C196" s="9"/>
      <c r="D196" s="9"/>
      <c r="E196" s="9"/>
      <c r="F196" s="9"/>
      <c r="G196" s="10"/>
      <c r="H196" s="9" t="s">
        <v>139</v>
      </c>
      <c r="I196" s="9"/>
      <c r="J196" s="9"/>
      <c r="K196" s="9"/>
      <c r="L196" s="9"/>
      <c r="M196" s="9"/>
      <c r="N196" s="9"/>
      <c r="O196" s="10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t="s">
        <v>348</v>
      </c>
      <c r="BQ196" t="s">
        <v>383</v>
      </c>
    </row>
    <row r="197" ht="28" customHeight="1" spans="1:69" x14ac:dyDescent="0.25">
      <c r="A197" s="9"/>
      <c r="B197" s="9"/>
      <c r="C197" s="9"/>
      <c r="D197" s="9"/>
      <c r="E197" s="9"/>
      <c r="F197" s="9" t="s">
        <v>384</v>
      </c>
      <c r="G197" s="10" t="s">
        <v>382</v>
      </c>
      <c r="H197" s="9" t="s">
        <v>136</v>
      </c>
      <c r="I197" s="9">
        <v>2</v>
      </c>
      <c r="J197" s="9">
        <v>500</v>
      </c>
      <c r="K197" s="9" t="s">
        <v>357</v>
      </c>
      <c r="L197" s="9" t="s">
        <v>9</v>
      </c>
      <c r="M197" s="9"/>
      <c r="N197" s="9"/>
      <c r="O197" s="10"/>
      <c r="P197" s="16">
        <v>2</v>
      </c>
      <c r="Q197" s="13"/>
      <c r="R197" s="13"/>
      <c r="S197" s="13"/>
      <c r="T197" s="13"/>
      <c r="U197" s="16">
        <v>2</v>
      </c>
      <c r="V197" s="13"/>
      <c r="W197" s="13"/>
      <c r="X197" s="13"/>
      <c r="Y197" s="16">
        <v>2</v>
      </c>
      <c r="Z197" s="13"/>
      <c r="AA197" s="13"/>
      <c r="AB197" s="13"/>
      <c r="AC197" s="16">
        <v>2</v>
      </c>
      <c r="AD197" s="13"/>
      <c r="AE197" s="13"/>
      <c r="AF197" s="13"/>
      <c r="AG197" s="16">
        <v>2</v>
      </c>
      <c r="AH197" s="13"/>
      <c r="AI197" s="13"/>
      <c r="AJ197" s="13"/>
      <c r="AK197" s="13"/>
      <c r="AL197" s="16">
        <v>2</v>
      </c>
      <c r="AM197" s="13"/>
      <c r="AN197" s="13"/>
      <c r="AO197" s="13"/>
      <c r="AP197" s="16">
        <v>2</v>
      </c>
      <c r="AQ197" s="13"/>
      <c r="AR197" s="13"/>
      <c r="AS197" s="13"/>
      <c r="AT197" s="13"/>
      <c r="AU197" s="16">
        <v>2</v>
      </c>
      <c r="AV197" s="13"/>
      <c r="AW197" s="13"/>
      <c r="AX197" s="13"/>
      <c r="AY197" s="16">
        <v>2</v>
      </c>
      <c r="AZ197" s="13"/>
      <c r="BA197" s="13"/>
      <c r="BB197" s="13"/>
      <c r="BC197" s="16">
        <v>2</v>
      </c>
      <c r="BD197" s="13"/>
      <c r="BE197" s="13"/>
      <c r="BF197" s="13"/>
      <c r="BG197" s="13"/>
      <c r="BH197" s="16">
        <v>2</v>
      </c>
      <c r="BI197" s="13"/>
      <c r="BJ197" s="13"/>
      <c r="BK197" s="13"/>
      <c r="BL197" s="16">
        <v>2</v>
      </c>
      <c r="BM197" s="13"/>
      <c r="BN197" s="13"/>
      <c r="BO197" s="13"/>
      <c r="BP197" t="s">
        <v>348</v>
      </c>
      <c r="BQ197" t="s">
        <v>385</v>
      </c>
    </row>
    <row r="198" ht="18" customHeight="1" spans="1:69" x14ac:dyDescent="0.25">
      <c r="A198" s="9"/>
      <c r="B198" s="9"/>
      <c r="C198" s="9"/>
      <c r="D198" s="9"/>
      <c r="E198" s="9"/>
      <c r="F198" s="9"/>
      <c r="G198" s="10"/>
      <c r="H198" s="9" t="s">
        <v>139</v>
      </c>
      <c r="I198" s="9"/>
      <c r="J198" s="9"/>
      <c r="K198" s="9"/>
      <c r="L198" s="9"/>
      <c r="M198" s="9"/>
      <c r="N198" s="9"/>
      <c r="O198" s="10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t="s">
        <v>348</v>
      </c>
      <c r="BQ198" t="s">
        <v>385</v>
      </c>
    </row>
    <row r="199" ht="28" customHeight="1" spans="1:69" x14ac:dyDescent="0.25">
      <c r="A199" s="9"/>
      <c r="B199" s="9"/>
      <c r="C199" s="9"/>
      <c r="D199" s="9"/>
      <c r="E199" s="9"/>
      <c r="F199" s="9" t="s">
        <v>386</v>
      </c>
      <c r="G199" s="10" t="s">
        <v>387</v>
      </c>
      <c r="H199" s="9" t="s">
        <v>136</v>
      </c>
      <c r="I199" s="9">
        <v>1</v>
      </c>
      <c r="J199" s="9">
        <v>1</v>
      </c>
      <c r="K199" s="9" t="s">
        <v>4</v>
      </c>
      <c r="L199" s="9" t="s">
        <v>137</v>
      </c>
      <c r="M199" s="9"/>
      <c r="N199" s="9"/>
      <c r="O199" s="10"/>
      <c r="P199" s="11">
        <v>1</v>
      </c>
      <c r="Q199" s="11">
        <v>1</v>
      </c>
      <c r="R199" s="11">
        <v>1</v>
      </c>
      <c r="S199" s="11">
        <v>1</v>
      </c>
      <c r="T199" s="11">
        <v>1</v>
      </c>
      <c r="U199" s="11">
        <v>1</v>
      </c>
      <c r="V199" s="11">
        <v>1</v>
      </c>
      <c r="W199" s="11">
        <v>1</v>
      </c>
      <c r="X199" s="11">
        <v>1</v>
      </c>
      <c r="Y199" s="11">
        <v>1</v>
      </c>
      <c r="Z199" s="11">
        <v>1</v>
      </c>
      <c r="AA199" s="11">
        <v>1</v>
      </c>
      <c r="AB199" s="11">
        <v>1</v>
      </c>
      <c r="AC199" s="11">
        <v>1</v>
      </c>
      <c r="AD199" s="11">
        <v>1</v>
      </c>
      <c r="AE199" s="11">
        <v>1</v>
      </c>
      <c r="AF199" s="11">
        <v>1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  <c r="AM199" s="11">
        <v>1</v>
      </c>
      <c r="AN199" s="11">
        <v>1</v>
      </c>
      <c r="AO199" s="11">
        <v>1</v>
      </c>
      <c r="AP199" s="11">
        <v>1</v>
      </c>
      <c r="AQ199" s="11">
        <v>1</v>
      </c>
      <c r="AR199" s="11">
        <v>1</v>
      </c>
      <c r="AS199" s="11">
        <v>1</v>
      </c>
      <c r="AT199" s="11">
        <v>1</v>
      </c>
      <c r="AU199" s="11">
        <v>1</v>
      </c>
      <c r="AV199" s="11">
        <v>1</v>
      </c>
      <c r="AW199" s="11">
        <v>1</v>
      </c>
      <c r="AX199" s="11">
        <v>1</v>
      </c>
      <c r="AY199" s="11">
        <v>1</v>
      </c>
      <c r="AZ199" s="11">
        <v>1</v>
      </c>
      <c r="BA199" s="11">
        <v>1</v>
      </c>
      <c r="BB199" s="11">
        <v>1</v>
      </c>
      <c r="BC199" s="11">
        <v>1</v>
      </c>
      <c r="BD199" s="11">
        <v>1</v>
      </c>
      <c r="BE199" s="11">
        <v>1</v>
      </c>
      <c r="BF199" s="11">
        <v>1</v>
      </c>
      <c r="BG199" s="11">
        <v>1</v>
      </c>
      <c r="BH199" s="11">
        <v>1</v>
      </c>
      <c r="BI199" s="11">
        <v>1</v>
      </c>
      <c r="BJ199" s="11">
        <v>1</v>
      </c>
      <c r="BK199" s="11">
        <v>1</v>
      </c>
      <c r="BL199" s="11">
        <v>1</v>
      </c>
      <c r="BM199" s="11">
        <v>1</v>
      </c>
      <c r="BN199" s="11">
        <v>1</v>
      </c>
      <c r="BO199" s="11">
        <v>1</v>
      </c>
      <c r="BP199" t="s">
        <v>348</v>
      </c>
      <c r="BQ199" t="s">
        <v>388</v>
      </c>
    </row>
    <row r="200" ht="18" customHeight="1" spans="1:69" x14ac:dyDescent="0.25">
      <c r="A200" s="9"/>
      <c r="B200" s="9"/>
      <c r="C200" s="9"/>
      <c r="D200" s="9"/>
      <c r="E200" s="9"/>
      <c r="F200" s="9"/>
      <c r="G200" s="10"/>
      <c r="H200" s="9" t="s">
        <v>139</v>
      </c>
      <c r="I200" s="9"/>
      <c r="J200" s="9"/>
      <c r="K200" s="9"/>
      <c r="L200" s="9"/>
      <c r="M200" s="9"/>
      <c r="N200" s="9"/>
      <c r="O200" s="10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t="s">
        <v>348</v>
      </c>
      <c r="BQ200" t="s">
        <v>388</v>
      </c>
    </row>
    <row r="201" ht="28" customHeight="1" spans="1:69" x14ac:dyDescent="0.25">
      <c r="A201" s="9"/>
      <c r="B201" s="9"/>
      <c r="C201" s="9"/>
      <c r="D201" s="9"/>
      <c r="E201" s="9"/>
      <c r="F201" s="9" t="s">
        <v>386</v>
      </c>
      <c r="G201" s="10" t="s">
        <v>389</v>
      </c>
      <c r="H201" s="9" t="s">
        <v>136</v>
      </c>
      <c r="I201" s="9">
        <v>1</v>
      </c>
      <c r="J201" s="9">
        <v>1</v>
      </c>
      <c r="K201" s="9" t="s">
        <v>4</v>
      </c>
      <c r="L201" s="9" t="s">
        <v>137</v>
      </c>
      <c r="M201" s="9"/>
      <c r="N201" s="9"/>
      <c r="O201" s="10"/>
      <c r="P201" s="11">
        <v>1</v>
      </c>
      <c r="Q201" s="11">
        <v>1</v>
      </c>
      <c r="R201" s="11">
        <v>1</v>
      </c>
      <c r="S201" s="11">
        <v>1</v>
      </c>
      <c r="T201" s="11">
        <v>1</v>
      </c>
      <c r="U201" s="11">
        <v>1</v>
      </c>
      <c r="V201" s="11">
        <v>1</v>
      </c>
      <c r="W201" s="11">
        <v>1</v>
      </c>
      <c r="X201" s="11">
        <v>1</v>
      </c>
      <c r="Y201" s="11">
        <v>1</v>
      </c>
      <c r="Z201" s="11">
        <v>1</v>
      </c>
      <c r="AA201" s="11">
        <v>1</v>
      </c>
      <c r="AB201" s="11">
        <v>1</v>
      </c>
      <c r="AC201" s="11">
        <v>1</v>
      </c>
      <c r="AD201" s="11">
        <v>1</v>
      </c>
      <c r="AE201" s="11">
        <v>1</v>
      </c>
      <c r="AF201" s="11">
        <v>1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  <c r="AM201" s="11">
        <v>1</v>
      </c>
      <c r="AN201" s="11">
        <v>1</v>
      </c>
      <c r="AO201" s="11">
        <v>1</v>
      </c>
      <c r="AP201" s="11">
        <v>1</v>
      </c>
      <c r="AQ201" s="11">
        <v>1</v>
      </c>
      <c r="AR201" s="11">
        <v>1</v>
      </c>
      <c r="AS201" s="11">
        <v>1</v>
      </c>
      <c r="AT201" s="11">
        <v>1</v>
      </c>
      <c r="AU201" s="11">
        <v>1</v>
      </c>
      <c r="AV201" s="11">
        <v>1</v>
      </c>
      <c r="AW201" s="11">
        <v>1</v>
      </c>
      <c r="AX201" s="11">
        <v>1</v>
      </c>
      <c r="AY201" s="11">
        <v>1</v>
      </c>
      <c r="AZ201" s="11">
        <v>1</v>
      </c>
      <c r="BA201" s="11">
        <v>1</v>
      </c>
      <c r="BB201" s="11">
        <v>1</v>
      </c>
      <c r="BC201" s="11">
        <v>1</v>
      </c>
      <c r="BD201" s="11">
        <v>1</v>
      </c>
      <c r="BE201" s="11">
        <v>1</v>
      </c>
      <c r="BF201" s="11">
        <v>1</v>
      </c>
      <c r="BG201" s="11">
        <v>1</v>
      </c>
      <c r="BH201" s="11">
        <v>1</v>
      </c>
      <c r="BI201" s="11">
        <v>1</v>
      </c>
      <c r="BJ201" s="11">
        <v>1</v>
      </c>
      <c r="BK201" s="11">
        <v>1</v>
      </c>
      <c r="BL201" s="11">
        <v>1</v>
      </c>
      <c r="BM201" s="11">
        <v>1</v>
      </c>
      <c r="BN201" s="11">
        <v>1</v>
      </c>
      <c r="BO201" s="11">
        <v>1</v>
      </c>
      <c r="BP201" t="s">
        <v>348</v>
      </c>
      <c r="BQ201" t="s">
        <v>390</v>
      </c>
    </row>
    <row r="202" ht="18" customHeight="1" spans="1:69" x14ac:dyDescent="0.25">
      <c r="A202" s="9"/>
      <c r="B202" s="9"/>
      <c r="C202" s="9"/>
      <c r="D202" s="9"/>
      <c r="E202" s="9"/>
      <c r="F202" s="9"/>
      <c r="G202" s="10"/>
      <c r="H202" s="9" t="s">
        <v>139</v>
      </c>
      <c r="I202" s="9"/>
      <c r="J202" s="9"/>
      <c r="K202" s="9"/>
      <c r="L202" s="9"/>
      <c r="M202" s="9"/>
      <c r="N202" s="9"/>
      <c r="O202" s="10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t="s">
        <v>348</v>
      </c>
      <c r="BQ202" t="s">
        <v>390</v>
      </c>
    </row>
    <row r="203" ht="28" customHeight="1" spans="1:69" x14ac:dyDescent="0.25">
      <c r="A203" s="9"/>
      <c r="B203" s="9"/>
      <c r="C203" s="9"/>
      <c r="D203" s="9"/>
      <c r="E203" s="9"/>
      <c r="F203" s="9" t="s">
        <v>391</v>
      </c>
      <c r="G203" s="10" t="s">
        <v>392</v>
      </c>
      <c r="H203" s="9" t="s">
        <v>136</v>
      </c>
      <c r="I203" s="9">
        <v>1</v>
      </c>
      <c r="J203" s="9">
        <v>1</v>
      </c>
      <c r="K203" s="9" t="s">
        <v>4</v>
      </c>
      <c r="L203" s="9" t="s">
        <v>137</v>
      </c>
      <c r="M203" s="9"/>
      <c r="N203" s="9"/>
      <c r="O203" s="10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t="s">
        <v>348</v>
      </c>
      <c r="BQ203" t="s">
        <v>393</v>
      </c>
    </row>
    <row r="204" ht="18" customHeight="1" spans="1:69" x14ac:dyDescent="0.25">
      <c r="A204" s="9"/>
      <c r="B204" s="9"/>
      <c r="C204" s="9"/>
      <c r="D204" s="9"/>
      <c r="E204" s="9"/>
      <c r="F204" s="9"/>
      <c r="G204" s="10"/>
      <c r="H204" s="9" t="s">
        <v>139</v>
      </c>
      <c r="I204" s="9"/>
      <c r="J204" s="9"/>
      <c r="K204" s="9"/>
      <c r="L204" s="9"/>
      <c r="M204" s="9"/>
      <c r="N204" s="9"/>
      <c r="O204" s="10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t="s">
        <v>348</v>
      </c>
      <c r="BQ204" t="s">
        <v>393</v>
      </c>
    </row>
    <row r="205" ht="28" customHeight="1" spans="1:69" x14ac:dyDescent="0.25">
      <c r="A205" s="9"/>
      <c r="B205" s="9"/>
      <c r="C205" s="9"/>
      <c r="D205" s="9"/>
      <c r="E205" s="9"/>
      <c r="F205" s="9" t="s">
        <v>394</v>
      </c>
      <c r="G205" s="10" t="s">
        <v>395</v>
      </c>
      <c r="H205" s="9" t="s">
        <v>136</v>
      </c>
      <c r="I205" s="9">
        <v>1</v>
      </c>
      <c r="J205" s="9">
        <v>1</v>
      </c>
      <c r="K205" s="9" t="s">
        <v>4</v>
      </c>
      <c r="L205" s="9" t="s">
        <v>137</v>
      </c>
      <c r="M205" s="9"/>
      <c r="N205" s="9"/>
      <c r="O205" s="10"/>
      <c r="P205" s="11">
        <v>1</v>
      </c>
      <c r="Q205" s="11">
        <v>1</v>
      </c>
      <c r="R205" s="11">
        <v>1</v>
      </c>
      <c r="S205" s="11">
        <v>1</v>
      </c>
      <c r="T205" s="11">
        <v>1</v>
      </c>
      <c r="U205" s="11">
        <v>1</v>
      </c>
      <c r="V205" s="11">
        <v>1</v>
      </c>
      <c r="W205" s="11">
        <v>1</v>
      </c>
      <c r="X205" s="11">
        <v>1</v>
      </c>
      <c r="Y205" s="11">
        <v>1</v>
      </c>
      <c r="Z205" s="11">
        <v>1</v>
      </c>
      <c r="AA205" s="11">
        <v>1</v>
      </c>
      <c r="AB205" s="11">
        <v>1</v>
      </c>
      <c r="AC205" s="11">
        <v>1</v>
      </c>
      <c r="AD205" s="11">
        <v>1</v>
      </c>
      <c r="AE205" s="11">
        <v>1</v>
      </c>
      <c r="AF205" s="11">
        <v>1</v>
      </c>
      <c r="AG205" s="11">
        <v>1</v>
      </c>
      <c r="AH205" s="11">
        <v>1</v>
      </c>
      <c r="AI205" s="11">
        <v>1</v>
      </c>
      <c r="AJ205" s="11">
        <v>1</v>
      </c>
      <c r="AK205" s="11">
        <v>1</v>
      </c>
      <c r="AL205" s="11">
        <v>1</v>
      </c>
      <c r="AM205" s="11">
        <v>1</v>
      </c>
      <c r="AN205" s="11">
        <v>1</v>
      </c>
      <c r="AO205" s="11">
        <v>1</v>
      </c>
      <c r="AP205" s="11">
        <v>1</v>
      </c>
      <c r="AQ205" s="11">
        <v>1</v>
      </c>
      <c r="AR205" s="11">
        <v>1</v>
      </c>
      <c r="AS205" s="11">
        <v>1</v>
      </c>
      <c r="AT205" s="11">
        <v>1</v>
      </c>
      <c r="AU205" s="11">
        <v>1</v>
      </c>
      <c r="AV205" s="11">
        <v>1</v>
      </c>
      <c r="AW205" s="11">
        <v>1</v>
      </c>
      <c r="AX205" s="11">
        <v>1</v>
      </c>
      <c r="AY205" s="11">
        <v>1</v>
      </c>
      <c r="AZ205" s="11">
        <v>1</v>
      </c>
      <c r="BA205" s="11">
        <v>1</v>
      </c>
      <c r="BB205" s="11">
        <v>1</v>
      </c>
      <c r="BC205" s="11">
        <v>1</v>
      </c>
      <c r="BD205" s="11">
        <v>1</v>
      </c>
      <c r="BE205" s="11">
        <v>1</v>
      </c>
      <c r="BF205" s="11">
        <v>1</v>
      </c>
      <c r="BG205" s="11">
        <v>1</v>
      </c>
      <c r="BH205" s="11">
        <v>1</v>
      </c>
      <c r="BI205" s="11">
        <v>1</v>
      </c>
      <c r="BJ205" s="11">
        <v>1</v>
      </c>
      <c r="BK205" s="11">
        <v>1</v>
      </c>
      <c r="BL205" s="11">
        <v>1</v>
      </c>
      <c r="BM205" s="11">
        <v>1</v>
      </c>
      <c r="BN205" s="11">
        <v>1</v>
      </c>
      <c r="BO205" s="11">
        <v>1</v>
      </c>
      <c r="BP205" t="s">
        <v>348</v>
      </c>
      <c r="BQ205" t="s">
        <v>396</v>
      </c>
    </row>
    <row r="206" ht="18" customHeight="1" spans="1:69" x14ac:dyDescent="0.25">
      <c r="A206" s="9"/>
      <c r="B206" s="9"/>
      <c r="C206" s="9"/>
      <c r="D206" s="9"/>
      <c r="E206" s="9"/>
      <c r="F206" s="9"/>
      <c r="G206" s="10"/>
      <c r="H206" s="9" t="s">
        <v>139</v>
      </c>
      <c r="I206" s="9"/>
      <c r="J206" s="9"/>
      <c r="K206" s="9"/>
      <c r="L206" s="9"/>
      <c r="M206" s="9"/>
      <c r="N206" s="9"/>
      <c r="O206" s="10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t="s">
        <v>348</v>
      </c>
      <c r="BQ206" t="s">
        <v>396</v>
      </c>
    </row>
    <row r="207" ht="28" customHeight="1" spans="1:69" x14ac:dyDescent="0.25">
      <c r="A207" s="9"/>
      <c r="B207" s="9" t="s">
        <v>397</v>
      </c>
      <c r="C207" s="9" t="s">
        <v>398</v>
      </c>
      <c r="D207" s="9" t="s">
        <v>399</v>
      </c>
      <c r="E207" s="9" t="s">
        <v>400</v>
      </c>
      <c r="F207" s="9" t="s">
        <v>134</v>
      </c>
      <c r="G207" s="10" t="s">
        <v>166</v>
      </c>
      <c r="H207" s="9" t="s">
        <v>136</v>
      </c>
      <c r="I207" s="9">
        <v>1</v>
      </c>
      <c r="J207" s="9">
        <v>1</v>
      </c>
      <c r="K207" s="9" t="s">
        <v>4</v>
      </c>
      <c r="L207" s="9" t="s">
        <v>137</v>
      </c>
      <c r="M207" s="9"/>
      <c r="N207" s="9"/>
      <c r="O207" s="10"/>
      <c r="P207" s="11">
        <v>1</v>
      </c>
      <c r="Q207" s="11">
        <v>1</v>
      </c>
      <c r="R207" s="11">
        <v>1</v>
      </c>
      <c r="S207" s="11">
        <v>1</v>
      </c>
      <c r="T207" s="11">
        <v>1</v>
      </c>
      <c r="U207" s="11">
        <v>1</v>
      </c>
      <c r="V207" s="11">
        <v>1</v>
      </c>
      <c r="W207" s="11">
        <v>1</v>
      </c>
      <c r="X207" s="11">
        <v>1</v>
      </c>
      <c r="Y207" s="11">
        <v>1</v>
      </c>
      <c r="Z207" s="11">
        <v>1</v>
      </c>
      <c r="AA207" s="11">
        <v>1</v>
      </c>
      <c r="AB207" s="11">
        <v>1</v>
      </c>
      <c r="AC207" s="11">
        <v>1</v>
      </c>
      <c r="AD207" s="11">
        <v>1</v>
      </c>
      <c r="AE207" s="11">
        <v>1</v>
      </c>
      <c r="AF207" s="11">
        <v>1</v>
      </c>
      <c r="AG207" s="11">
        <v>1</v>
      </c>
      <c r="AH207" s="11">
        <v>1</v>
      </c>
      <c r="AI207" s="11">
        <v>1</v>
      </c>
      <c r="AJ207" s="11">
        <v>1</v>
      </c>
      <c r="AK207" s="11">
        <v>1</v>
      </c>
      <c r="AL207" s="11">
        <v>1</v>
      </c>
      <c r="AM207" s="11">
        <v>1</v>
      </c>
      <c r="AN207" s="11">
        <v>1</v>
      </c>
      <c r="AO207" s="11">
        <v>1</v>
      </c>
      <c r="AP207" s="11">
        <v>1</v>
      </c>
      <c r="AQ207" s="11">
        <v>1</v>
      </c>
      <c r="AR207" s="11">
        <v>1</v>
      </c>
      <c r="AS207" s="11">
        <v>1</v>
      </c>
      <c r="AT207" s="11">
        <v>1</v>
      </c>
      <c r="AU207" s="11">
        <v>1</v>
      </c>
      <c r="AV207" s="11">
        <v>1</v>
      </c>
      <c r="AW207" s="11">
        <v>1</v>
      </c>
      <c r="AX207" s="11">
        <v>1</v>
      </c>
      <c r="AY207" s="11">
        <v>1</v>
      </c>
      <c r="AZ207" s="11">
        <v>1</v>
      </c>
      <c r="BA207" s="11">
        <v>1</v>
      </c>
      <c r="BB207" s="11">
        <v>1</v>
      </c>
      <c r="BC207" s="11">
        <v>1</v>
      </c>
      <c r="BD207" s="11">
        <v>1</v>
      </c>
      <c r="BE207" s="11">
        <v>1</v>
      </c>
      <c r="BF207" s="11">
        <v>1</v>
      </c>
      <c r="BG207" s="11">
        <v>1</v>
      </c>
      <c r="BH207" s="11">
        <v>1</v>
      </c>
      <c r="BI207" s="11">
        <v>1</v>
      </c>
      <c r="BJ207" s="11">
        <v>1</v>
      </c>
      <c r="BK207" s="11">
        <v>1</v>
      </c>
      <c r="BL207" s="11">
        <v>1</v>
      </c>
      <c r="BM207" s="11">
        <v>1</v>
      </c>
      <c r="BN207" s="11">
        <v>1</v>
      </c>
      <c r="BO207" s="11">
        <v>1</v>
      </c>
      <c r="BP207" t="s">
        <v>397</v>
      </c>
      <c r="BQ207" t="s">
        <v>401</v>
      </c>
    </row>
    <row r="208" ht="18" customHeight="1" spans="1:69" x14ac:dyDescent="0.25">
      <c r="A208" s="9"/>
      <c r="B208" s="9"/>
      <c r="C208" s="9"/>
      <c r="D208" s="9"/>
      <c r="E208" s="9"/>
      <c r="F208" s="9"/>
      <c r="G208" s="10"/>
      <c r="H208" s="9" t="s">
        <v>139</v>
      </c>
      <c r="I208" s="9"/>
      <c r="J208" s="9"/>
      <c r="K208" s="9"/>
      <c r="L208" s="9"/>
      <c r="M208" s="9"/>
      <c r="N208" s="9"/>
      <c r="O208" s="10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t="s">
        <v>397</v>
      </c>
      <c r="BQ208" t="s">
        <v>401</v>
      </c>
    </row>
    <row r="209" ht="28" customHeight="1" spans="1:69" x14ac:dyDescent="0.25">
      <c r="A209" s="9"/>
      <c r="B209" s="9"/>
      <c r="C209" s="9"/>
      <c r="D209" s="9"/>
      <c r="E209" s="9"/>
      <c r="F209" s="9" t="s">
        <v>402</v>
      </c>
      <c r="G209" s="10" t="s">
        <v>180</v>
      </c>
      <c r="H209" s="9" t="s">
        <v>136</v>
      </c>
      <c r="I209" s="9">
        <v>1</v>
      </c>
      <c r="J209" s="9">
        <v>200</v>
      </c>
      <c r="K209" s="9" t="s">
        <v>376</v>
      </c>
      <c r="L209" s="9" t="s">
        <v>9</v>
      </c>
      <c r="M209" s="9"/>
      <c r="N209" s="9"/>
      <c r="O209" s="10"/>
      <c r="P209" s="11">
        <v>1</v>
      </c>
      <c r="Q209" s="11">
        <v>1</v>
      </c>
      <c r="R209" s="11">
        <v>1</v>
      </c>
      <c r="S209" s="11">
        <v>1</v>
      </c>
      <c r="T209" s="11">
        <v>1</v>
      </c>
      <c r="U209" s="11">
        <v>1</v>
      </c>
      <c r="V209" s="11">
        <v>1</v>
      </c>
      <c r="W209" s="11">
        <v>1</v>
      </c>
      <c r="X209" s="11">
        <v>1</v>
      </c>
      <c r="Y209" s="11">
        <v>1</v>
      </c>
      <c r="Z209" s="11">
        <v>1</v>
      </c>
      <c r="AA209" s="11">
        <v>1</v>
      </c>
      <c r="AB209" s="11">
        <v>1</v>
      </c>
      <c r="AC209" s="11">
        <v>1</v>
      </c>
      <c r="AD209" s="11">
        <v>1</v>
      </c>
      <c r="AE209" s="11">
        <v>1</v>
      </c>
      <c r="AF209" s="11">
        <v>1</v>
      </c>
      <c r="AG209" s="11">
        <v>1</v>
      </c>
      <c r="AH209" s="11">
        <v>1</v>
      </c>
      <c r="AI209" s="11">
        <v>1</v>
      </c>
      <c r="AJ209" s="11">
        <v>1</v>
      </c>
      <c r="AK209" s="11">
        <v>1</v>
      </c>
      <c r="AL209" s="11">
        <v>1</v>
      </c>
      <c r="AM209" s="11">
        <v>1</v>
      </c>
      <c r="AN209" s="11">
        <v>1</v>
      </c>
      <c r="AO209" s="11">
        <v>1</v>
      </c>
      <c r="AP209" s="11">
        <v>1</v>
      </c>
      <c r="AQ209" s="11">
        <v>1</v>
      </c>
      <c r="AR209" s="11">
        <v>1</v>
      </c>
      <c r="AS209" s="11">
        <v>1</v>
      </c>
      <c r="AT209" s="11">
        <v>1</v>
      </c>
      <c r="AU209" s="11">
        <v>1</v>
      </c>
      <c r="AV209" s="11">
        <v>1</v>
      </c>
      <c r="AW209" s="11">
        <v>1</v>
      </c>
      <c r="AX209" s="11">
        <v>1</v>
      </c>
      <c r="AY209" s="11">
        <v>1</v>
      </c>
      <c r="AZ209" s="11">
        <v>1</v>
      </c>
      <c r="BA209" s="11">
        <v>1</v>
      </c>
      <c r="BB209" s="11">
        <v>1</v>
      </c>
      <c r="BC209" s="11">
        <v>1</v>
      </c>
      <c r="BD209" s="11">
        <v>1</v>
      </c>
      <c r="BE209" s="11">
        <v>1</v>
      </c>
      <c r="BF209" s="11">
        <v>1</v>
      </c>
      <c r="BG209" s="11">
        <v>1</v>
      </c>
      <c r="BH209" s="11">
        <v>1</v>
      </c>
      <c r="BI209" s="11">
        <v>1</v>
      </c>
      <c r="BJ209" s="11">
        <v>1</v>
      </c>
      <c r="BK209" s="11">
        <v>1</v>
      </c>
      <c r="BL209" s="11">
        <v>1</v>
      </c>
      <c r="BM209" s="11">
        <v>1</v>
      </c>
      <c r="BN209" s="11">
        <v>1</v>
      </c>
      <c r="BO209" s="11">
        <v>1</v>
      </c>
      <c r="BP209" t="s">
        <v>397</v>
      </c>
      <c r="BQ209" t="s">
        <v>403</v>
      </c>
    </row>
    <row r="210" ht="18" customHeight="1" spans="1:69" x14ac:dyDescent="0.25">
      <c r="A210" s="9"/>
      <c r="B210" s="9"/>
      <c r="C210" s="9"/>
      <c r="D210" s="9"/>
      <c r="E210" s="9"/>
      <c r="F210" s="9"/>
      <c r="G210" s="10"/>
      <c r="H210" s="9" t="s">
        <v>139</v>
      </c>
      <c r="I210" s="9"/>
      <c r="J210" s="9"/>
      <c r="K210" s="9"/>
      <c r="L210" s="9"/>
      <c r="M210" s="9"/>
      <c r="N210" s="9"/>
      <c r="O210" s="10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t="s">
        <v>397</v>
      </c>
      <c r="BQ210" t="s">
        <v>403</v>
      </c>
    </row>
    <row r="211" ht="28" customHeight="1" spans="1:69" x14ac:dyDescent="0.25">
      <c r="A211" s="9"/>
      <c r="B211" s="9"/>
      <c r="C211" s="9"/>
      <c r="D211" s="9"/>
      <c r="E211" s="9"/>
      <c r="F211" s="9" t="s">
        <v>404</v>
      </c>
      <c r="G211" s="10" t="s">
        <v>405</v>
      </c>
      <c r="H211" s="9" t="s">
        <v>136</v>
      </c>
      <c r="I211" s="9">
        <v>5</v>
      </c>
      <c r="J211" s="9">
        <v>10000</v>
      </c>
      <c r="K211" s="9" t="s">
        <v>145</v>
      </c>
      <c r="L211" s="9" t="s">
        <v>9</v>
      </c>
      <c r="M211" s="9"/>
      <c r="N211" s="9"/>
      <c r="O211" s="10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4">
        <v>5</v>
      </c>
      <c r="BK211" s="13"/>
      <c r="BL211" s="13"/>
      <c r="BM211" s="13"/>
      <c r="BN211" s="13"/>
      <c r="BO211" s="13"/>
      <c r="BP211" t="s">
        <v>397</v>
      </c>
      <c r="BQ211" t="s">
        <v>406</v>
      </c>
    </row>
    <row r="212" ht="18" customHeight="1" spans="1:69" x14ac:dyDescent="0.25">
      <c r="A212" s="9"/>
      <c r="B212" s="9"/>
      <c r="C212" s="9"/>
      <c r="D212" s="9"/>
      <c r="E212" s="9"/>
      <c r="F212" s="9"/>
      <c r="G212" s="10"/>
      <c r="H212" s="9" t="s">
        <v>139</v>
      </c>
      <c r="I212" s="9"/>
      <c r="J212" s="9"/>
      <c r="K212" s="9"/>
      <c r="L212" s="9"/>
      <c r="M212" s="9"/>
      <c r="N212" s="9"/>
      <c r="O212" s="10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t="s">
        <v>397</v>
      </c>
      <c r="BQ212" t="s">
        <v>406</v>
      </c>
    </row>
    <row r="213" ht="28" customHeight="1" spans="1:69" x14ac:dyDescent="0.25">
      <c r="A213" s="9"/>
      <c r="B213" s="9"/>
      <c r="C213" s="9"/>
      <c r="D213" s="9"/>
      <c r="E213" s="9"/>
      <c r="F213" s="9" t="s">
        <v>407</v>
      </c>
      <c r="G213" s="10" t="s">
        <v>148</v>
      </c>
      <c r="H213" s="9" t="s">
        <v>136</v>
      </c>
      <c r="I213" s="9">
        <v>2</v>
      </c>
      <c r="J213" s="9">
        <v>500</v>
      </c>
      <c r="K213" s="9" t="s">
        <v>357</v>
      </c>
      <c r="L213" s="9" t="s">
        <v>9</v>
      </c>
      <c r="M213" s="9"/>
      <c r="N213" s="9"/>
      <c r="O213" s="10"/>
      <c r="P213" s="13"/>
      <c r="Q213" s="13"/>
      <c r="R213" s="16">
        <v>2</v>
      </c>
      <c r="S213" s="13"/>
      <c r="T213" s="13"/>
      <c r="U213" s="13"/>
      <c r="V213" s="13"/>
      <c r="W213" s="16">
        <v>2</v>
      </c>
      <c r="X213" s="13"/>
      <c r="Y213" s="13"/>
      <c r="Z213" s="13"/>
      <c r="AA213" s="16">
        <v>2</v>
      </c>
      <c r="AB213" s="13"/>
      <c r="AC213" s="13"/>
      <c r="AD213" s="13"/>
      <c r="AE213" s="16">
        <v>2</v>
      </c>
      <c r="AF213" s="13"/>
      <c r="AG213" s="13"/>
      <c r="AH213" s="13"/>
      <c r="AI213" s="16">
        <v>2</v>
      </c>
      <c r="AJ213" s="13"/>
      <c r="AK213" s="13"/>
      <c r="AL213" s="13"/>
      <c r="AM213" s="13"/>
      <c r="AN213" s="16">
        <v>2</v>
      </c>
      <c r="AO213" s="13"/>
      <c r="AP213" s="13"/>
      <c r="AQ213" s="13"/>
      <c r="AR213" s="16">
        <v>2</v>
      </c>
      <c r="AS213" s="13"/>
      <c r="AT213" s="13"/>
      <c r="AU213" s="13"/>
      <c r="AV213" s="13"/>
      <c r="AW213" s="16">
        <v>2</v>
      </c>
      <c r="AX213" s="13"/>
      <c r="AY213" s="13"/>
      <c r="AZ213" s="13"/>
      <c r="BA213" s="16">
        <v>2</v>
      </c>
      <c r="BB213" s="13"/>
      <c r="BC213" s="13"/>
      <c r="BD213" s="13"/>
      <c r="BE213" s="16">
        <v>2</v>
      </c>
      <c r="BF213" s="13"/>
      <c r="BG213" s="13"/>
      <c r="BH213" s="13"/>
      <c r="BI213" s="13"/>
      <c r="BJ213" s="16">
        <v>2</v>
      </c>
      <c r="BK213" s="13"/>
      <c r="BL213" s="13"/>
      <c r="BM213" s="13"/>
      <c r="BN213" s="16">
        <v>2</v>
      </c>
      <c r="BO213" s="13"/>
      <c r="BP213" t="s">
        <v>397</v>
      </c>
      <c r="BQ213" t="s">
        <v>408</v>
      </c>
    </row>
    <row r="214" ht="18" customHeight="1" spans="1:69" x14ac:dyDescent="0.25">
      <c r="A214" s="9"/>
      <c r="B214" s="9"/>
      <c r="C214" s="9"/>
      <c r="D214" s="9"/>
      <c r="E214" s="9"/>
      <c r="F214" s="9"/>
      <c r="G214" s="10"/>
      <c r="H214" s="9" t="s">
        <v>139</v>
      </c>
      <c r="I214" s="9"/>
      <c r="J214" s="9"/>
      <c r="K214" s="9"/>
      <c r="L214" s="9"/>
      <c r="M214" s="9"/>
      <c r="N214" s="9"/>
      <c r="O214" s="10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t="s">
        <v>397</v>
      </c>
      <c r="BQ214" t="s">
        <v>408</v>
      </c>
    </row>
    <row r="215" ht="28" customHeight="1" spans="1:69" x14ac:dyDescent="0.25">
      <c r="A215" s="9"/>
      <c r="B215" s="9"/>
      <c r="C215" s="9"/>
      <c r="D215" s="9"/>
      <c r="E215" s="9"/>
      <c r="F215" s="9" t="s">
        <v>409</v>
      </c>
      <c r="G215" s="10" t="s">
        <v>148</v>
      </c>
      <c r="H215" s="9" t="s">
        <v>136</v>
      </c>
      <c r="I215" s="9">
        <v>2</v>
      </c>
      <c r="J215" s="9">
        <v>500</v>
      </c>
      <c r="K215" s="9" t="s">
        <v>357</v>
      </c>
      <c r="L215" s="9" t="s">
        <v>9</v>
      </c>
      <c r="M215" s="9"/>
      <c r="N215" s="9"/>
      <c r="O215" s="10"/>
      <c r="P215" s="13"/>
      <c r="Q215" s="13"/>
      <c r="R215" s="16">
        <v>2</v>
      </c>
      <c r="S215" s="13"/>
      <c r="T215" s="13"/>
      <c r="U215" s="13"/>
      <c r="V215" s="13"/>
      <c r="W215" s="16">
        <v>2</v>
      </c>
      <c r="X215" s="13"/>
      <c r="Y215" s="13"/>
      <c r="Z215" s="13"/>
      <c r="AA215" s="16">
        <v>2</v>
      </c>
      <c r="AB215" s="13"/>
      <c r="AC215" s="13"/>
      <c r="AD215" s="13"/>
      <c r="AE215" s="16">
        <v>2</v>
      </c>
      <c r="AF215" s="13"/>
      <c r="AG215" s="13"/>
      <c r="AH215" s="13"/>
      <c r="AI215" s="16">
        <v>2</v>
      </c>
      <c r="AJ215" s="13"/>
      <c r="AK215" s="13"/>
      <c r="AL215" s="13"/>
      <c r="AM215" s="13"/>
      <c r="AN215" s="16">
        <v>2</v>
      </c>
      <c r="AO215" s="13"/>
      <c r="AP215" s="13"/>
      <c r="AQ215" s="13"/>
      <c r="AR215" s="16">
        <v>2</v>
      </c>
      <c r="AS215" s="13"/>
      <c r="AT215" s="13"/>
      <c r="AU215" s="13"/>
      <c r="AV215" s="13"/>
      <c r="AW215" s="16">
        <v>2</v>
      </c>
      <c r="AX215" s="13"/>
      <c r="AY215" s="13"/>
      <c r="AZ215" s="13"/>
      <c r="BA215" s="16">
        <v>2</v>
      </c>
      <c r="BB215" s="13"/>
      <c r="BC215" s="13"/>
      <c r="BD215" s="13"/>
      <c r="BE215" s="16">
        <v>2</v>
      </c>
      <c r="BF215" s="13"/>
      <c r="BG215" s="13"/>
      <c r="BH215" s="13"/>
      <c r="BI215" s="13"/>
      <c r="BJ215" s="16">
        <v>2</v>
      </c>
      <c r="BK215" s="13"/>
      <c r="BL215" s="13"/>
      <c r="BM215" s="13"/>
      <c r="BN215" s="16">
        <v>2</v>
      </c>
      <c r="BO215" s="13"/>
      <c r="BP215" t="s">
        <v>397</v>
      </c>
      <c r="BQ215" t="s">
        <v>410</v>
      </c>
    </row>
    <row r="216" ht="18" customHeight="1" spans="1:69" x14ac:dyDescent="0.25">
      <c r="A216" s="9"/>
      <c r="B216" s="9"/>
      <c r="C216" s="9"/>
      <c r="D216" s="9"/>
      <c r="E216" s="9"/>
      <c r="F216" s="9"/>
      <c r="G216" s="10"/>
      <c r="H216" s="9" t="s">
        <v>139</v>
      </c>
      <c r="I216" s="9"/>
      <c r="J216" s="9"/>
      <c r="K216" s="9"/>
      <c r="L216" s="9"/>
      <c r="M216" s="9"/>
      <c r="N216" s="9"/>
      <c r="O216" s="10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t="s">
        <v>397</v>
      </c>
      <c r="BQ216" t="s">
        <v>410</v>
      </c>
    </row>
    <row r="217" ht="28" customHeight="1" spans="1:69" x14ac:dyDescent="0.25">
      <c r="A217" s="9"/>
      <c r="B217" s="9"/>
      <c r="C217" s="9"/>
      <c r="D217" s="9"/>
      <c r="E217" s="9"/>
      <c r="F217" s="9" t="s">
        <v>363</v>
      </c>
      <c r="G217" s="10" t="s">
        <v>148</v>
      </c>
      <c r="H217" s="9" t="s">
        <v>136</v>
      </c>
      <c r="I217" s="9">
        <v>2</v>
      </c>
      <c r="J217" s="9">
        <v>500</v>
      </c>
      <c r="K217" s="9" t="s">
        <v>357</v>
      </c>
      <c r="L217" s="9" t="s">
        <v>9</v>
      </c>
      <c r="M217" s="9"/>
      <c r="N217" s="9"/>
      <c r="O217" s="10"/>
      <c r="P217" s="13"/>
      <c r="Q217" s="13"/>
      <c r="R217" s="16">
        <v>2</v>
      </c>
      <c r="S217" s="13"/>
      <c r="T217" s="13"/>
      <c r="U217" s="13"/>
      <c r="V217" s="13"/>
      <c r="W217" s="16">
        <v>2</v>
      </c>
      <c r="X217" s="13"/>
      <c r="Y217" s="13"/>
      <c r="Z217" s="13"/>
      <c r="AA217" s="16">
        <v>2</v>
      </c>
      <c r="AB217" s="13"/>
      <c r="AC217" s="13"/>
      <c r="AD217" s="13"/>
      <c r="AE217" s="16">
        <v>2</v>
      </c>
      <c r="AF217" s="13"/>
      <c r="AG217" s="13"/>
      <c r="AH217" s="13"/>
      <c r="AI217" s="16">
        <v>2</v>
      </c>
      <c r="AJ217" s="13"/>
      <c r="AK217" s="13"/>
      <c r="AL217" s="13"/>
      <c r="AM217" s="13"/>
      <c r="AN217" s="16">
        <v>2</v>
      </c>
      <c r="AO217" s="13"/>
      <c r="AP217" s="13"/>
      <c r="AQ217" s="13"/>
      <c r="AR217" s="16">
        <v>2</v>
      </c>
      <c r="AS217" s="13"/>
      <c r="AT217" s="13"/>
      <c r="AU217" s="13"/>
      <c r="AV217" s="13"/>
      <c r="AW217" s="16">
        <v>2</v>
      </c>
      <c r="AX217" s="13"/>
      <c r="AY217" s="13"/>
      <c r="AZ217" s="13"/>
      <c r="BA217" s="16">
        <v>2</v>
      </c>
      <c r="BB217" s="13"/>
      <c r="BC217" s="13"/>
      <c r="BD217" s="13"/>
      <c r="BE217" s="16">
        <v>2</v>
      </c>
      <c r="BF217" s="13"/>
      <c r="BG217" s="13"/>
      <c r="BH217" s="13"/>
      <c r="BI217" s="13"/>
      <c r="BJ217" s="16">
        <v>2</v>
      </c>
      <c r="BK217" s="13"/>
      <c r="BL217" s="13"/>
      <c r="BM217" s="13"/>
      <c r="BN217" s="16">
        <v>2</v>
      </c>
      <c r="BO217" s="13"/>
      <c r="BP217" t="s">
        <v>397</v>
      </c>
      <c r="BQ217" t="s">
        <v>411</v>
      </c>
    </row>
    <row r="218" ht="18" customHeight="1" spans="1:69" x14ac:dyDescent="0.25">
      <c r="A218" s="9"/>
      <c r="B218" s="9"/>
      <c r="C218" s="9"/>
      <c r="D218" s="9"/>
      <c r="E218" s="9"/>
      <c r="F218" s="9"/>
      <c r="G218" s="10"/>
      <c r="H218" s="9" t="s">
        <v>139</v>
      </c>
      <c r="I218" s="9"/>
      <c r="J218" s="9"/>
      <c r="K218" s="9"/>
      <c r="L218" s="9"/>
      <c r="M218" s="9"/>
      <c r="N218" s="9"/>
      <c r="O218" s="10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t="s">
        <v>397</v>
      </c>
      <c r="BQ218" t="s">
        <v>411</v>
      </c>
    </row>
    <row r="219" ht="28" customHeight="1" spans="1:69" x14ac:dyDescent="0.25">
      <c r="A219" s="9"/>
      <c r="B219" s="9"/>
      <c r="C219" s="9"/>
      <c r="D219" s="9"/>
      <c r="E219" s="9"/>
      <c r="F219" s="9" t="s">
        <v>412</v>
      </c>
      <c r="G219" s="10" t="s">
        <v>180</v>
      </c>
      <c r="H219" s="9" t="s">
        <v>136</v>
      </c>
      <c r="I219" s="9">
        <v>2</v>
      </c>
      <c r="J219" s="9">
        <v>500</v>
      </c>
      <c r="K219" s="9" t="s">
        <v>357</v>
      </c>
      <c r="L219" s="9" t="s">
        <v>9</v>
      </c>
      <c r="M219" s="9"/>
      <c r="N219" s="9"/>
      <c r="O219" s="10"/>
      <c r="P219" s="13"/>
      <c r="Q219" s="13"/>
      <c r="R219" s="16">
        <v>2</v>
      </c>
      <c r="S219" s="13"/>
      <c r="T219" s="13"/>
      <c r="U219" s="13"/>
      <c r="V219" s="13"/>
      <c r="W219" s="16">
        <v>2</v>
      </c>
      <c r="X219" s="13"/>
      <c r="Y219" s="13"/>
      <c r="Z219" s="13"/>
      <c r="AA219" s="16">
        <v>2</v>
      </c>
      <c r="AB219" s="13"/>
      <c r="AC219" s="13"/>
      <c r="AD219" s="13"/>
      <c r="AE219" s="16">
        <v>2</v>
      </c>
      <c r="AF219" s="13"/>
      <c r="AG219" s="13"/>
      <c r="AH219" s="13"/>
      <c r="AI219" s="16">
        <v>2</v>
      </c>
      <c r="AJ219" s="13"/>
      <c r="AK219" s="13"/>
      <c r="AL219" s="13"/>
      <c r="AM219" s="13"/>
      <c r="AN219" s="16">
        <v>2</v>
      </c>
      <c r="AO219" s="13"/>
      <c r="AP219" s="13"/>
      <c r="AQ219" s="13"/>
      <c r="AR219" s="16">
        <v>2</v>
      </c>
      <c r="AS219" s="13"/>
      <c r="AT219" s="13"/>
      <c r="AU219" s="13"/>
      <c r="AV219" s="13"/>
      <c r="AW219" s="16">
        <v>2</v>
      </c>
      <c r="AX219" s="13"/>
      <c r="AY219" s="13"/>
      <c r="AZ219" s="13"/>
      <c r="BA219" s="16">
        <v>2</v>
      </c>
      <c r="BB219" s="13"/>
      <c r="BC219" s="13"/>
      <c r="BD219" s="13"/>
      <c r="BE219" s="16">
        <v>2</v>
      </c>
      <c r="BF219" s="13"/>
      <c r="BG219" s="13"/>
      <c r="BH219" s="13"/>
      <c r="BI219" s="13"/>
      <c r="BJ219" s="16">
        <v>2</v>
      </c>
      <c r="BK219" s="13"/>
      <c r="BL219" s="13"/>
      <c r="BM219" s="13"/>
      <c r="BN219" s="16">
        <v>2</v>
      </c>
      <c r="BO219" s="13"/>
      <c r="BP219" t="s">
        <v>397</v>
      </c>
      <c r="BQ219" t="s">
        <v>413</v>
      </c>
    </row>
    <row r="220" ht="18" customHeight="1" spans="1:69" x14ac:dyDescent="0.25">
      <c r="A220" s="9"/>
      <c r="B220" s="9"/>
      <c r="C220" s="9"/>
      <c r="D220" s="9"/>
      <c r="E220" s="9"/>
      <c r="F220" s="9"/>
      <c r="G220" s="10"/>
      <c r="H220" s="9" t="s">
        <v>139</v>
      </c>
      <c r="I220" s="9"/>
      <c r="J220" s="9"/>
      <c r="K220" s="9"/>
      <c r="L220" s="9"/>
      <c r="M220" s="9"/>
      <c r="N220" s="9"/>
      <c r="O220" s="10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t="s">
        <v>397</v>
      </c>
      <c r="BQ220" t="s">
        <v>413</v>
      </c>
    </row>
    <row r="221" ht="28" customHeight="1" spans="1:69" x14ac:dyDescent="0.25">
      <c r="A221" s="9"/>
      <c r="B221" s="9"/>
      <c r="C221" s="9"/>
      <c r="D221" s="9"/>
      <c r="E221" s="9"/>
      <c r="F221" s="9" t="s">
        <v>384</v>
      </c>
      <c r="G221" s="10" t="s">
        <v>180</v>
      </c>
      <c r="H221" s="9" t="s">
        <v>136</v>
      </c>
      <c r="I221" s="9">
        <v>2</v>
      </c>
      <c r="J221" s="9">
        <v>1000</v>
      </c>
      <c r="K221" s="9" t="s">
        <v>152</v>
      </c>
      <c r="L221" s="9" t="s">
        <v>9</v>
      </c>
      <c r="M221" s="9"/>
      <c r="N221" s="9"/>
      <c r="O221" s="10"/>
      <c r="P221" s="13"/>
      <c r="Q221" s="13"/>
      <c r="R221" s="16">
        <v>2</v>
      </c>
      <c r="S221" s="13"/>
      <c r="T221" s="13"/>
      <c r="U221" s="13"/>
      <c r="V221" s="13"/>
      <c r="W221" s="16">
        <v>2</v>
      </c>
      <c r="X221" s="13"/>
      <c r="Y221" s="13"/>
      <c r="Z221" s="13"/>
      <c r="AA221" s="16">
        <v>2</v>
      </c>
      <c r="AB221" s="13"/>
      <c r="AC221" s="13"/>
      <c r="AD221" s="13"/>
      <c r="AE221" s="16">
        <v>2</v>
      </c>
      <c r="AF221" s="13"/>
      <c r="AG221" s="13"/>
      <c r="AH221" s="13"/>
      <c r="AI221" s="16">
        <v>2</v>
      </c>
      <c r="AJ221" s="13"/>
      <c r="AK221" s="13"/>
      <c r="AL221" s="13"/>
      <c r="AM221" s="13"/>
      <c r="AN221" s="16">
        <v>2</v>
      </c>
      <c r="AO221" s="13"/>
      <c r="AP221" s="13"/>
      <c r="AQ221" s="13"/>
      <c r="AR221" s="16">
        <v>2</v>
      </c>
      <c r="AS221" s="13"/>
      <c r="AT221" s="13"/>
      <c r="AU221" s="13"/>
      <c r="AV221" s="13"/>
      <c r="AW221" s="16">
        <v>2</v>
      </c>
      <c r="AX221" s="13"/>
      <c r="AY221" s="13"/>
      <c r="AZ221" s="13"/>
      <c r="BA221" s="16">
        <v>2</v>
      </c>
      <c r="BB221" s="13"/>
      <c r="BC221" s="13"/>
      <c r="BD221" s="13"/>
      <c r="BE221" s="16">
        <v>2</v>
      </c>
      <c r="BF221" s="13"/>
      <c r="BG221" s="13"/>
      <c r="BH221" s="13"/>
      <c r="BI221" s="13"/>
      <c r="BJ221" s="16">
        <v>2</v>
      </c>
      <c r="BK221" s="13"/>
      <c r="BL221" s="13"/>
      <c r="BM221" s="13"/>
      <c r="BN221" s="16">
        <v>2</v>
      </c>
      <c r="BO221" s="13"/>
      <c r="BP221" t="s">
        <v>397</v>
      </c>
      <c r="BQ221" t="s">
        <v>414</v>
      </c>
    </row>
    <row r="222" ht="18" customHeight="1" spans="1:69" x14ac:dyDescent="0.25">
      <c r="A222" s="9"/>
      <c r="B222" s="9"/>
      <c r="C222" s="9"/>
      <c r="D222" s="9"/>
      <c r="E222" s="9"/>
      <c r="F222" s="9"/>
      <c r="G222" s="10"/>
      <c r="H222" s="9" t="s">
        <v>139</v>
      </c>
      <c r="I222" s="9"/>
      <c r="J222" s="9"/>
      <c r="K222" s="9"/>
      <c r="L222" s="9"/>
      <c r="M222" s="9"/>
      <c r="N222" s="9"/>
      <c r="O222" s="10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t="s">
        <v>397</v>
      </c>
      <c r="BQ222" t="s">
        <v>414</v>
      </c>
    </row>
    <row r="223" ht="28" customHeight="1" spans="1:69" x14ac:dyDescent="0.25">
      <c r="A223" s="9"/>
      <c r="B223" s="9"/>
      <c r="C223" s="9"/>
      <c r="D223" s="9"/>
      <c r="E223" s="9"/>
      <c r="F223" s="9" t="s">
        <v>415</v>
      </c>
      <c r="G223" s="10" t="s">
        <v>180</v>
      </c>
      <c r="H223" s="9" t="s">
        <v>136</v>
      </c>
      <c r="I223" s="9">
        <v>2</v>
      </c>
      <c r="J223" s="9">
        <v>500</v>
      </c>
      <c r="K223" s="9" t="s">
        <v>357</v>
      </c>
      <c r="L223" s="9" t="s">
        <v>9</v>
      </c>
      <c r="M223" s="9"/>
      <c r="N223" s="9"/>
      <c r="O223" s="10"/>
      <c r="P223" s="13"/>
      <c r="Q223" s="13"/>
      <c r="R223" s="16">
        <v>2</v>
      </c>
      <c r="S223" s="13"/>
      <c r="T223" s="13"/>
      <c r="U223" s="13"/>
      <c r="V223" s="13"/>
      <c r="W223" s="16">
        <v>2</v>
      </c>
      <c r="X223" s="13"/>
      <c r="Y223" s="13"/>
      <c r="Z223" s="13"/>
      <c r="AA223" s="16">
        <v>2</v>
      </c>
      <c r="AB223" s="13"/>
      <c r="AC223" s="13"/>
      <c r="AD223" s="13"/>
      <c r="AE223" s="16">
        <v>2</v>
      </c>
      <c r="AF223" s="13"/>
      <c r="AG223" s="13"/>
      <c r="AH223" s="13"/>
      <c r="AI223" s="16">
        <v>2</v>
      </c>
      <c r="AJ223" s="13"/>
      <c r="AK223" s="13"/>
      <c r="AL223" s="13"/>
      <c r="AM223" s="13"/>
      <c r="AN223" s="16">
        <v>2</v>
      </c>
      <c r="AO223" s="13"/>
      <c r="AP223" s="13"/>
      <c r="AQ223" s="13"/>
      <c r="AR223" s="16">
        <v>2</v>
      </c>
      <c r="AS223" s="13"/>
      <c r="AT223" s="13"/>
      <c r="AU223" s="13"/>
      <c r="AV223" s="13"/>
      <c r="AW223" s="16">
        <v>2</v>
      </c>
      <c r="AX223" s="13"/>
      <c r="AY223" s="13"/>
      <c r="AZ223" s="13"/>
      <c r="BA223" s="16">
        <v>2</v>
      </c>
      <c r="BB223" s="13"/>
      <c r="BC223" s="13"/>
      <c r="BD223" s="13"/>
      <c r="BE223" s="16">
        <v>2</v>
      </c>
      <c r="BF223" s="13"/>
      <c r="BG223" s="13"/>
      <c r="BH223" s="13"/>
      <c r="BI223" s="13"/>
      <c r="BJ223" s="16">
        <v>2</v>
      </c>
      <c r="BK223" s="13"/>
      <c r="BL223" s="13"/>
      <c r="BM223" s="13"/>
      <c r="BN223" s="16">
        <v>2</v>
      </c>
      <c r="BO223" s="13"/>
      <c r="BP223" t="s">
        <v>397</v>
      </c>
      <c r="BQ223" t="s">
        <v>416</v>
      </c>
    </row>
    <row r="224" ht="18" customHeight="1" spans="1:69" x14ac:dyDescent="0.25">
      <c r="A224" s="9"/>
      <c r="B224" s="9"/>
      <c r="C224" s="9"/>
      <c r="D224" s="9"/>
      <c r="E224" s="9"/>
      <c r="F224" s="9"/>
      <c r="G224" s="10"/>
      <c r="H224" s="9" t="s">
        <v>139</v>
      </c>
      <c r="I224" s="9"/>
      <c r="J224" s="9"/>
      <c r="K224" s="9"/>
      <c r="L224" s="9"/>
      <c r="M224" s="9"/>
      <c r="N224" s="9"/>
      <c r="O224" s="10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t="s">
        <v>397</v>
      </c>
      <c r="BQ224" t="s">
        <v>416</v>
      </c>
    </row>
    <row r="225" ht="28" customHeight="1" spans="1:69" x14ac:dyDescent="0.25">
      <c r="A225" s="9"/>
      <c r="B225" s="9"/>
      <c r="C225" s="9"/>
      <c r="D225" s="9"/>
      <c r="E225" s="9"/>
      <c r="F225" s="9" t="s">
        <v>386</v>
      </c>
      <c r="G225" s="10" t="s">
        <v>417</v>
      </c>
      <c r="H225" s="9" t="s">
        <v>136</v>
      </c>
      <c r="I225" s="9">
        <v>1</v>
      </c>
      <c r="J225" s="9">
        <v>1</v>
      </c>
      <c r="K225" s="9" t="s">
        <v>4</v>
      </c>
      <c r="L225" s="9" t="s">
        <v>137</v>
      </c>
      <c r="M225" s="9"/>
      <c r="N225" s="9"/>
      <c r="O225" s="10"/>
      <c r="P225" s="11">
        <v>1</v>
      </c>
      <c r="Q225" s="11">
        <v>1</v>
      </c>
      <c r="R225" s="11">
        <v>1</v>
      </c>
      <c r="S225" s="11">
        <v>1</v>
      </c>
      <c r="T225" s="11">
        <v>1</v>
      </c>
      <c r="U225" s="11">
        <v>1</v>
      </c>
      <c r="V225" s="11">
        <v>1</v>
      </c>
      <c r="W225" s="11">
        <v>1</v>
      </c>
      <c r="X225" s="11">
        <v>1</v>
      </c>
      <c r="Y225" s="11">
        <v>1</v>
      </c>
      <c r="Z225" s="11">
        <v>1</v>
      </c>
      <c r="AA225" s="11">
        <v>1</v>
      </c>
      <c r="AB225" s="11">
        <v>1</v>
      </c>
      <c r="AC225" s="11">
        <v>1</v>
      </c>
      <c r="AD225" s="11">
        <v>1</v>
      </c>
      <c r="AE225" s="11">
        <v>1</v>
      </c>
      <c r="AF225" s="11">
        <v>1</v>
      </c>
      <c r="AG225" s="11">
        <v>1</v>
      </c>
      <c r="AH225" s="11">
        <v>1</v>
      </c>
      <c r="AI225" s="11">
        <v>1</v>
      </c>
      <c r="AJ225" s="11">
        <v>1</v>
      </c>
      <c r="AK225" s="11">
        <v>1</v>
      </c>
      <c r="AL225" s="11">
        <v>1</v>
      </c>
      <c r="AM225" s="11">
        <v>1</v>
      </c>
      <c r="AN225" s="11">
        <v>1</v>
      </c>
      <c r="AO225" s="11">
        <v>1</v>
      </c>
      <c r="AP225" s="11">
        <v>1</v>
      </c>
      <c r="AQ225" s="11">
        <v>1</v>
      </c>
      <c r="AR225" s="11">
        <v>1</v>
      </c>
      <c r="AS225" s="11">
        <v>1</v>
      </c>
      <c r="AT225" s="11">
        <v>1</v>
      </c>
      <c r="AU225" s="11">
        <v>1</v>
      </c>
      <c r="AV225" s="11">
        <v>1</v>
      </c>
      <c r="AW225" s="11">
        <v>1</v>
      </c>
      <c r="AX225" s="11">
        <v>1</v>
      </c>
      <c r="AY225" s="11">
        <v>1</v>
      </c>
      <c r="AZ225" s="11">
        <v>1</v>
      </c>
      <c r="BA225" s="11">
        <v>1</v>
      </c>
      <c r="BB225" s="11">
        <v>1</v>
      </c>
      <c r="BC225" s="11">
        <v>1</v>
      </c>
      <c r="BD225" s="11">
        <v>1</v>
      </c>
      <c r="BE225" s="11">
        <v>1</v>
      </c>
      <c r="BF225" s="11">
        <v>1</v>
      </c>
      <c r="BG225" s="11">
        <v>1</v>
      </c>
      <c r="BH225" s="11">
        <v>1</v>
      </c>
      <c r="BI225" s="11">
        <v>1</v>
      </c>
      <c r="BJ225" s="11">
        <v>1</v>
      </c>
      <c r="BK225" s="11">
        <v>1</v>
      </c>
      <c r="BL225" s="11">
        <v>1</v>
      </c>
      <c r="BM225" s="11">
        <v>1</v>
      </c>
      <c r="BN225" s="11">
        <v>1</v>
      </c>
      <c r="BO225" s="11">
        <v>1</v>
      </c>
      <c r="BP225" t="s">
        <v>397</v>
      </c>
      <c r="BQ225" t="s">
        <v>418</v>
      </c>
    </row>
    <row r="226" ht="18" customHeight="1" spans="1:69" x14ac:dyDescent="0.25">
      <c r="A226" s="9"/>
      <c r="B226" s="9"/>
      <c r="C226" s="9"/>
      <c r="D226" s="9"/>
      <c r="E226" s="9"/>
      <c r="F226" s="9"/>
      <c r="G226" s="10"/>
      <c r="H226" s="9" t="s">
        <v>139</v>
      </c>
      <c r="I226" s="9"/>
      <c r="J226" s="9"/>
      <c r="K226" s="9"/>
      <c r="L226" s="9"/>
      <c r="M226" s="9"/>
      <c r="N226" s="9"/>
      <c r="O226" s="10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t="s">
        <v>397</v>
      </c>
      <c r="BQ226" t="s">
        <v>418</v>
      </c>
    </row>
    <row r="227" ht="28" customHeight="1" spans="1:69" x14ac:dyDescent="0.25">
      <c r="A227" s="9"/>
      <c r="B227" s="9"/>
      <c r="C227" s="9"/>
      <c r="D227" s="9"/>
      <c r="E227" s="9"/>
      <c r="F227" s="9" t="s">
        <v>386</v>
      </c>
      <c r="G227" s="10" t="s">
        <v>419</v>
      </c>
      <c r="H227" s="9" t="s">
        <v>136</v>
      </c>
      <c r="I227" s="9">
        <v>1</v>
      </c>
      <c r="J227" s="9">
        <v>1</v>
      </c>
      <c r="K227" s="9" t="s">
        <v>4</v>
      </c>
      <c r="L227" s="9" t="s">
        <v>137</v>
      </c>
      <c r="M227" s="9"/>
      <c r="N227" s="9"/>
      <c r="O227" s="10"/>
      <c r="P227" s="11">
        <v>1</v>
      </c>
      <c r="Q227" s="11">
        <v>1</v>
      </c>
      <c r="R227" s="11">
        <v>1</v>
      </c>
      <c r="S227" s="11">
        <v>1</v>
      </c>
      <c r="T227" s="11">
        <v>1</v>
      </c>
      <c r="U227" s="11">
        <v>1</v>
      </c>
      <c r="V227" s="11">
        <v>1</v>
      </c>
      <c r="W227" s="11">
        <v>1</v>
      </c>
      <c r="X227" s="11">
        <v>1</v>
      </c>
      <c r="Y227" s="11">
        <v>1</v>
      </c>
      <c r="Z227" s="11">
        <v>1</v>
      </c>
      <c r="AA227" s="11">
        <v>1</v>
      </c>
      <c r="AB227" s="11">
        <v>1</v>
      </c>
      <c r="AC227" s="11">
        <v>1</v>
      </c>
      <c r="AD227" s="11">
        <v>1</v>
      </c>
      <c r="AE227" s="11">
        <v>1</v>
      </c>
      <c r="AF227" s="11">
        <v>1</v>
      </c>
      <c r="AG227" s="11">
        <v>1</v>
      </c>
      <c r="AH227" s="11">
        <v>1</v>
      </c>
      <c r="AI227" s="11">
        <v>1</v>
      </c>
      <c r="AJ227" s="11">
        <v>1</v>
      </c>
      <c r="AK227" s="11">
        <v>1</v>
      </c>
      <c r="AL227" s="11">
        <v>1</v>
      </c>
      <c r="AM227" s="11">
        <v>1</v>
      </c>
      <c r="AN227" s="11">
        <v>1</v>
      </c>
      <c r="AO227" s="11">
        <v>1</v>
      </c>
      <c r="AP227" s="11">
        <v>1</v>
      </c>
      <c r="AQ227" s="11">
        <v>1</v>
      </c>
      <c r="AR227" s="11">
        <v>1</v>
      </c>
      <c r="AS227" s="11">
        <v>1</v>
      </c>
      <c r="AT227" s="11">
        <v>1</v>
      </c>
      <c r="AU227" s="11">
        <v>1</v>
      </c>
      <c r="AV227" s="11">
        <v>1</v>
      </c>
      <c r="AW227" s="11">
        <v>1</v>
      </c>
      <c r="AX227" s="11">
        <v>1</v>
      </c>
      <c r="AY227" s="11">
        <v>1</v>
      </c>
      <c r="AZ227" s="11">
        <v>1</v>
      </c>
      <c r="BA227" s="11">
        <v>1</v>
      </c>
      <c r="BB227" s="11">
        <v>1</v>
      </c>
      <c r="BC227" s="11">
        <v>1</v>
      </c>
      <c r="BD227" s="11">
        <v>1</v>
      </c>
      <c r="BE227" s="11">
        <v>1</v>
      </c>
      <c r="BF227" s="11">
        <v>1</v>
      </c>
      <c r="BG227" s="11">
        <v>1</v>
      </c>
      <c r="BH227" s="11">
        <v>1</v>
      </c>
      <c r="BI227" s="11">
        <v>1</v>
      </c>
      <c r="BJ227" s="11">
        <v>1</v>
      </c>
      <c r="BK227" s="11">
        <v>1</v>
      </c>
      <c r="BL227" s="11">
        <v>1</v>
      </c>
      <c r="BM227" s="11">
        <v>1</v>
      </c>
      <c r="BN227" s="11">
        <v>1</v>
      </c>
      <c r="BO227" s="11">
        <v>1</v>
      </c>
      <c r="BP227" t="s">
        <v>397</v>
      </c>
      <c r="BQ227" t="s">
        <v>420</v>
      </c>
    </row>
    <row r="228" ht="18" customHeight="1" spans="1:69" x14ac:dyDescent="0.25">
      <c r="A228" s="9"/>
      <c r="B228" s="9"/>
      <c r="C228" s="9"/>
      <c r="D228" s="9"/>
      <c r="E228" s="9"/>
      <c r="F228" s="9"/>
      <c r="G228" s="10"/>
      <c r="H228" s="9" t="s">
        <v>139</v>
      </c>
      <c r="I228" s="9"/>
      <c r="J228" s="9"/>
      <c r="K228" s="9"/>
      <c r="L228" s="9"/>
      <c r="M228" s="9"/>
      <c r="N228" s="9"/>
      <c r="O228" s="10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t="s">
        <v>397</v>
      </c>
      <c r="BQ228" t="s">
        <v>420</v>
      </c>
    </row>
    <row r="229" ht="28" customHeight="1" spans="1:69" x14ac:dyDescent="0.25">
      <c r="A229" s="9"/>
      <c r="B229" s="9"/>
      <c r="C229" s="9"/>
      <c r="D229" s="9"/>
      <c r="E229" s="9"/>
      <c r="F229" s="9" t="s">
        <v>421</v>
      </c>
      <c r="G229" s="10" t="s">
        <v>422</v>
      </c>
      <c r="H229" s="9" t="s">
        <v>136</v>
      </c>
      <c r="I229" s="9">
        <v>1</v>
      </c>
      <c r="J229" s="9">
        <v>1</v>
      </c>
      <c r="K229" s="9" t="s">
        <v>4</v>
      </c>
      <c r="L229" s="9" t="s">
        <v>137</v>
      </c>
      <c r="M229" s="9"/>
      <c r="N229" s="9"/>
      <c r="O229" s="10"/>
      <c r="P229" s="11">
        <v>1</v>
      </c>
      <c r="Q229" s="11">
        <v>1</v>
      </c>
      <c r="R229" s="11">
        <v>1</v>
      </c>
      <c r="S229" s="11">
        <v>1</v>
      </c>
      <c r="T229" s="11">
        <v>1</v>
      </c>
      <c r="U229" s="11">
        <v>1</v>
      </c>
      <c r="V229" s="11">
        <v>1</v>
      </c>
      <c r="W229" s="11">
        <v>1</v>
      </c>
      <c r="X229" s="11">
        <v>1</v>
      </c>
      <c r="Y229" s="11">
        <v>1</v>
      </c>
      <c r="Z229" s="11">
        <v>1</v>
      </c>
      <c r="AA229" s="11">
        <v>1</v>
      </c>
      <c r="AB229" s="11">
        <v>1</v>
      </c>
      <c r="AC229" s="11">
        <v>1</v>
      </c>
      <c r="AD229" s="11">
        <v>1</v>
      </c>
      <c r="AE229" s="11">
        <v>1</v>
      </c>
      <c r="AF229" s="11">
        <v>1</v>
      </c>
      <c r="AG229" s="11">
        <v>1</v>
      </c>
      <c r="AH229" s="11">
        <v>1</v>
      </c>
      <c r="AI229" s="11">
        <v>1</v>
      </c>
      <c r="AJ229" s="11">
        <v>1</v>
      </c>
      <c r="AK229" s="11">
        <v>1</v>
      </c>
      <c r="AL229" s="11">
        <v>1</v>
      </c>
      <c r="AM229" s="11">
        <v>1</v>
      </c>
      <c r="AN229" s="11">
        <v>1</v>
      </c>
      <c r="AO229" s="11">
        <v>1</v>
      </c>
      <c r="AP229" s="11">
        <v>1</v>
      </c>
      <c r="AQ229" s="11">
        <v>1</v>
      </c>
      <c r="AR229" s="11">
        <v>1</v>
      </c>
      <c r="AS229" s="11">
        <v>1</v>
      </c>
      <c r="AT229" s="11">
        <v>1</v>
      </c>
      <c r="AU229" s="11">
        <v>1</v>
      </c>
      <c r="AV229" s="11">
        <v>1</v>
      </c>
      <c r="AW229" s="11">
        <v>1</v>
      </c>
      <c r="AX229" s="11">
        <v>1</v>
      </c>
      <c r="AY229" s="11">
        <v>1</v>
      </c>
      <c r="AZ229" s="11">
        <v>1</v>
      </c>
      <c r="BA229" s="11">
        <v>1</v>
      </c>
      <c r="BB229" s="11">
        <v>1</v>
      </c>
      <c r="BC229" s="11">
        <v>1</v>
      </c>
      <c r="BD229" s="11">
        <v>1</v>
      </c>
      <c r="BE229" s="11">
        <v>1</v>
      </c>
      <c r="BF229" s="11">
        <v>1</v>
      </c>
      <c r="BG229" s="11">
        <v>1</v>
      </c>
      <c r="BH229" s="11">
        <v>1</v>
      </c>
      <c r="BI229" s="11">
        <v>1</v>
      </c>
      <c r="BJ229" s="11">
        <v>1</v>
      </c>
      <c r="BK229" s="11">
        <v>1</v>
      </c>
      <c r="BL229" s="11">
        <v>1</v>
      </c>
      <c r="BM229" s="11">
        <v>1</v>
      </c>
      <c r="BN229" s="11">
        <v>1</v>
      </c>
      <c r="BO229" s="11">
        <v>1</v>
      </c>
      <c r="BP229" t="s">
        <v>397</v>
      </c>
      <c r="BQ229" t="s">
        <v>423</v>
      </c>
    </row>
    <row r="230" ht="18" customHeight="1" spans="1:69" x14ac:dyDescent="0.25">
      <c r="A230" s="9"/>
      <c r="B230" s="9"/>
      <c r="C230" s="9"/>
      <c r="D230" s="9"/>
      <c r="E230" s="9"/>
      <c r="F230" s="9"/>
      <c r="G230" s="10"/>
      <c r="H230" s="9" t="s">
        <v>139</v>
      </c>
      <c r="I230" s="9"/>
      <c r="J230" s="9"/>
      <c r="K230" s="9"/>
      <c r="L230" s="9"/>
      <c r="M230" s="9"/>
      <c r="N230" s="9"/>
      <c r="O230" s="10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t="s">
        <v>397</v>
      </c>
      <c r="BQ230" t="s">
        <v>423</v>
      </c>
    </row>
    <row r="231" ht="28" customHeight="1" spans="1:69" x14ac:dyDescent="0.25">
      <c r="A231" s="9"/>
      <c r="B231" s="9" t="s">
        <v>424</v>
      </c>
      <c r="C231" s="9" t="s">
        <v>425</v>
      </c>
      <c r="D231" s="9" t="s">
        <v>426</v>
      </c>
      <c r="E231" s="9" t="s">
        <v>427</v>
      </c>
      <c r="F231" s="9" t="s">
        <v>428</v>
      </c>
      <c r="G231" s="10" t="s">
        <v>429</v>
      </c>
      <c r="H231" s="9" t="s">
        <v>136</v>
      </c>
      <c r="I231" s="9">
        <v>2</v>
      </c>
      <c r="J231" s="9">
        <v>1</v>
      </c>
      <c r="K231" s="9" t="s">
        <v>5</v>
      </c>
      <c r="L231" s="9" t="s">
        <v>137</v>
      </c>
      <c r="M231" s="9"/>
      <c r="N231" s="9"/>
      <c r="O231" s="10"/>
      <c r="P231" s="13"/>
      <c r="Q231" s="13"/>
      <c r="R231" s="16">
        <v>2</v>
      </c>
      <c r="S231" s="13"/>
      <c r="T231" s="13"/>
      <c r="U231" s="13"/>
      <c r="V231" s="13"/>
      <c r="W231" s="16">
        <v>2</v>
      </c>
      <c r="X231" s="13"/>
      <c r="Y231" s="13"/>
      <c r="Z231" s="13"/>
      <c r="AA231" s="16">
        <v>2</v>
      </c>
      <c r="AB231" s="13"/>
      <c r="AC231" s="13"/>
      <c r="AD231" s="13"/>
      <c r="AE231" s="16">
        <v>2</v>
      </c>
      <c r="AF231" s="13"/>
      <c r="AG231" s="13"/>
      <c r="AH231" s="13"/>
      <c r="AI231" s="16">
        <v>2</v>
      </c>
      <c r="AJ231" s="13"/>
      <c r="AK231" s="13"/>
      <c r="AL231" s="13"/>
      <c r="AM231" s="13"/>
      <c r="AN231" s="16">
        <v>2</v>
      </c>
      <c r="AO231" s="13"/>
      <c r="AP231" s="13"/>
      <c r="AQ231" s="13"/>
      <c r="AR231" s="16">
        <v>2</v>
      </c>
      <c r="AS231" s="13"/>
      <c r="AT231" s="13"/>
      <c r="AU231" s="13"/>
      <c r="AV231" s="13"/>
      <c r="AW231" s="16">
        <v>2</v>
      </c>
      <c r="AX231" s="13"/>
      <c r="AY231" s="13"/>
      <c r="AZ231" s="13"/>
      <c r="BA231" s="16">
        <v>2</v>
      </c>
      <c r="BB231" s="13"/>
      <c r="BC231" s="13"/>
      <c r="BD231" s="13"/>
      <c r="BE231" s="16">
        <v>2</v>
      </c>
      <c r="BF231" s="13"/>
      <c r="BG231" s="13"/>
      <c r="BH231" s="13"/>
      <c r="BI231" s="13"/>
      <c r="BJ231" s="16">
        <v>2</v>
      </c>
      <c r="BK231" s="13"/>
      <c r="BL231" s="13"/>
      <c r="BM231" s="13"/>
      <c r="BN231" s="16">
        <v>2</v>
      </c>
      <c r="BO231" s="13"/>
      <c r="BP231" t="s">
        <v>424</v>
      </c>
      <c r="BQ231" t="s">
        <v>430</v>
      </c>
    </row>
    <row r="232" ht="18" customHeight="1" spans="1:69" x14ac:dyDescent="0.25">
      <c r="A232" s="9"/>
      <c r="B232" s="9"/>
      <c r="C232" s="9"/>
      <c r="D232" s="9"/>
      <c r="E232" s="9"/>
      <c r="F232" s="9"/>
      <c r="G232" s="10"/>
      <c r="H232" s="9" t="s">
        <v>139</v>
      </c>
      <c r="I232" s="9"/>
      <c r="J232" s="9"/>
      <c r="K232" s="9"/>
      <c r="L232" s="9"/>
      <c r="M232" s="9"/>
      <c r="N232" s="9"/>
      <c r="O232" s="10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t="s">
        <v>424</v>
      </c>
      <c r="BQ232" t="s">
        <v>430</v>
      </c>
    </row>
    <row r="233" ht="28" customHeight="1" spans="1:69" x14ac:dyDescent="0.25">
      <c r="A233" s="9"/>
      <c r="B233" s="9"/>
      <c r="C233" s="9"/>
      <c r="D233" s="9"/>
      <c r="E233" s="9"/>
      <c r="F233" s="9" t="s">
        <v>431</v>
      </c>
      <c r="G233" s="10" t="s">
        <v>432</v>
      </c>
      <c r="H233" s="9" t="s">
        <v>136</v>
      </c>
      <c r="I233" s="9">
        <v>1</v>
      </c>
      <c r="J233" s="9">
        <v>1</v>
      </c>
      <c r="K233" s="9" t="s">
        <v>4</v>
      </c>
      <c r="L233" s="9" t="s">
        <v>137</v>
      </c>
      <c r="M233" s="9"/>
      <c r="N233" s="9"/>
      <c r="O233" s="10"/>
      <c r="P233" s="11">
        <v>1</v>
      </c>
      <c r="Q233" s="11">
        <v>1</v>
      </c>
      <c r="R233" s="11">
        <v>1</v>
      </c>
      <c r="S233" s="11">
        <v>1</v>
      </c>
      <c r="T233" s="11">
        <v>1</v>
      </c>
      <c r="U233" s="11">
        <v>1</v>
      </c>
      <c r="V233" s="11">
        <v>1</v>
      </c>
      <c r="W233" s="11">
        <v>1</v>
      </c>
      <c r="X233" s="11">
        <v>1</v>
      </c>
      <c r="Y233" s="11">
        <v>1</v>
      </c>
      <c r="Z233" s="11">
        <v>1</v>
      </c>
      <c r="AA233" s="11">
        <v>1</v>
      </c>
      <c r="AB233" s="11">
        <v>1</v>
      </c>
      <c r="AC233" s="11">
        <v>1</v>
      </c>
      <c r="AD233" s="11">
        <v>1</v>
      </c>
      <c r="AE233" s="11">
        <v>1</v>
      </c>
      <c r="AF233" s="11">
        <v>1</v>
      </c>
      <c r="AG233" s="11">
        <v>1</v>
      </c>
      <c r="AH233" s="11">
        <v>1</v>
      </c>
      <c r="AI233" s="11">
        <v>1</v>
      </c>
      <c r="AJ233" s="11">
        <v>1</v>
      </c>
      <c r="AK233" s="11">
        <v>1</v>
      </c>
      <c r="AL233" s="11">
        <v>1</v>
      </c>
      <c r="AM233" s="11">
        <v>1</v>
      </c>
      <c r="AN233" s="11">
        <v>1</v>
      </c>
      <c r="AO233" s="11">
        <v>1</v>
      </c>
      <c r="AP233" s="11">
        <v>1</v>
      </c>
      <c r="AQ233" s="11">
        <v>1</v>
      </c>
      <c r="AR233" s="11">
        <v>1</v>
      </c>
      <c r="AS233" s="11">
        <v>1</v>
      </c>
      <c r="AT233" s="11">
        <v>1</v>
      </c>
      <c r="AU233" s="11">
        <v>1</v>
      </c>
      <c r="AV233" s="11">
        <v>1</v>
      </c>
      <c r="AW233" s="11">
        <v>1</v>
      </c>
      <c r="AX233" s="11">
        <v>1</v>
      </c>
      <c r="AY233" s="11">
        <v>1</v>
      </c>
      <c r="AZ233" s="11">
        <v>1</v>
      </c>
      <c r="BA233" s="11">
        <v>1</v>
      </c>
      <c r="BB233" s="11">
        <v>1</v>
      </c>
      <c r="BC233" s="11">
        <v>1</v>
      </c>
      <c r="BD233" s="11">
        <v>1</v>
      </c>
      <c r="BE233" s="11">
        <v>1</v>
      </c>
      <c r="BF233" s="11">
        <v>1</v>
      </c>
      <c r="BG233" s="11">
        <v>1</v>
      </c>
      <c r="BH233" s="11">
        <v>1</v>
      </c>
      <c r="BI233" s="11">
        <v>1</v>
      </c>
      <c r="BJ233" s="11">
        <v>1</v>
      </c>
      <c r="BK233" s="11">
        <v>1</v>
      </c>
      <c r="BL233" s="11">
        <v>1</v>
      </c>
      <c r="BM233" s="11">
        <v>1</v>
      </c>
      <c r="BN233" s="11">
        <v>1</v>
      </c>
      <c r="BO233" s="11">
        <v>1</v>
      </c>
      <c r="BP233" t="s">
        <v>424</v>
      </c>
      <c r="BQ233" t="s">
        <v>433</v>
      </c>
    </row>
    <row r="234" ht="18" customHeight="1" spans="1:69" x14ac:dyDescent="0.25">
      <c r="A234" s="9"/>
      <c r="B234" s="9"/>
      <c r="C234" s="9"/>
      <c r="D234" s="9"/>
      <c r="E234" s="9"/>
      <c r="F234" s="9"/>
      <c r="G234" s="10"/>
      <c r="H234" s="9" t="s">
        <v>139</v>
      </c>
      <c r="I234" s="9"/>
      <c r="J234" s="9"/>
      <c r="K234" s="9"/>
      <c r="L234" s="9"/>
      <c r="M234" s="9"/>
      <c r="N234" s="9"/>
      <c r="O234" s="10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t="s">
        <v>424</v>
      </c>
      <c r="BQ234" t="s">
        <v>433</v>
      </c>
    </row>
    <row r="235" ht="28" customHeight="1" spans="1:69" x14ac:dyDescent="0.25">
      <c r="A235" s="9"/>
      <c r="B235" s="9" t="s">
        <v>434</v>
      </c>
      <c r="C235" s="9" t="s">
        <v>435</v>
      </c>
      <c r="D235" s="9" t="s">
        <v>436</v>
      </c>
      <c r="E235" s="9" t="s">
        <v>295</v>
      </c>
      <c r="F235" s="9" t="s">
        <v>134</v>
      </c>
      <c r="G235" s="10" t="s">
        <v>296</v>
      </c>
      <c r="H235" s="9" t="s">
        <v>136</v>
      </c>
      <c r="I235" s="9">
        <v>1</v>
      </c>
      <c r="J235" s="9">
        <v>1</v>
      </c>
      <c r="K235" s="9" t="s">
        <v>4</v>
      </c>
      <c r="L235" s="9" t="s">
        <v>137</v>
      </c>
      <c r="M235" s="9"/>
      <c r="N235" s="9"/>
      <c r="O235" s="10"/>
      <c r="P235" s="11">
        <v>1</v>
      </c>
      <c r="Q235" s="11">
        <v>1</v>
      </c>
      <c r="R235" s="11">
        <v>1</v>
      </c>
      <c r="S235" s="11">
        <v>1</v>
      </c>
      <c r="T235" s="11">
        <v>1</v>
      </c>
      <c r="U235" s="11">
        <v>1</v>
      </c>
      <c r="V235" s="11">
        <v>1</v>
      </c>
      <c r="W235" s="11">
        <v>1</v>
      </c>
      <c r="X235" s="11">
        <v>1</v>
      </c>
      <c r="Y235" s="11">
        <v>1</v>
      </c>
      <c r="Z235" s="11">
        <v>1</v>
      </c>
      <c r="AA235" s="11">
        <v>1</v>
      </c>
      <c r="AB235" s="11">
        <v>1</v>
      </c>
      <c r="AC235" s="11">
        <v>1</v>
      </c>
      <c r="AD235" s="11">
        <v>1</v>
      </c>
      <c r="AE235" s="11">
        <v>1</v>
      </c>
      <c r="AF235" s="11">
        <v>1</v>
      </c>
      <c r="AG235" s="11">
        <v>1</v>
      </c>
      <c r="AH235" s="11">
        <v>1</v>
      </c>
      <c r="AI235" s="11">
        <v>1</v>
      </c>
      <c r="AJ235" s="11">
        <v>1</v>
      </c>
      <c r="AK235" s="11">
        <v>1</v>
      </c>
      <c r="AL235" s="11">
        <v>1</v>
      </c>
      <c r="AM235" s="11">
        <v>1</v>
      </c>
      <c r="AN235" s="11">
        <v>1</v>
      </c>
      <c r="AO235" s="11">
        <v>1</v>
      </c>
      <c r="AP235" s="11">
        <v>1</v>
      </c>
      <c r="AQ235" s="11">
        <v>1</v>
      </c>
      <c r="AR235" s="11">
        <v>1</v>
      </c>
      <c r="AS235" s="11">
        <v>1</v>
      </c>
      <c r="AT235" s="11">
        <v>1</v>
      </c>
      <c r="AU235" s="11">
        <v>1</v>
      </c>
      <c r="AV235" s="11">
        <v>1</v>
      </c>
      <c r="AW235" s="11">
        <v>1</v>
      </c>
      <c r="AX235" s="11">
        <v>1</v>
      </c>
      <c r="AY235" s="11">
        <v>1</v>
      </c>
      <c r="AZ235" s="11">
        <v>1</v>
      </c>
      <c r="BA235" s="11">
        <v>1</v>
      </c>
      <c r="BB235" s="11">
        <v>1</v>
      </c>
      <c r="BC235" s="11">
        <v>1</v>
      </c>
      <c r="BD235" s="11">
        <v>1</v>
      </c>
      <c r="BE235" s="11">
        <v>1</v>
      </c>
      <c r="BF235" s="11">
        <v>1</v>
      </c>
      <c r="BG235" s="11">
        <v>1</v>
      </c>
      <c r="BH235" s="11">
        <v>1</v>
      </c>
      <c r="BI235" s="11">
        <v>1</v>
      </c>
      <c r="BJ235" s="11">
        <v>1</v>
      </c>
      <c r="BK235" s="11">
        <v>1</v>
      </c>
      <c r="BL235" s="11">
        <v>1</v>
      </c>
      <c r="BM235" s="11">
        <v>1</v>
      </c>
      <c r="BN235" s="11">
        <v>1</v>
      </c>
      <c r="BO235" s="11">
        <v>1</v>
      </c>
      <c r="BP235" t="s">
        <v>434</v>
      </c>
      <c r="BQ235" t="s">
        <v>437</v>
      </c>
    </row>
    <row r="236" ht="18" customHeight="1" spans="1:69" x14ac:dyDescent="0.25">
      <c r="A236" s="9"/>
      <c r="B236" s="9"/>
      <c r="C236" s="9"/>
      <c r="D236" s="9"/>
      <c r="E236" s="9"/>
      <c r="F236" s="9"/>
      <c r="G236" s="10"/>
      <c r="H236" s="9" t="s">
        <v>139</v>
      </c>
      <c r="I236" s="9"/>
      <c r="J236" s="9"/>
      <c r="K236" s="9"/>
      <c r="L236" s="9"/>
      <c r="M236" s="9"/>
      <c r="N236" s="9"/>
      <c r="O236" s="10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t="s">
        <v>434</v>
      </c>
      <c r="BQ236" t="s">
        <v>437</v>
      </c>
    </row>
    <row r="237" ht="28" customHeight="1" spans="1:69" x14ac:dyDescent="0.25">
      <c r="A237" s="9"/>
      <c r="B237" s="9"/>
      <c r="C237" s="9"/>
      <c r="D237" s="9"/>
      <c r="E237" s="9"/>
      <c r="F237" s="9" t="s">
        <v>168</v>
      </c>
      <c r="G237" s="10" t="s">
        <v>298</v>
      </c>
      <c r="H237" s="9" t="s">
        <v>136</v>
      </c>
      <c r="I237" s="9">
        <v>3</v>
      </c>
      <c r="J237" s="9">
        <v>2000</v>
      </c>
      <c r="K237" s="9" t="s">
        <v>189</v>
      </c>
      <c r="L237" s="9" t="s">
        <v>9</v>
      </c>
      <c r="M237" s="9"/>
      <c r="N237" s="9"/>
      <c r="O237" s="10"/>
      <c r="P237" s="13"/>
      <c r="Q237" s="13"/>
      <c r="R237" s="17">
        <v>3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7">
        <v>3</v>
      </c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7">
        <v>3</v>
      </c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7">
        <v>3</v>
      </c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t="s">
        <v>434</v>
      </c>
      <c r="BQ237" t="s">
        <v>438</v>
      </c>
    </row>
    <row r="238" ht="18" customHeight="1" spans="1:69" x14ac:dyDescent="0.25">
      <c r="A238" s="9"/>
      <c r="B238" s="9"/>
      <c r="C238" s="9"/>
      <c r="D238" s="9"/>
      <c r="E238" s="9"/>
      <c r="F238" s="9"/>
      <c r="G238" s="10"/>
      <c r="H238" s="9" t="s">
        <v>139</v>
      </c>
      <c r="I238" s="9"/>
      <c r="J238" s="9"/>
      <c r="K238" s="9"/>
      <c r="L238" s="9"/>
      <c r="M238" s="9"/>
      <c r="N238" s="9"/>
      <c r="O238" s="10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t="s">
        <v>434</v>
      </c>
      <c r="BQ238" t="s">
        <v>438</v>
      </c>
    </row>
    <row r="239" ht="28" customHeight="1" spans="1:69" x14ac:dyDescent="0.25">
      <c r="A239" s="9"/>
      <c r="B239" s="9"/>
      <c r="C239" s="9"/>
      <c r="D239" s="9"/>
      <c r="E239" s="9"/>
      <c r="F239" s="9" t="s">
        <v>168</v>
      </c>
      <c r="G239" s="10" t="s">
        <v>300</v>
      </c>
      <c r="H239" s="9" t="s">
        <v>136</v>
      </c>
      <c r="I239" s="9">
        <v>5</v>
      </c>
      <c r="J239" s="9">
        <v>10000</v>
      </c>
      <c r="K239" s="9" t="s">
        <v>145</v>
      </c>
      <c r="L239" s="9" t="s">
        <v>9</v>
      </c>
      <c r="M239" s="9"/>
      <c r="N239" s="9"/>
      <c r="O239" s="10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4">
        <v>5</v>
      </c>
      <c r="BK239" s="13"/>
      <c r="BL239" s="13"/>
      <c r="BM239" s="13"/>
      <c r="BN239" s="13"/>
      <c r="BO239" s="13"/>
      <c r="BP239" t="s">
        <v>434</v>
      </c>
      <c r="BQ239" t="s">
        <v>439</v>
      </c>
    </row>
    <row r="240" ht="18" customHeight="1" spans="1:69" x14ac:dyDescent="0.25">
      <c r="A240" s="9"/>
      <c r="B240" s="9"/>
      <c r="C240" s="9"/>
      <c r="D240" s="9"/>
      <c r="E240" s="9"/>
      <c r="F240" s="9"/>
      <c r="G240" s="10"/>
      <c r="H240" s="9" t="s">
        <v>139</v>
      </c>
      <c r="I240" s="9"/>
      <c r="J240" s="9"/>
      <c r="K240" s="9"/>
      <c r="L240" s="9"/>
      <c r="M240" s="9"/>
      <c r="N240" s="9"/>
      <c r="O240" s="10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t="s">
        <v>434</v>
      </c>
      <c r="BQ240" t="s">
        <v>439</v>
      </c>
    </row>
    <row r="241" ht="28" customHeight="1" spans="1:69" x14ac:dyDescent="0.25">
      <c r="A241" s="9"/>
      <c r="B241" s="9"/>
      <c r="C241" s="9"/>
      <c r="D241" s="9"/>
      <c r="E241" s="9"/>
      <c r="F241" s="9" t="s">
        <v>302</v>
      </c>
      <c r="G241" s="10" t="s">
        <v>303</v>
      </c>
      <c r="H241" s="9" t="s">
        <v>136</v>
      </c>
      <c r="I241" s="9">
        <v>2</v>
      </c>
      <c r="J241" s="9">
        <v>1000</v>
      </c>
      <c r="K241" s="9" t="s">
        <v>152</v>
      </c>
      <c r="L241" s="9" t="s">
        <v>9</v>
      </c>
      <c r="M241" s="9"/>
      <c r="N241" s="9"/>
      <c r="O241" s="10"/>
      <c r="P241" s="13"/>
      <c r="Q241" s="13"/>
      <c r="R241" s="16">
        <v>2</v>
      </c>
      <c r="S241" s="13"/>
      <c r="T241" s="13"/>
      <c r="U241" s="13"/>
      <c r="V241" s="13"/>
      <c r="W241" s="16">
        <v>2</v>
      </c>
      <c r="X241" s="13"/>
      <c r="Y241" s="13"/>
      <c r="Z241" s="13"/>
      <c r="AA241" s="16">
        <v>2</v>
      </c>
      <c r="AB241" s="13"/>
      <c r="AC241" s="13"/>
      <c r="AD241" s="13"/>
      <c r="AE241" s="16">
        <v>2</v>
      </c>
      <c r="AF241" s="13"/>
      <c r="AG241" s="13"/>
      <c r="AH241" s="13"/>
      <c r="AI241" s="16">
        <v>2</v>
      </c>
      <c r="AJ241" s="13"/>
      <c r="AK241" s="13"/>
      <c r="AL241" s="13"/>
      <c r="AM241" s="13"/>
      <c r="AN241" s="16">
        <v>2</v>
      </c>
      <c r="AO241" s="13"/>
      <c r="AP241" s="13"/>
      <c r="AQ241" s="13"/>
      <c r="AR241" s="16">
        <v>2</v>
      </c>
      <c r="AS241" s="13"/>
      <c r="AT241" s="13"/>
      <c r="AU241" s="13"/>
      <c r="AV241" s="13"/>
      <c r="AW241" s="16">
        <v>2</v>
      </c>
      <c r="AX241" s="13"/>
      <c r="AY241" s="13"/>
      <c r="AZ241" s="13"/>
      <c r="BA241" s="16">
        <v>2</v>
      </c>
      <c r="BB241" s="13"/>
      <c r="BC241" s="13"/>
      <c r="BD241" s="13"/>
      <c r="BE241" s="16">
        <v>2</v>
      </c>
      <c r="BF241" s="13"/>
      <c r="BG241" s="13"/>
      <c r="BH241" s="13"/>
      <c r="BI241" s="13"/>
      <c r="BJ241" s="16">
        <v>2</v>
      </c>
      <c r="BK241" s="13"/>
      <c r="BL241" s="13"/>
      <c r="BM241" s="13"/>
      <c r="BN241" s="16">
        <v>2</v>
      </c>
      <c r="BO241" s="13"/>
      <c r="BP241" t="s">
        <v>434</v>
      </c>
      <c r="BQ241" t="s">
        <v>440</v>
      </c>
    </row>
    <row r="242" ht="18" customHeight="1" spans="1:69" x14ac:dyDescent="0.25">
      <c r="A242" s="9"/>
      <c r="B242" s="9"/>
      <c r="C242" s="9"/>
      <c r="D242" s="9"/>
      <c r="E242" s="9"/>
      <c r="F242" s="9"/>
      <c r="G242" s="10"/>
      <c r="H242" s="9" t="s">
        <v>139</v>
      </c>
      <c r="I242" s="9"/>
      <c r="J242" s="9"/>
      <c r="K242" s="9"/>
      <c r="L242" s="9"/>
      <c r="M242" s="9"/>
      <c r="N242" s="9"/>
      <c r="O242" s="10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t="s">
        <v>434</v>
      </c>
      <c r="BQ242" t="s">
        <v>440</v>
      </c>
    </row>
    <row r="243" ht="28" customHeight="1" spans="1:69" x14ac:dyDescent="0.25">
      <c r="A243" s="9"/>
      <c r="B243" s="9" t="s">
        <v>441</v>
      </c>
      <c r="C243" s="9" t="s">
        <v>442</v>
      </c>
      <c r="D243" s="9" t="s">
        <v>443</v>
      </c>
      <c r="E243" s="9" t="s">
        <v>295</v>
      </c>
      <c r="F243" s="9" t="s">
        <v>134</v>
      </c>
      <c r="G243" s="10" t="s">
        <v>296</v>
      </c>
      <c r="H243" s="9" t="s">
        <v>136</v>
      </c>
      <c r="I243" s="9">
        <v>1</v>
      </c>
      <c r="J243" s="9">
        <v>1</v>
      </c>
      <c r="K243" s="9" t="s">
        <v>4</v>
      </c>
      <c r="L243" s="9" t="s">
        <v>137</v>
      </c>
      <c r="M243" s="9"/>
      <c r="N243" s="9"/>
      <c r="O243" s="10"/>
      <c r="P243" s="11">
        <v>1</v>
      </c>
      <c r="Q243" s="11">
        <v>1</v>
      </c>
      <c r="R243" s="11">
        <v>1</v>
      </c>
      <c r="S243" s="11">
        <v>1</v>
      </c>
      <c r="T243" s="11">
        <v>1</v>
      </c>
      <c r="U243" s="11">
        <v>1</v>
      </c>
      <c r="V243" s="11">
        <v>1</v>
      </c>
      <c r="W243" s="11">
        <v>1</v>
      </c>
      <c r="X243" s="11">
        <v>1</v>
      </c>
      <c r="Y243" s="11">
        <v>1</v>
      </c>
      <c r="Z243" s="11">
        <v>1</v>
      </c>
      <c r="AA243" s="11">
        <v>1</v>
      </c>
      <c r="AB243" s="11">
        <v>1</v>
      </c>
      <c r="AC243" s="11">
        <v>1</v>
      </c>
      <c r="AD243" s="11">
        <v>1</v>
      </c>
      <c r="AE243" s="11">
        <v>1</v>
      </c>
      <c r="AF243" s="11">
        <v>1</v>
      </c>
      <c r="AG243" s="11">
        <v>1</v>
      </c>
      <c r="AH243" s="11">
        <v>1</v>
      </c>
      <c r="AI243" s="11">
        <v>1</v>
      </c>
      <c r="AJ243" s="11">
        <v>1</v>
      </c>
      <c r="AK243" s="11">
        <v>1</v>
      </c>
      <c r="AL243" s="11">
        <v>1</v>
      </c>
      <c r="AM243" s="11">
        <v>1</v>
      </c>
      <c r="AN243" s="11">
        <v>1</v>
      </c>
      <c r="AO243" s="11">
        <v>1</v>
      </c>
      <c r="AP243" s="11">
        <v>1</v>
      </c>
      <c r="AQ243" s="11">
        <v>1</v>
      </c>
      <c r="AR243" s="11">
        <v>1</v>
      </c>
      <c r="AS243" s="11">
        <v>1</v>
      </c>
      <c r="AT243" s="11">
        <v>1</v>
      </c>
      <c r="AU243" s="11">
        <v>1</v>
      </c>
      <c r="AV243" s="11">
        <v>1</v>
      </c>
      <c r="AW243" s="11">
        <v>1</v>
      </c>
      <c r="AX243" s="11">
        <v>1</v>
      </c>
      <c r="AY243" s="11">
        <v>1</v>
      </c>
      <c r="AZ243" s="11">
        <v>1</v>
      </c>
      <c r="BA243" s="11">
        <v>1</v>
      </c>
      <c r="BB243" s="11">
        <v>1</v>
      </c>
      <c r="BC243" s="11">
        <v>1</v>
      </c>
      <c r="BD243" s="11">
        <v>1</v>
      </c>
      <c r="BE243" s="11">
        <v>1</v>
      </c>
      <c r="BF243" s="11">
        <v>1</v>
      </c>
      <c r="BG243" s="11">
        <v>1</v>
      </c>
      <c r="BH243" s="11">
        <v>1</v>
      </c>
      <c r="BI243" s="11">
        <v>1</v>
      </c>
      <c r="BJ243" s="11">
        <v>1</v>
      </c>
      <c r="BK243" s="11">
        <v>1</v>
      </c>
      <c r="BL243" s="11">
        <v>1</v>
      </c>
      <c r="BM243" s="11">
        <v>1</v>
      </c>
      <c r="BN243" s="11">
        <v>1</v>
      </c>
      <c r="BO243" s="11">
        <v>1</v>
      </c>
      <c r="BP243" t="s">
        <v>441</v>
      </c>
      <c r="BQ243" t="s">
        <v>444</v>
      </c>
    </row>
    <row r="244" ht="18" customHeight="1" spans="1:69" x14ac:dyDescent="0.25">
      <c r="A244" s="9"/>
      <c r="B244" s="9"/>
      <c r="C244" s="9"/>
      <c r="D244" s="9"/>
      <c r="E244" s="9"/>
      <c r="F244" s="9"/>
      <c r="G244" s="10"/>
      <c r="H244" s="9" t="s">
        <v>139</v>
      </c>
      <c r="I244" s="9"/>
      <c r="J244" s="9"/>
      <c r="K244" s="9"/>
      <c r="L244" s="9"/>
      <c r="M244" s="9"/>
      <c r="N244" s="9"/>
      <c r="O244" s="10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t="s">
        <v>441</v>
      </c>
      <c r="BQ244" t="s">
        <v>444</v>
      </c>
    </row>
    <row r="245" ht="28" customHeight="1" spans="1:69" x14ac:dyDescent="0.25">
      <c r="A245" s="9"/>
      <c r="B245" s="9"/>
      <c r="C245" s="9"/>
      <c r="D245" s="9"/>
      <c r="E245" s="9"/>
      <c r="F245" s="9" t="s">
        <v>168</v>
      </c>
      <c r="G245" s="10" t="s">
        <v>298</v>
      </c>
      <c r="H245" s="9" t="s">
        <v>136</v>
      </c>
      <c r="I245" s="9">
        <v>3</v>
      </c>
      <c r="J245" s="9">
        <v>2000</v>
      </c>
      <c r="K245" s="9" t="s">
        <v>189</v>
      </c>
      <c r="L245" s="9" t="s">
        <v>9</v>
      </c>
      <c r="M245" s="9"/>
      <c r="N245" s="9"/>
      <c r="O245" s="10"/>
      <c r="P245" s="13"/>
      <c r="Q245" s="13"/>
      <c r="R245" s="17">
        <v>3</v>
      </c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7">
        <v>3</v>
      </c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7">
        <v>3</v>
      </c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7">
        <v>3</v>
      </c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t="s">
        <v>441</v>
      </c>
      <c r="BQ245" t="s">
        <v>445</v>
      </c>
    </row>
    <row r="246" ht="18" customHeight="1" spans="1:69" x14ac:dyDescent="0.25">
      <c r="A246" s="9"/>
      <c r="B246" s="9"/>
      <c r="C246" s="9"/>
      <c r="D246" s="9"/>
      <c r="E246" s="9"/>
      <c r="F246" s="9"/>
      <c r="G246" s="10"/>
      <c r="H246" s="9" t="s">
        <v>139</v>
      </c>
      <c r="I246" s="9"/>
      <c r="J246" s="9"/>
      <c r="K246" s="9"/>
      <c r="L246" s="9"/>
      <c r="M246" s="9"/>
      <c r="N246" s="9"/>
      <c r="O246" s="10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t="s">
        <v>441</v>
      </c>
      <c r="BQ246" t="s">
        <v>445</v>
      </c>
    </row>
    <row r="247" ht="28" customHeight="1" spans="1:69" x14ac:dyDescent="0.25">
      <c r="A247" s="9"/>
      <c r="B247" s="9"/>
      <c r="C247" s="9"/>
      <c r="D247" s="9"/>
      <c r="E247" s="9"/>
      <c r="F247" s="9" t="s">
        <v>168</v>
      </c>
      <c r="G247" s="10" t="s">
        <v>300</v>
      </c>
      <c r="H247" s="9" t="s">
        <v>136</v>
      </c>
      <c r="I247" s="9">
        <v>5</v>
      </c>
      <c r="J247" s="9">
        <v>10000</v>
      </c>
      <c r="K247" s="9" t="s">
        <v>145</v>
      </c>
      <c r="L247" s="9" t="s">
        <v>9</v>
      </c>
      <c r="M247" s="9"/>
      <c r="N247" s="9"/>
      <c r="O247" s="10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4">
        <v>5</v>
      </c>
      <c r="BK247" s="13"/>
      <c r="BL247" s="13"/>
      <c r="BM247" s="13"/>
      <c r="BN247" s="13"/>
      <c r="BO247" s="13"/>
      <c r="BP247" t="s">
        <v>441</v>
      </c>
      <c r="BQ247" t="s">
        <v>446</v>
      </c>
    </row>
    <row r="248" ht="18" customHeight="1" spans="1:69" x14ac:dyDescent="0.25">
      <c r="A248" s="9"/>
      <c r="B248" s="9"/>
      <c r="C248" s="9"/>
      <c r="D248" s="9"/>
      <c r="E248" s="9"/>
      <c r="F248" s="9"/>
      <c r="G248" s="10"/>
      <c r="H248" s="9" t="s">
        <v>139</v>
      </c>
      <c r="I248" s="9"/>
      <c r="J248" s="9"/>
      <c r="K248" s="9"/>
      <c r="L248" s="9"/>
      <c r="M248" s="9"/>
      <c r="N248" s="9"/>
      <c r="O248" s="10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t="s">
        <v>441</v>
      </c>
      <c r="BQ248" t="s">
        <v>446</v>
      </c>
    </row>
    <row r="249" ht="28" customHeight="1" spans="1:69" x14ac:dyDescent="0.25">
      <c r="A249" s="9"/>
      <c r="B249" s="9"/>
      <c r="C249" s="9"/>
      <c r="D249" s="9"/>
      <c r="E249" s="9"/>
      <c r="F249" s="9" t="s">
        <v>302</v>
      </c>
      <c r="G249" s="10" t="s">
        <v>303</v>
      </c>
      <c r="H249" s="9" t="s">
        <v>136</v>
      </c>
      <c r="I249" s="9">
        <v>2</v>
      </c>
      <c r="J249" s="9">
        <v>1000</v>
      </c>
      <c r="K249" s="9" t="s">
        <v>152</v>
      </c>
      <c r="L249" s="9" t="s">
        <v>9</v>
      </c>
      <c r="M249" s="9"/>
      <c r="N249" s="9"/>
      <c r="O249" s="10"/>
      <c r="P249" s="13"/>
      <c r="Q249" s="13"/>
      <c r="R249" s="16">
        <v>2</v>
      </c>
      <c r="S249" s="13"/>
      <c r="T249" s="13"/>
      <c r="U249" s="13"/>
      <c r="V249" s="13"/>
      <c r="W249" s="16">
        <v>2</v>
      </c>
      <c r="X249" s="13"/>
      <c r="Y249" s="13"/>
      <c r="Z249" s="13"/>
      <c r="AA249" s="16">
        <v>2</v>
      </c>
      <c r="AB249" s="13"/>
      <c r="AC249" s="13"/>
      <c r="AD249" s="13"/>
      <c r="AE249" s="16">
        <v>2</v>
      </c>
      <c r="AF249" s="13"/>
      <c r="AG249" s="13"/>
      <c r="AH249" s="13"/>
      <c r="AI249" s="16">
        <v>2</v>
      </c>
      <c r="AJ249" s="13"/>
      <c r="AK249" s="13"/>
      <c r="AL249" s="13"/>
      <c r="AM249" s="13"/>
      <c r="AN249" s="16">
        <v>2</v>
      </c>
      <c r="AO249" s="13"/>
      <c r="AP249" s="13"/>
      <c r="AQ249" s="13"/>
      <c r="AR249" s="16">
        <v>2</v>
      </c>
      <c r="AS249" s="13"/>
      <c r="AT249" s="13"/>
      <c r="AU249" s="13"/>
      <c r="AV249" s="13"/>
      <c r="AW249" s="16">
        <v>2</v>
      </c>
      <c r="AX249" s="13"/>
      <c r="AY249" s="13"/>
      <c r="AZ249" s="13"/>
      <c r="BA249" s="16">
        <v>2</v>
      </c>
      <c r="BB249" s="13"/>
      <c r="BC249" s="13"/>
      <c r="BD249" s="13"/>
      <c r="BE249" s="16">
        <v>2</v>
      </c>
      <c r="BF249" s="13"/>
      <c r="BG249" s="13"/>
      <c r="BH249" s="13"/>
      <c r="BI249" s="13"/>
      <c r="BJ249" s="16">
        <v>2</v>
      </c>
      <c r="BK249" s="13"/>
      <c r="BL249" s="13"/>
      <c r="BM249" s="13"/>
      <c r="BN249" s="16">
        <v>2</v>
      </c>
      <c r="BO249" s="13"/>
      <c r="BP249" t="s">
        <v>441</v>
      </c>
      <c r="BQ249" t="s">
        <v>447</v>
      </c>
    </row>
    <row r="250" ht="18" customHeight="1" spans="1:69" x14ac:dyDescent="0.25">
      <c r="A250" s="9"/>
      <c r="B250" s="9"/>
      <c r="C250" s="9"/>
      <c r="D250" s="9"/>
      <c r="E250" s="9"/>
      <c r="F250" s="9"/>
      <c r="G250" s="10"/>
      <c r="H250" s="9" t="s">
        <v>139</v>
      </c>
      <c r="I250" s="9"/>
      <c r="J250" s="9"/>
      <c r="K250" s="9"/>
      <c r="L250" s="9"/>
      <c r="M250" s="9"/>
      <c r="N250" s="9"/>
      <c r="O250" s="10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t="s">
        <v>441</v>
      </c>
      <c r="BQ250" t="s">
        <v>447</v>
      </c>
    </row>
    <row r="251" ht="28" customHeight="1" spans="1:69" x14ac:dyDescent="0.25">
      <c r="A251" s="9"/>
      <c r="B251" s="9" t="s">
        <v>448</v>
      </c>
      <c r="C251" s="9" t="s">
        <v>449</v>
      </c>
      <c r="D251" s="9" t="s">
        <v>450</v>
      </c>
      <c r="E251" s="9" t="s">
        <v>295</v>
      </c>
      <c r="F251" s="9" t="s">
        <v>134</v>
      </c>
      <c r="G251" s="10" t="s">
        <v>296</v>
      </c>
      <c r="H251" s="9" t="s">
        <v>136</v>
      </c>
      <c r="I251" s="9">
        <v>1</v>
      </c>
      <c r="J251" s="9">
        <v>1</v>
      </c>
      <c r="K251" s="9" t="s">
        <v>4</v>
      </c>
      <c r="L251" s="9" t="s">
        <v>137</v>
      </c>
      <c r="M251" s="9"/>
      <c r="N251" s="9"/>
      <c r="O251" s="10"/>
      <c r="P251" s="11">
        <v>1</v>
      </c>
      <c r="Q251" s="11">
        <v>1</v>
      </c>
      <c r="R251" s="11">
        <v>1</v>
      </c>
      <c r="S251" s="11">
        <v>1</v>
      </c>
      <c r="T251" s="11">
        <v>1</v>
      </c>
      <c r="U251" s="11">
        <v>1</v>
      </c>
      <c r="V251" s="11">
        <v>1</v>
      </c>
      <c r="W251" s="11">
        <v>1</v>
      </c>
      <c r="X251" s="11">
        <v>1</v>
      </c>
      <c r="Y251" s="11">
        <v>1</v>
      </c>
      <c r="Z251" s="11">
        <v>1</v>
      </c>
      <c r="AA251" s="11">
        <v>1</v>
      </c>
      <c r="AB251" s="11">
        <v>1</v>
      </c>
      <c r="AC251" s="11">
        <v>1</v>
      </c>
      <c r="AD251" s="11">
        <v>1</v>
      </c>
      <c r="AE251" s="11">
        <v>1</v>
      </c>
      <c r="AF251" s="11">
        <v>1</v>
      </c>
      <c r="AG251" s="11">
        <v>1</v>
      </c>
      <c r="AH251" s="11">
        <v>1</v>
      </c>
      <c r="AI251" s="11">
        <v>1</v>
      </c>
      <c r="AJ251" s="11">
        <v>1</v>
      </c>
      <c r="AK251" s="11">
        <v>1</v>
      </c>
      <c r="AL251" s="11">
        <v>1</v>
      </c>
      <c r="AM251" s="11">
        <v>1</v>
      </c>
      <c r="AN251" s="11">
        <v>1</v>
      </c>
      <c r="AO251" s="11">
        <v>1</v>
      </c>
      <c r="AP251" s="11">
        <v>1</v>
      </c>
      <c r="AQ251" s="11">
        <v>1</v>
      </c>
      <c r="AR251" s="11">
        <v>1</v>
      </c>
      <c r="AS251" s="11">
        <v>1</v>
      </c>
      <c r="AT251" s="11">
        <v>1</v>
      </c>
      <c r="AU251" s="11">
        <v>1</v>
      </c>
      <c r="AV251" s="11">
        <v>1</v>
      </c>
      <c r="AW251" s="11">
        <v>1</v>
      </c>
      <c r="AX251" s="11">
        <v>1</v>
      </c>
      <c r="AY251" s="11">
        <v>1</v>
      </c>
      <c r="AZ251" s="11">
        <v>1</v>
      </c>
      <c r="BA251" s="11">
        <v>1</v>
      </c>
      <c r="BB251" s="11">
        <v>1</v>
      </c>
      <c r="BC251" s="11">
        <v>1</v>
      </c>
      <c r="BD251" s="11">
        <v>1</v>
      </c>
      <c r="BE251" s="11">
        <v>1</v>
      </c>
      <c r="BF251" s="11">
        <v>1</v>
      </c>
      <c r="BG251" s="11">
        <v>1</v>
      </c>
      <c r="BH251" s="11">
        <v>1</v>
      </c>
      <c r="BI251" s="11">
        <v>1</v>
      </c>
      <c r="BJ251" s="11">
        <v>1</v>
      </c>
      <c r="BK251" s="11">
        <v>1</v>
      </c>
      <c r="BL251" s="11">
        <v>1</v>
      </c>
      <c r="BM251" s="11">
        <v>1</v>
      </c>
      <c r="BN251" s="11">
        <v>1</v>
      </c>
      <c r="BO251" s="11">
        <v>1</v>
      </c>
      <c r="BP251" t="s">
        <v>448</v>
      </c>
      <c r="BQ251" t="s">
        <v>451</v>
      </c>
    </row>
    <row r="252" ht="18" customHeight="1" spans="1:69" x14ac:dyDescent="0.25">
      <c r="A252" s="9"/>
      <c r="B252" s="9"/>
      <c r="C252" s="9"/>
      <c r="D252" s="9"/>
      <c r="E252" s="9"/>
      <c r="F252" s="9"/>
      <c r="G252" s="10"/>
      <c r="H252" s="9" t="s">
        <v>139</v>
      </c>
      <c r="I252" s="9"/>
      <c r="J252" s="9"/>
      <c r="K252" s="9"/>
      <c r="L252" s="9"/>
      <c r="M252" s="9"/>
      <c r="N252" s="9"/>
      <c r="O252" s="10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t="s">
        <v>448</v>
      </c>
      <c r="BQ252" t="s">
        <v>451</v>
      </c>
    </row>
    <row r="253" ht="28" customHeight="1" spans="1:69" x14ac:dyDescent="0.25">
      <c r="A253" s="9"/>
      <c r="B253" s="9"/>
      <c r="C253" s="9"/>
      <c r="D253" s="9"/>
      <c r="E253" s="9"/>
      <c r="F253" s="9" t="s">
        <v>168</v>
      </c>
      <c r="G253" s="10" t="s">
        <v>298</v>
      </c>
      <c r="H253" s="9" t="s">
        <v>136</v>
      </c>
      <c r="I253" s="9">
        <v>3</v>
      </c>
      <c r="J253" s="9">
        <v>2000</v>
      </c>
      <c r="K253" s="9" t="s">
        <v>189</v>
      </c>
      <c r="L253" s="9" t="s">
        <v>9</v>
      </c>
      <c r="M253" s="9"/>
      <c r="N253" s="9"/>
      <c r="O253" s="10"/>
      <c r="P253" s="13"/>
      <c r="Q253" s="13"/>
      <c r="R253" s="17">
        <v>3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7">
        <v>3</v>
      </c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7">
        <v>3</v>
      </c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7">
        <v>3</v>
      </c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t="s">
        <v>448</v>
      </c>
      <c r="BQ253" t="s">
        <v>452</v>
      </c>
    </row>
    <row r="254" ht="18" customHeight="1" spans="1:69" x14ac:dyDescent="0.25">
      <c r="A254" s="9"/>
      <c r="B254" s="9"/>
      <c r="C254" s="9"/>
      <c r="D254" s="9"/>
      <c r="E254" s="9"/>
      <c r="F254" s="9"/>
      <c r="G254" s="10"/>
      <c r="H254" s="9" t="s">
        <v>139</v>
      </c>
      <c r="I254" s="9"/>
      <c r="J254" s="9"/>
      <c r="K254" s="9"/>
      <c r="L254" s="9"/>
      <c r="M254" s="9"/>
      <c r="N254" s="9"/>
      <c r="O254" s="10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t="s">
        <v>448</v>
      </c>
      <c r="BQ254" t="s">
        <v>452</v>
      </c>
    </row>
    <row r="255" ht="28" customHeight="1" spans="1:69" x14ac:dyDescent="0.25">
      <c r="A255" s="9"/>
      <c r="B255" s="9"/>
      <c r="C255" s="9"/>
      <c r="D255" s="9"/>
      <c r="E255" s="9"/>
      <c r="F255" s="9" t="s">
        <v>168</v>
      </c>
      <c r="G255" s="10" t="s">
        <v>300</v>
      </c>
      <c r="H255" s="9" t="s">
        <v>136</v>
      </c>
      <c r="I255" s="9">
        <v>5</v>
      </c>
      <c r="J255" s="9">
        <v>10000</v>
      </c>
      <c r="K255" s="9" t="s">
        <v>145</v>
      </c>
      <c r="L255" s="9" t="s">
        <v>9</v>
      </c>
      <c r="M255" s="9"/>
      <c r="N255" s="9"/>
      <c r="O255" s="10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4">
        <v>5</v>
      </c>
      <c r="BK255" s="13"/>
      <c r="BL255" s="13"/>
      <c r="BM255" s="13"/>
      <c r="BN255" s="13"/>
      <c r="BO255" s="13"/>
      <c r="BP255" t="s">
        <v>448</v>
      </c>
      <c r="BQ255" t="s">
        <v>453</v>
      </c>
    </row>
    <row r="256" ht="18" customHeight="1" spans="1:69" x14ac:dyDescent="0.25">
      <c r="A256" s="9"/>
      <c r="B256" s="9"/>
      <c r="C256" s="9"/>
      <c r="D256" s="9"/>
      <c r="E256" s="9"/>
      <c r="F256" s="9"/>
      <c r="G256" s="10"/>
      <c r="H256" s="9" t="s">
        <v>139</v>
      </c>
      <c r="I256" s="9"/>
      <c r="J256" s="9"/>
      <c r="K256" s="9"/>
      <c r="L256" s="9"/>
      <c r="M256" s="9"/>
      <c r="N256" s="9"/>
      <c r="O256" s="10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t="s">
        <v>448</v>
      </c>
      <c r="BQ256" t="s">
        <v>453</v>
      </c>
    </row>
    <row r="257" ht="28" customHeight="1" spans="1:69" x14ac:dyDescent="0.25">
      <c r="A257" s="9"/>
      <c r="B257" s="9"/>
      <c r="C257" s="9"/>
      <c r="D257" s="9"/>
      <c r="E257" s="9"/>
      <c r="F257" s="9" t="s">
        <v>302</v>
      </c>
      <c r="G257" s="10" t="s">
        <v>303</v>
      </c>
      <c r="H257" s="9" t="s">
        <v>136</v>
      </c>
      <c r="I257" s="9">
        <v>2</v>
      </c>
      <c r="J257" s="9">
        <v>1000</v>
      </c>
      <c r="K257" s="9" t="s">
        <v>152</v>
      </c>
      <c r="L257" s="9" t="s">
        <v>9</v>
      </c>
      <c r="M257" s="9"/>
      <c r="N257" s="9"/>
      <c r="O257" s="10"/>
      <c r="P257" s="13"/>
      <c r="Q257" s="13"/>
      <c r="R257" s="16">
        <v>2</v>
      </c>
      <c r="S257" s="13"/>
      <c r="T257" s="13"/>
      <c r="U257" s="13"/>
      <c r="V257" s="13"/>
      <c r="W257" s="16">
        <v>2</v>
      </c>
      <c r="X257" s="13"/>
      <c r="Y257" s="13"/>
      <c r="Z257" s="13"/>
      <c r="AA257" s="16">
        <v>2</v>
      </c>
      <c r="AB257" s="13"/>
      <c r="AC257" s="13"/>
      <c r="AD257" s="13"/>
      <c r="AE257" s="16">
        <v>2</v>
      </c>
      <c r="AF257" s="13"/>
      <c r="AG257" s="13"/>
      <c r="AH257" s="13"/>
      <c r="AI257" s="16">
        <v>2</v>
      </c>
      <c r="AJ257" s="13"/>
      <c r="AK257" s="13"/>
      <c r="AL257" s="13"/>
      <c r="AM257" s="13"/>
      <c r="AN257" s="16">
        <v>2</v>
      </c>
      <c r="AO257" s="13"/>
      <c r="AP257" s="13"/>
      <c r="AQ257" s="13"/>
      <c r="AR257" s="16">
        <v>2</v>
      </c>
      <c r="AS257" s="13"/>
      <c r="AT257" s="13"/>
      <c r="AU257" s="13"/>
      <c r="AV257" s="13"/>
      <c r="AW257" s="16">
        <v>2</v>
      </c>
      <c r="AX257" s="13"/>
      <c r="AY257" s="13"/>
      <c r="AZ257" s="13"/>
      <c r="BA257" s="16">
        <v>2</v>
      </c>
      <c r="BB257" s="13"/>
      <c r="BC257" s="13"/>
      <c r="BD257" s="13"/>
      <c r="BE257" s="16">
        <v>2</v>
      </c>
      <c r="BF257" s="13"/>
      <c r="BG257" s="13"/>
      <c r="BH257" s="13"/>
      <c r="BI257" s="13"/>
      <c r="BJ257" s="16">
        <v>2</v>
      </c>
      <c r="BK257" s="13"/>
      <c r="BL257" s="13"/>
      <c r="BM257" s="13"/>
      <c r="BN257" s="16">
        <v>2</v>
      </c>
      <c r="BO257" s="13"/>
      <c r="BP257" t="s">
        <v>448</v>
      </c>
      <c r="BQ257" t="s">
        <v>454</v>
      </c>
    </row>
    <row r="258" ht="18" customHeight="1" spans="1:69" x14ac:dyDescent="0.25">
      <c r="A258" s="9"/>
      <c r="B258" s="9"/>
      <c r="C258" s="9"/>
      <c r="D258" s="9"/>
      <c r="E258" s="9"/>
      <c r="F258" s="9"/>
      <c r="G258" s="10"/>
      <c r="H258" s="9" t="s">
        <v>139</v>
      </c>
      <c r="I258" s="9"/>
      <c r="J258" s="9"/>
      <c r="K258" s="9"/>
      <c r="L258" s="9"/>
      <c r="M258" s="9"/>
      <c r="N258" s="9"/>
      <c r="O258" s="10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t="s">
        <v>448</v>
      </c>
      <c r="BQ258" t="s">
        <v>454</v>
      </c>
    </row>
    <row r="259" ht="28" customHeight="1" spans="1:69" x14ac:dyDescent="0.25">
      <c r="A259" s="9"/>
      <c r="B259" s="9" t="s">
        <v>455</v>
      </c>
      <c r="C259" s="9" t="s">
        <v>456</v>
      </c>
      <c r="D259" s="9" t="s">
        <v>457</v>
      </c>
      <c r="E259" s="9" t="s">
        <v>458</v>
      </c>
      <c r="F259" s="9" t="s">
        <v>230</v>
      </c>
      <c r="G259" s="10" t="s">
        <v>166</v>
      </c>
      <c r="H259" s="9" t="s">
        <v>136</v>
      </c>
      <c r="I259" s="9">
        <v>1</v>
      </c>
      <c r="J259" s="9">
        <v>1</v>
      </c>
      <c r="K259" s="9" t="s">
        <v>4</v>
      </c>
      <c r="L259" s="9" t="s">
        <v>137</v>
      </c>
      <c r="M259" s="9"/>
      <c r="N259" s="9"/>
      <c r="O259" s="10"/>
      <c r="P259" s="11">
        <v>1</v>
      </c>
      <c r="Q259" s="11">
        <v>1</v>
      </c>
      <c r="R259" s="11">
        <v>1</v>
      </c>
      <c r="S259" s="11">
        <v>1</v>
      </c>
      <c r="T259" s="11">
        <v>1</v>
      </c>
      <c r="U259" s="11">
        <v>1</v>
      </c>
      <c r="V259" s="11">
        <v>1</v>
      </c>
      <c r="W259" s="11">
        <v>1</v>
      </c>
      <c r="X259" s="11">
        <v>1</v>
      </c>
      <c r="Y259" s="11">
        <v>1</v>
      </c>
      <c r="Z259" s="11">
        <v>1</v>
      </c>
      <c r="AA259" s="11">
        <v>1</v>
      </c>
      <c r="AB259" s="11">
        <v>1</v>
      </c>
      <c r="AC259" s="11">
        <v>1</v>
      </c>
      <c r="AD259" s="11">
        <v>1</v>
      </c>
      <c r="AE259" s="11">
        <v>1</v>
      </c>
      <c r="AF259" s="11">
        <v>1</v>
      </c>
      <c r="AG259" s="11">
        <v>1</v>
      </c>
      <c r="AH259" s="11">
        <v>1</v>
      </c>
      <c r="AI259" s="11">
        <v>1</v>
      </c>
      <c r="AJ259" s="11">
        <v>1</v>
      </c>
      <c r="AK259" s="11">
        <v>1</v>
      </c>
      <c r="AL259" s="11">
        <v>1</v>
      </c>
      <c r="AM259" s="11">
        <v>1</v>
      </c>
      <c r="AN259" s="11">
        <v>1</v>
      </c>
      <c r="AO259" s="11">
        <v>1</v>
      </c>
      <c r="AP259" s="11">
        <v>1</v>
      </c>
      <c r="AQ259" s="11">
        <v>1</v>
      </c>
      <c r="AR259" s="11">
        <v>1</v>
      </c>
      <c r="AS259" s="11">
        <v>1</v>
      </c>
      <c r="AT259" s="11">
        <v>1</v>
      </c>
      <c r="AU259" s="11">
        <v>1</v>
      </c>
      <c r="AV259" s="11">
        <v>1</v>
      </c>
      <c r="AW259" s="11">
        <v>1</v>
      </c>
      <c r="AX259" s="11">
        <v>1</v>
      </c>
      <c r="AY259" s="11">
        <v>1</v>
      </c>
      <c r="AZ259" s="11">
        <v>1</v>
      </c>
      <c r="BA259" s="11">
        <v>1</v>
      </c>
      <c r="BB259" s="11">
        <v>1</v>
      </c>
      <c r="BC259" s="11">
        <v>1</v>
      </c>
      <c r="BD259" s="11">
        <v>1</v>
      </c>
      <c r="BE259" s="11">
        <v>1</v>
      </c>
      <c r="BF259" s="11">
        <v>1</v>
      </c>
      <c r="BG259" s="11">
        <v>1</v>
      </c>
      <c r="BH259" s="11">
        <v>1</v>
      </c>
      <c r="BI259" s="11">
        <v>1</v>
      </c>
      <c r="BJ259" s="11">
        <v>1</v>
      </c>
      <c r="BK259" s="11">
        <v>1</v>
      </c>
      <c r="BL259" s="11">
        <v>1</v>
      </c>
      <c r="BM259" s="11">
        <v>1</v>
      </c>
      <c r="BN259" s="11">
        <v>1</v>
      </c>
      <c r="BO259" s="11">
        <v>1</v>
      </c>
      <c r="BP259" t="s">
        <v>455</v>
      </c>
      <c r="BQ259" t="s">
        <v>459</v>
      </c>
    </row>
    <row r="260" ht="18" customHeight="1" spans="1:69" x14ac:dyDescent="0.25">
      <c r="A260" s="9"/>
      <c r="B260" s="9"/>
      <c r="C260" s="9"/>
      <c r="D260" s="9"/>
      <c r="E260" s="9"/>
      <c r="F260" s="9"/>
      <c r="G260" s="10"/>
      <c r="H260" s="9" t="s">
        <v>139</v>
      </c>
      <c r="I260" s="9"/>
      <c r="J260" s="9"/>
      <c r="K260" s="9"/>
      <c r="L260" s="9"/>
      <c r="M260" s="9"/>
      <c r="N260" s="9"/>
      <c r="O260" s="10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t="s">
        <v>455</v>
      </c>
      <c r="BQ260" t="s">
        <v>459</v>
      </c>
    </row>
    <row r="261" ht="28" customHeight="1" spans="1:69" x14ac:dyDescent="0.25">
      <c r="A261" s="9"/>
      <c r="B261" s="9" t="s">
        <v>460</v>
      </c>
      <c r="C261" s="9" t="s">
        <v>461</v>
      </c>
      <c r="D261" s="9" t="s">
        <v>462</v>
      </c>
      <c r="E261" s="9" t="s">
        <v>458</v>
      </c>
      <c r="F261" s="9" t="s">
        <v>230</v>
      </c>
      <c r="G261" s="10" t="s">
        <v>166</v>
      </c>
      <c r="H261" s="9" t="s">
        <v>136</v>
      </c>
      <c r="I261" s="9">
        <v>1</v>
      </c>
      <c r="J261" s="9">
        <v>1</v>
      </c>
      <c r="K261" s="9" t="s">
        <v>4</v>
      </c>
      <c r="L261" s="9" t="s">
        <v>137</v>
      </c>
      <c r="M261" s="9"/>
      <c r="N261" s="9"/>
      <c r="O261" s="10"/>
      <c r="P261" s="11">
        <v>1</v>
      </c>
      <c r="Q261" s="11">
        <v>1</v>
      </c>
      <c r="R261" s="11">
        <v>1</v>
      </c>
      <c r="S261" s="11">
        <v>1</v>
      </c>
      <c r="T261" s="11">
        <v>1</v>
      </c>
      <c r="U261" s="11">
        <v>1</v>
      </c>
      <c r="V261" s="11">
        <v>1</v>
      </c>
      <c r="W261" s="11">
        <v>1</v>
      </c>
      <c r="X261" s="11">
        <v>1</v>
      </c>
      <c r="Y261" s="11">
        <v>1</v>
      </c>
      <c r="Z261" s="11">
        <v>1</v>
      </c>
      <c r="AA261" s="11">
        <v>1</v>
      </c>
      <c r="AB261" s="11">
        <v>1</v>
      </c>
      <c r="AC261" s="11">
        <v>1</v>
      </c>
      <c r="AD261" s="11">
        <v>1</v>
      </c>
      <c r="AE261" s="11">
        <v>1</v>
      </c>
      <c r="AF261" s="11">
        <v>1</v>
      </c>
      <c r="AG261" s="11">
        <v>1</v>
      </c>
      <c r="AH261" s="11">
        <v>1</v>
      </c>
      <c r="AI261" s="11">
        <v>1</v>
      </c>
      <c r="AJ261" s="11">
        <v>1</v>
      </c>
      <c r="AK261" s="11">
        <v>1</v>
      </c>
      <c r="AL261" s="11">
        <v>1</v>
      </c>
      <c r="AM261" s="11">
        <v>1</v>
      </c>
      <c r="AN261" s="11">
        <v>1</v>
      </c>
      <c r="AO261" s="11">
        <v>1</v>
      </c>
      <c r="AP261" s="11">
        <v>1</v>
      </c>
      <c r="AQ261" s="11">
        <v>1</v>
      </c>
      <c r="AR261" s="11">
        <v>1</v>
      </c>
      <c r="AS261" s="11">
        <v>1</v>
      </c>
      <c r="AT261" s="11">
        <v>1</v>
      </c>
      <c r="AU261" s="11">
        <v>1</v>
      </c>
      <c r="AV261" s="11">
        <v>1</v>
      </c>
      <c r="AW261" s="11">
        <v>1</v>
      </c>
      <c r="AX261" s="11">
        <v>1</v>
      </c>
      <c r="AY261" s="11">
        <v>1</v>
      </c>
      <c r="AZ261" s="11">
        <v>1</v>
      </c>
      <c r="BA261" s="11">
        <v>1</v>
      </c>
      <c r="BB261" s="11">
        <v>1</v>
      </c>
      <c r="BC261" s="11">
        <v>1</v>
      </c>
      <c r="BD261" s="11">
        <v>1</v>
      </c>
      <c r="BE261" s="11">
        <v>1</v>
      </c>
      <c r="BF261" s="11">
        <v>1</v>
      </c>
      <c r="BG261" s="11">
        <v>1</v>
      </c>
      <c r="BH261" s="11">
        <v>1</v>
      </c>
      <c r="BI261" s="11">
        <v>1</v>
      </c>
      <c r="BJ261" s="11">
        <v>1</v>
      </c>
      <c r="BK261" s="11">
        <v>1</v>
      </c>
      <c r="BL261" s="11">
        <v>1</v>
      </c>
      <c r="BM261" s="11">
        <v>1</v>
      </c>
      <c r="BN261" s="11">
        <v>1</v>
      </c>
      <c r="BO261" s="11">
        <v>1</v>
      </c>
      <c r="BP261" t="s">
        <v>460</v>
      </c>
      <c r="BQ261" t="s">
        <v>463</v>
      </c>
    </row>
    <row r="262" ht="18" customHeight="1" spans="1:69" x14ac:dyDescent="0.25">
      <c r="A262" s="9"/>
      <c r="B262" s="9"/>
      <c r="C262" s="9"/>
      <c r="D262" s="9"/>
      <c r="E262" s="9"/>
      <c r="F262" s="9"/>
      <c r="G262" s="10"/>
      <c r="H262" s="9" t="s">
        <v>139</v>
      </c>
      <c r="I262" s="9"/>
      <c r="J262" s="9"/>
      <c r="K262" s="9"/>
      <c r="L262" s="9"/>
      <c r="M262" s="9"/>
      <c r="N262" s="9"/>
      <c r="O262" s="10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t="s">
        <v>460</v>
      </c>
      <c r="BQ262" t="s">
        <v>463</v>
      </c>
    </row>
    <row r="263" ht="28" customHeight="1" spans="1:69" x14ac:dyDescent="0.25">
      <c r="A263" s="9"/>
      <c r="B263" s="9" t="s">
        <v>464</v>
      </c>
      <c r="C263" s="9" t="s">
        <v>465</v>
      </c>
      <c r="D263" s="9" t="s">
        <v>466</v>
      </c>
      <c r="E263" s="9" t="s">
        <v>467</v>
      </c>
      <c r="F263" s="9" t="s">
        <v>134</v>
      </c>
      <c r="G263" s="10" t="s">
        <v>135</v>
      </c>
      <c r="H263" s="9" t="s">
        <v>136</v>
      </c>
      <c r="I263" s="9">
        <v>1</v>
      </c>
      <c r="J263" s="9">
        <v>1</v>
      </c>
      <c r="K263" s="9" t="s">
        <v>4</v>
      </c>
      <c r="L263" s="9" t="s">
        <v>137</v>
      </c>
      <c r="M263" s="9"/>
      <c r="N263" s="9"/>
      <c r="O263" s="10"/>
      <c r="P263" s="11">
        <v>1</v>
      </c>
      <c r="Q263" s="11">
        <v>1</v>
      </c>
      <c r="R263" s="11">
        <v>1</v>
      </c>
      <c r="S263" s="11">
        <v>1</v>
      </c>
      <c r="T263" s="11">
        <v>1</v>
      </c>
      <c r="U263" s="11">
        <v>1</v>
      </c>
      <c r="V263" s="11">
        <v>1</v>
      </c>
      <c r="W263" s="11">
        <v>1</v>
      </c>
      <c r="X263" s="11">
        <v>1</v>
      </c>
      <c r="Y263" s="11">
        <v>1</v>
      </c>
      <c r="Z263" s="11">
        <v>1</v>
      </c>
      <c r="AA263" s="11">
        <v>1</v>
      </c>
      <c r="AB263" s="11">
        <v>1</v>
      </c>
      <c r="AC263" s="11">
        <v>1</v>
      </c>
      <c r="AD263" s="11">
        <v>1</v>
      </c>
      <c r="AE263" s="11">
        <v>1</v>
      </c>
      <c r="AF263" s="11">
        <v>1</v>
      </c>
      <c r="AG263" s="11">
        <v>1</v>
      </c>
      <c r="AH263" s="11">
        <v>1</v>
      </c>
      <c r="AI263" s="11">
        <v>1</v>
      </c>
      <c r="AJ263" s="11">
        <v>1</v>
      </c>
      <c r="AK263" s="11">
        <v>1</v>
      </c>
      <c r="AL263" s="11">
        <v>1</v>
      </c>
      <c r="AM263" s="11">
        <v>1</v>
      </c>
      <c r="AN263" s="11">
        <v>1</v>
      </c>
      <c r="AO263" s="11">
        <v>1</v>
      </c>
      <c r="AP263" s="11">
        <v>1</v>
      </c>
      <c r="AQ263" s="11">
        <v>1</v>
      </c>
      <c r="AR263" s="11">
        <v>1</v>
      </c>
      <c r="AS263" s="11">
        <v>1</v>
      </c>
      <c r="AT263" s="11">
        <v>1</v>
      </c>
      <c r="AU263" s="11">
        <v>1</v>
      </c>
      <c r="AV263" s="11">
        <v>1</v>
      </c>
      <c r="AW263" s="11">
        <v>1</v>
      </c>
      <c r="AX263" s="11">
        <v>1</v>
      </c>
      <c r="AY263" s="11">
        <v>1</v>
      </c>
      <c r="AZ263" s="11">
        <v>1</v>
      </c>
      <c r="BA263" s="11">
        <v>1</v>
      </c>
      <c r="BB263" s="11">
        <v>1</v>
      </c>
      <c r="BC263" s="11">
        <v>1</v>
      </c>
      <c r="BD263" s="11">
        <v>1</v>
      </c>
      <c r="BE263" s="11">
        <v>1</v>
      </c>
      <c r="BF263" s="11">
        <v>1</v>
      </c>
      <c r="BG263" s="11">
        <v>1</v>
      </c>
      <c r="BH263" s="11">
        <v>1</v>
      </c>
      <c r="BI263" s="11">
        <v>1</v>
      </c>
      <c r="BJ263" s="11">
        <v>1</v>
      </c>
      <c r="BK263" s="11">
        <v>1</v>
      </c>
      <c r="BL263" s="11">
        <v>1</v>
      </c>
      <c r="BM263" s="11">
        <v>1</v>
      </c>
      <c r="BN263" s="11">
        <v>1</v>
      </c>
      <c r="BO263" s="11">
        <v>1</v>
      </c>
      <c r="BP263" t="s">
        <v>464</v>
      </c>
      <c r="BQ263" t="s">
        <v>468</v>
      </c>
    </row>
    <row r="264" ht="18" customHeight="1" spans="1:69" x14ac:dyDescent="0.25">
      <c r="A264" s="9"/>
      <c r="B264" s="9"/>
      <c r="C264" s="9"/>
      <c r="D264" s="9"/>
      <c r="E264" s="9"/>
      <c r="F264" s="9"/>
      <c r="G264" s="10"/>
      <c r="H264" s="9" t="s">
        <v>139</v>
      </c>
      <c r="I264" s="9"/>
      <c r="J264" s="9"/>
      <c r="K264" s="9"/>
      <c r="L264" s="9"/>
      <c r="M264" s="9"/>
      <c r="N264" s="9"/>
      <c r="O264" s="10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t="s">
        <v>464</v>
      </c>
      <c r="BQ264" t="s">
        <v>468</v>
      </c>
    </row>
    <row r="265" ht="28" customHeight="1" spans="1:69" x14ac:dyDescent="0.25">
      <c r="A265" s="9"/>
      <c r="B265" s="9"/>
      <c r="C265" s="9"/>
      <c r="D265" s="9"/>
      <c r="E265" s="9"/>
      <c r="F265" s="9" t="s">
        <v>222</v>
      </c>
      <c r="G265" s="10" t="s">
        <v>469</v>
      </c>
      <c r="H265" s="9" t="s">
        <v>136</v>
      </c>
      <c r="I265" s="9">
        <v>3</v>
      </c>
      <c r="J265" s="9">
        <v>3</v>
      </c>
      <c r="K265" s="9" t="s">
        <v>6</v>
      </c>
      <c r="L265" s="9" t="s">
        <v>137</v>
      </c>
      <c r="M265" s="9"/>
      <c r="N265" s="9"/>
      <c r="O265" s="10"/>
      <c r="P265" s="13"/>
      <c r="Q265" s="13"/>
      <c r="R265" s="17">
        <v>3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7">
        <v>3</v>
      </c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7">
        <v>3</v>
      </c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7">
        <v>3</v>
      </c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t="s">
        <v>464</v>
      </c>
      <c r="BQ265" t="s">
        <v>470</v>
      </c>
    </row>
    <row r="266" ht="18" customHeight="1" spans="1:69" x14ac:dyDescent="0.25">
      <c r="A266" s="9"/>
      <c r="B266" s="9"/>
      <c r="C266" s="9"/>
      <c r="D266" s="9"/>
      <c r="E266" s="9"/>
      <c r="F266" s="9"/>
      <c r="G266" s="10"/>
      <c r="H266" s="9" t="s">
        <v>139</v>
      </c>
      <c r="I266" s="9"/>
      <c r="J266" s="9"/>
      <c r="K266" s="9"/>
      <c r="L266" s="9"/>
      <c r="M266" s="9"/>
      <c r="N266" s="9"/>
      <c r="O266" s="10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t="s">
        <v>464</v>
      </c>
      <c r="BQ266" t="s">
        <v>470</v>
      </c>
    </row>
    <row r="267" ht="28" customHeight="1" spans="1:69" x14ac:dyDescent="0.25">
      <c r="A267" s="9"/>
      <c r="B267" s="9"/>
      <c r="C267" s="9"/>
      <c r="D267" s="9"/>
      <c r="E267" s="9"/>
      <c r="F267" s="9" t="s">
        <v>471</v>
      </c>
      <c r="G267" s="10" t="s">
        <v>469</v>
      </c>
      <c r="H267" s="9" t="s">
        <v>136</v>
      </c>
      <c r="I267" s="9">
        <v>1</v>
      </c>
      <c r="J267" s="9">
        <v>1</v>
      </c>
      <c r="K267" s="9" t="s">
        <v>4</v>
      </c>
      <c r="L267" s="9" t="s">
        <v>137</v>
      </c>
      <c r="M267" s="9"/>
      <c r="N267" s="9"/>
      <c r="O267" s="10"/>
      <c r="P267" s="11">
        <v>1</v>
      </c>
      <c r="Q267" s="11">
        <v>1</v>
      </c>
      <c r="R267" s="11">
        <v>1</v>
      </c>
      <c r="S267" s="11">
        <v>1</v>
      </c>
      <c r="T267" s="11">
        <v>1</v>
      </c>
      <c r="U267" s="11">
        <v>1</v>
      </c>
      <c r="V267" s="11">
        <v>1</v>
      </c>
      <c r="W267" s="11">
        <v>1</v>
      </c>
      <c r="X267" s="11">
        <v>1</v>
      </c>
      <c r="Y267" s="11">
        <v>1</v>
      </c>
      <c r="Z267" s="11">
        <v>1</v>
      </c>
      <c r="AA267" s="11">
        <v>1</v>
      </c>
      <c r="AB267" s="11">
        <v>1</v>
      </c>
      <c r="AC267" s="11">
        <v>1</v>
      </c>
      <c r="AD267" s="11">
        <v>1</v>
      </c>
      <c r="AE267" s="11">
        <v>1</v>
      </c>
      <c r="AF267" s="11">
        <v>1</v>
      </c>
      <c r="AG267" s="11">
        <v>1</v>
      </c>
      <c r="AH267" s="11">
        <v>1</v>
      </c>
      <c r="AI267" s="11">
        <v>1</v>
      </c>
      <c r="AJ267" s="11">
        <v>1</v>
      </c>
      <c r="AK267" s="11">
        <v>1</v>
      </c>
      <c r="AL267" s="11">
        <v>1</v>
      </c>
      <c r="AM267" s="11">
        <v>1</v>
      </c>
      <c r="AN267" s="11">
        <v>1</v>
      </c>
      <c r="AO267" s="11">
        <v>1</v>
      </c>
      <c r="AP267" s="11">
        <v>1</v>
      </c>
      <c r="AQ267" s="11">
        <v>1</v>
      </c>
      <c r="AR267" s="11">
        <v>1</v>
      </c>
      <c r="AS267" s="11">
        <v>1</v>
      </c>
      <c r="AT267" s="11">
        <v>1</v>
      </c>
      <c r="AU267" s="11">
        <v>1</v>
      </c>
      <c r="AV267" s="11">
        <v>1</v>
      </c>
      <c r="AW267" s="11">
        <v>1</v>
      </c>
      <c r="AX267" s="11">
        <v>1</v>
      </c>
      <c r="AY267" s="11">
        <v>1</v>
      </c>
      <c r="AZ267" s="11">
        <v>1</v>
      </c>
      <c r="BA267" s="11">
        <v>1</v>
      </c>
      <c r="BB267" s="11">
        <v>1</v>
      </c>
      <c r="BC267" s="11">
        <v>1</v>
      </c>
      <c r="BD267" s="11">
        <v>1</v>
      </c>
      <c r="BE267" s="11">
        <v>1</v>
      </c>
      <c r="BF267" s="11">
        <v>1</v>
      </c>
      <c r="BG267" s="11">
        <v>1</v>
      </c>
      <c r="BH267" s="11">
        <v>1</v>
      </c>
      <c r="BI267" s="11">
        <v>1</v>
      </c>
      <c r="BJ267" s="11">
        <v>1</v>
      </c>
      <c r="BK267" s="11">
        <v>1</v>
      </c>
      <c r="BL267" s="11">
        <v>1</v>
      </c>
      <c r="BM267" s="11">
        <v>1</v>
      </c>
      <c r="BN267" s="11">
        <v>1</v>
      </c>
      <c r="BO267" s="11">
        <v>1</v>
      </c>
      <c r="BP267" t="s">
        <v>464</v>
      </c>
      <c r="BQ267" t="s">
        <v>472</v>
      </c>
    </row>
    <row r="268" ht="18" customHeight="1" spans="1:69" x14ac:dyDescent="0.25">
      <c r="A268" s="9"/>
      <c r="B268" s="9"/>
      <c r="C268" s="9"/>
      <c r="D268" s="9"/>
      <c r="E268" s="9"/>
      <c r="F268" s="9"/>
      <c r="G268" s="10"/>
      <c r="H268" s="9" t="s">
        <v>139</v>
      </c>
      <c r="I268" s="9"/>
      <c r="J268" s="9"/>
      <c r="K268" s="9"/>
      <c r="L268" s="9"/>
      <c r="M268" s="9"/>
      <c r="N268" s="9"/>
      <c r="O268" s="10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t="s">
        <v>464</v>
      </c>
      <c r="BQ268" t="s">
        <v>472</v>
      </c>
    </row>
    <row r="269" ht="28" customHeight="1" spans="1:69" x14ac:dyDescent="0.25">
      <c r="A269" s="9"/>
      <c r="B269" s="9" t="s">
        <v>473</v>
      </c>
      <c r="C269" s="9" t="s">
        <v>283</v>
      </c>
      <c r="D269" s="9" t="s">
        <v>474</v>
      </c>
      <c r="E269" s="9" t="s">
        <v>475</v>
      </c>
      <c r="F269" s="9" t="s">
        <v>134</v>
      </c>
      <c r="G269" s="10" t="s">
        <v>296</v>
      </c>
      <c r="H269" s="9" t="s">
        <v>136</v>
      </c>
      <c r="I269" s="9">
        <v>1</v>
      </c>
      <c r="J269" s="9">
        <v>1</v>
      </c>
      <c r="K269" s="9" t="s">
        <v>4</v>
      </c>
      <c r="L269" s="9" t="s">
        <v>137</v>
      </c>
      <c r="M269" s="9"/>
      <c r="N269" s="9"/>
      <c r="O269" s="10"/>
      <c r="P269" s="11">
        <v>1</v>
      </c>
      <c r="Q269" s="11">
        <v>1</v>
      </c>
      <c r="R269" s="11">
        <v>1</v>
      </c>
      <c r="S269" s="11">
        <v>1</v>
      </c>
      <c r="T269" s="11">
        <v>1</v>
      </c>
      <c r="U269" s="11">
        <v>1</v>
      </c>
      <c r="V269" s="11">
        <v>1</v>
      </c>
      <c r="W269" s="11">
        <v>1</v>
      </c>
      <c r="X269" s="11">
        <v>1</v>
      </c>
      <c r="Y269" s="11">
        <v>1</v>
      </c>
      <c r="Z269" s="11">
        <v>1</v>
      </c>
      <c r="AA269" s="11">
        <v>1</v>
      </c>
      <c r="AB269" s="11">
        <v>1</v>
      </c>
      <c r="AC269" s="11">
        <v>1</v>
      </c>
      <c r="AD269" s="11">
        <v>1</v>
      </c>
      <c r="AE269" s="11">
        <v>1</v>
      </c>
      <c r="AF269" s="11">
        <v>1</v>
      </c>
      <c r="AG269" s="11">
        <v>1</v>
      </c>
      <c r="AH269" s="11">
        <v>1</v>
      </c>
      <c r="AI269" s="11">
        <v>1</v>
      </c>
      <c r="AJ269" s="11">
        <v>1</v>
      </c>
      <c r="AK269" s="11">
        <v>1</v>
      </c>
      <c r="AL269" s="11">
        <v>1</v>
      </c>
      <c r="AM269" s="11">
        <v>1</v>
      </c>
      <c r="AN269" s="11">
        <v>1</v>
      </c>
      <c r="AO269" s="11">
        <v>1</v>
      </c>
      <c r="AP269" s="11">
        <v>1</v>
      </c>
      <c r="AQ269" s="11">
        <v>1</v>
      </c>
      <c r="AR269" s="11">
        <v>1</v>
      </c>
      <c r="AS269" s="11">
        <v>1</v>
      </c>
      <c r="AT269" s="11">
        <v>1</v>
      </c>
      <c r="AU269" s="11">
        <v>1</v>
      </c>
      <c r="AV269" s="11">
        <v>1</v>
      </c>
      <c r="AW269" s="11">
        <v>1</v>
      </c>
      <c r="AX269" s="11">
        <v>1</v>
      </c>
      <c r="AY269" s="11">
        <v>1</v>
      </c>
      <c r="AZ269" s="11">
        <v>1</v>
      </c>
      <c r="BA269" s="11">
        <v>1</v>
      </c>
      <c r="BB269" s="11">
        <v>1</v>
      </c>
      <c r="BC269" s="11">
        <v>1</v>
      </c>
      <c r="BD269" s="11">
        <v>1</v>
      </c>
      <c r="BE269" s="11">
        <v>1</v>
      </c>
      <c r="BF269" s="11">
        <v>1</v>
      </c>
      <c r="BG269" s="11">
        <v>1</v>
      </c>
      <c r="BH269" s="11">
        <v>1</v>
      </c>
      <c r="BI269" s="11">
        <v>1</v>
      </c>
      <c r="BJ269" s="11">
        <v>1</v>
      </c>
      <c r="BK269" s="11">
        <v>1</v>
      </c>
      <c r="BL269" s="11">
        <v>1</v>
      </c>
      <c r="BM269" s="11">
        <v>1</v>
      </c>
      <c r="BN269" s="11">
        <v>1</v>
      </c>
      <c r="BO269" s="11">
        <v>1</v>
      </c>
      <c r="BP269" t="s">
        <v>473</v>
      </c>
      <c r="BQ269" t="s">
        <v>476</v>
      </c>
    </row>
    <row r="270" ht="18" customHeight="1" spans="1:69" x14ac:dyDescent="0.25">
      <c r="A270" s="9"/>
      <c r="B270" s="9"/>
      <c r="C270" s="9"/>
      <c r="D270" s="9"/>
      <c r="E270" s="9"/>
      <c r="F270" s="9"/>
      <c r="G270" s="10"/>
      <c r="H270" s="9" t="s">
        <v>139</v>
      </c>
      <c r="I270" s="9"/>
      <c r="J270" s="9"/>
      <c r="K270" s="9"/>
      <c r="L270" s="9"/>
      <c r="M270" s="9"/>
      <c r="N270" s="9"/>
      <c r="O270" s="10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t="s">
        <v>473</v>
      </c>
      <c r="BQ270" t="s">
        <v>476</v>
      </c>
    </row>
    <row r="271" ht="28" customHeight="1" spans="1:69" x14ac:dyDescent="0.25">
      <c r="A271" s="9"/>
      <c r="B271" s="9"/>
      <c r="C271" s="9"/>
      <c r="D271" s="9"/>
      <c r="E271" s="9"/>
      <c r="F271" s="9" t="s">
        <v>168</v>
      </c>
      <c r="G271" s="10" t="s">
        <v>298</v>
      </c>
      <c r="H271" s="9" t="s">
        <v>136</v>
      </c>
      <c r="I271" s="9">
        <v>3</v>
      </c>
      <c r="J271" s="9">
        <v>2000</v>
      </c>
      <c r="K271" s="9" t="s">
        <v>189</v>
      </c>
      <c r="L271" s="9" t="s">
        <v>9</v>
      </c>
      <c r="M271" s="9"/>
      <c r="N271" s="9"/>
      <c r="O271" s="10"/>
      <c r="P271" s="13"/>
      <c r="Q271" s="13"/>
      <c r="R271" s="17">
        <v>3</v>
      </c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7">
        <v>3</v>
      </c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7">
        <v>3</v>
      </c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7">
        <v>3</v>
      </c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t="s">
        <v>473</v>
      </c>
      <c r="BQ271" t="s">
        <v>477</v>
      </c>
    </row>
    <row r="272" ht="18" customHeight="1" spans="1:69" x14ac:dyDescent="0.25">
      <c r="A272" s="9"/>
      <c r="B272" s="9"/>
      <c r="C272" s="9"/>
      <c r="D272" s="9"/>
      <c r="E272" s="9"/>
      <c r="F272" s="9"/>
      <c r="G272" s="10"/>
      <c r="H272" s="9" t="s">
        <v>139</v>
      </c>
      <c r="I272" s="9"/>
      <c r="J272" s="9"/>
      <c r="K272" s="9"/>
      <c r="L272" s="9"/>
      <c r="M272" s="9"/>
      <c r="N272" s="9"/>
      <c r="O272" s="10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t="s">
        <v>473</v>
      </c>
      <c r="BQ272" t="s">
        <v>477</v>
      </c>
    </row>
    <row r="273" ht="28" customHeight="1" spans="1:69" x14ac:dyDescent="0.25">
      <c r="A273" s="9"/>
      <c r="B273" s="9"/>
      <c r="C273" s="9"/>
      <c r="D273" s="9"/>
      <c r="E273" s="9"/>
      <c r="F273" s="9" t="s">
        <v>168</v>
      </c>
      <c r="G273" s="10" t="s">
        <v>300</v>
      </c>
      <c r="H273" s="9" t="s">
        <v>136</v>
      </c>
      <c r="I273" s="9">
        <v>5</v>
      </c>
      <c r="J273" s="9">
        <v>10000</v>
      </c>
      <c r="K273" s="9" t="s">
        <v>145</v>
      </c>
      <c r="L273" s="9" t="s">
        <v>9</v>
      </c>
      <c r="M273" s="9"/>
      <c r="N273" s="9"/>
      <c r="O273" s="10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4">
        <v>5</v>
      </c>
      <c r="BK273" s="13"/>
      <c r="BL273" s="13"/>
      <c r="BM273" s="13"/>
      <c r="BN273" s="13"/>
      <c r="BO273" s="13"/>
      <c r="BP273" t="s">
        <v>473</v>
      </c>
      <c r="BQ273" t="s">
        <v>478</v>
      </c>
    </row>
    <row r="274" ht="18" customHeight="1" spans="1:69" x14ac:dyDescent="0.25">
      <c r="A274" s="9"/>
      <c r="B274" s="9"/>
      <c r="C274" s="9"/>
      <c r="D274" s="9"/>
      <c r="E274" s="9"/>
      <c r="F274" s="9"/>
      <c r="G274" s="10"/>
      <c r="H274" s="9" t="s">
        <v>139</v>
      </c>
      <c r="I274" s="9"/>
      <c r="J274" s="9"/>
      <c r="K274" s="9"/>
      <c r="L274" s="9"/>
      <c r="M274" s="9"/>
      <c r="N274" s="9"/>
      <c r="O274" s="10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t="s">
        <v>473</v>
      </c>
      <c r="BQ274" t="s">
        <v>478</v>
      </c>
    </row>
    <row r="275" ht="28" customHeight="1" spans="1:69" x14ac:dyDescent="0.25">
      <c r="A275" s="9"/>
      <c r="B275" s="9"/>
      <c r="C275" s="9"/>
      <c r="D275" s="9"/>
      <c r="E275" s="9"/>
      <c r="F275" s="9" t="s">
        <v>302</v>
      </c>
      <c r="G275" s="10" t="s">
        <v>303</v>
      </c>
      <c r="H275" s="9" t="s">
        <v>136</v>
      </c>
      <c r="I275" s="9">
        <v>2</v>
      </c>
      <c r="J275" s="9">
        <v>1000</v>
      </c>
      <c r="K275" s="9" t="s">
        <v>152</v>
      </c>
      <c r="L275" s="9" t="s">
        <v>9</v>
      </c>
      <c r="M275" s="9"/>
      <c r="N275" s="9"/>
      <c r="O275" s="10"/>
      <c r="P275" s="13"/>
      <c r="Q275" s="13"/>
      <c r="R275" s="16">
        <v>2</v>
      </c>
      <c r="S275" s="13"/>
      <c r="T275" s="13"/>
      <c r="U275" s="13"/>
      <c r="V275" s="13"/>
      <c r="W275" s="16">
        <v>2</v>
      </c>
      <c r="X275" s="13"/>
      <c r="Y275" s="13"/>
      <c r="Z275" s="13"/>
      <c r="AA275" s="16">
        <v>2</v>
      </c>
      <c r="AB275" s="13"/>
      <c r="AC275" s="13"/>
      <c r="AD275" s="13"/>
      <c r="AE275" s="16">
        <v>2</v>
      </c>
      <c r="AF275" s="13"/>
      <c r="AG275" s="13"/>
      <c r="AH275" s="13"/>
      <c r="AI275" s="16">
        <v>2</v>
      </c>
      <c r="AJ275" s="13"/>
      <c r="AK275" s="13"/>
      <c r="AL275" s="13"/>
      <c r="AM275" s="13"/>
      <c r="AN275" s="16">
        <v>2</v>
      </c>
      <c r="AO275" s="13"/>
      <c r="AP275" s="13"/>
      <c r="AQ275" s="13"/>
      <c r="AR275" s="16">
        <v>2</v>
      </c>
      <c r="AS275" s="13"/>
      <c r="AT275" s="13"/>
      <c r="AU275" s="13"/>
      <c r="AV275" s="13"/>
      <c r="AW275" s="16">
        <v>2</v>
      </c>
      <c r="AX275" s="13"/>
      <c r="AY275" s="13"/>
      <c r="AZ275" s="13"/>
      <c r="BA275" s="16">
        <v>2</v>
      </c>
      <c r="BB275" s="13"/>
      <c r="BC275" s="13"/>
      <c r="BD275" s="13"/>
      <c r="BE275" s="16">
        <v>2</v>
      </c>
      <c r="BF275" s="13"/>
      <c r="BG275" s="13"/>
      <c r="BH275" s="13"/>
      <c r="BI275" s="13"/>
      <c r="BJ275" s="16">
        <v>2</v>
      </c>
      <c r="BK275" s="13"/>
      <c r="BL275" s="13"/>
      <c r="BM275" s="13"/>
      <c r="BN275" s="16">
        <v>2</v>
      </c>
      <c r="BO275" s="13"/>
      <c r="BP275" t="s">
        <v>473</v>
      </c>
      <c r="BQ275" t="s">
        <v>479</v>
      </c>
    </row>
    <row r="276" ht="18" customHeight="1" spans="1:69" x14ac:dyDescent="0.25">
      <c r="A276" s="9"/>
      <c r="B276" s="9"/>
      <c r="C276" s="9"/>
      <c r="D276" s="9"/>
      <c r="E276" s="9"/>
      <c r="F276" s="9"/>
      <c r="G276" s="10"/>
      <c r="H276" s="9" t="s">
        <v>139</v>
      </c>
      <c r="I276" s="9"/>
      <c r="J276" s="9"/>
      <c r="K276" s="9"/>
      <c r="L276" s="9"/>
      <c r="M276" s="9"/>
      <c r="N276" s="9"/>
      <c r="O276" s="10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t="s">
        <v>473</v>
      </c>
      <c r="BQ276" t="s">
        <v>479</v>
      </c>
    </row>
    <row r="277" ht="18" customHeight="1" spans="1:67" x14ac:dyDescent="0.25">
      <c r="A277" s="9"/>
      <c r="B277" s="9"/>
      <c r="C277" s="9"/>
      <c r="D277" s="9"/>
      <c r="E277" s="9"/>
      <c r="F277" s="10"/>
      <c r="G277" s="10"/>
      <c r="H277" s="9"/>
      <c r="I277" s="9"/>
      <c r="J277" s="9"/>
      <c r="K277" s="9"/>
      <c r="L277" s="9"/>
      <c r="M277" s="9"/>
      <c r="N277" s="9"/>
      <c r="O277" s="10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ht="18" customHeight="1" spans="1:67" x14ac:dyDescent="0.25">
      <c r="A278" s="9"/>
      <c r="B278" s="9"/>
      <c r="C278" s="9"/>
      <c r="D278" s="9"/>
      <c r="E278" s="9"/>
      <c r="F278" s="10"/>
      <c r="G278" s="10"/>
      <c r="H278" s="9"/>
      <c r="I278" s="9"/>
      <c r="J278" s="9"/>
      <c r="K278" s="9"/>
      <c r="L278" s="9"/>
      <c r="M278" s="9"/>
      <c r="N278" s="9"/>
      <c r="O278" s="10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ht="18" customHeight="1" spans="1:67" x14ac:dyDescent="0.25">
      <c r="A279" s="9"/>
      <c r="B279" s="9"/>
      <c r="C279" s="9"/>
      <c r="D279" s="9"/>
      <c r="E279" s="9"/>
      <c r="F279" s="10"/>
      <c r="G279" s="10"/>
      <c r="H279" s="9"/>
      <c r="I279" s="9"/>
      <c r="J279" s="9"/>
      <c r="K279" s="9"/>
      <c r="L279" s="9"/>
      <c r="M279" s="9"/>
      <c r="N279" s="9"/>
      <c r="O279" s="10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ht="18" customHeight="1" spans="1:67" x14ac:dyDescent="0.25">
      <c r="A280" s="9"/>
      <c r="B280" s="9"/>
      <c r="C280" s="9"/>
      <c r="D280" s="9"/>
      <c r="E280" s="9"/>
      <c r="F280" s="10"/>
      <c r="G280" s="10"/>
      <c r="H280" s="9"/>
      <c r="I280" s="9"/>
      <c r="J280" s="9"/>
      <c r="K280" s="9"/>
      <c r="L280" s="9"/>
      <c r="M280" s="9"/>
      <c r="N280" s="9"/>
      <c r="O280" s="10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ht="18" customHeight="1" spans="1:67" x14ac:dyDescent="0.25">
      <c r="A281" s="9"/>
      <c r="B281" s="9"/>
      <c r="C281" s="9"/>
      <c r="D281" s="9"/>
      <c r="E281" s="9"/>
      <c r="F281" s="10"/>
      <c r="G281" s="10"/>
      <c r="H281" s="9"/>
      <c r="I281" s="9"/>
      <c r="J281" s="9"/>
      <c r="K281" s="9"/>
      <c r="L281" s="9"/>
      <c r="M281" s="9"/>
      <c r="N281" s="9"/>
      <c r="O281" s="10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ht="18" customHeight="1" spans="1:67" x14ac:dyDescent="0.25">
      <c r="A282" s="9"/>
      <c r="B282" s="9"/>
      <c r="C282" s="9"/>
      <c r="D282" s="9"/>
      <c r="E282" s="9"/>
      <c r="F282" s="10"/>
      <c r="G282" s="10"/>
      <c r="H282" s="9"/>
      <c r="I282" s="9"/>
      <c r="J282" s="9"/>
      <c r="K282" s="9"/>
      <c r="L282" s="9"/>
      <c r="M282" s="9"/>
      <c r="N282" s="9"/>
      <c r="O282" s="10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ht="18" customHeight="1" spans="1:67" x14ac:dyDescent="0.25">
      <c r="A283" s="9"/>
      <c r="B283" s="9"/>
      <c r="C283" s="9"/>
      <c r="D283" s="9"/>
      <c r="E283" s="9"/>
      <c r="F283" s="10"/>
      <c r="G283" s="10"/>
      <c r="H283" s="9"/>
      <c r="I283" s="9"/>
      <c r="J283" s="9"/>
      <c r="K283" s="9"/>
      <c r="L283" s="9"/>
      <c r="M283" s="9"/>
      <c r="N283" s="9"/>
      <c r="O283" s="10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ht="18" customHeight="1" spans="1:67" x14ac:dyDescent="0.25">
      <c r="A284" s="9"/>
      <c r="B284" s="9"/>
      <c r="C284" s="9"/>
      <c r="D284" s="9"/>
      <c r="E284" s="9"/>
      <c r="F284" s="10"/>
      <c r="G284" s="10"/>
      <c r="H284" s="9"/>
      <c r="I284" s="9"/>
      <c r="J284" s="9"/>
      <c r="K284" s="9"/>
      <c r="L284" s="9"/>
      <c r="M284" s="9"/>
      <c r="N284" s="9"/>
      <c r="O284" s="10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ht="18" customHeight="1" spans="1:67" x14ac:dyDescent="0.25">
      <c r="A285" s="9"/>
      <c r="B285" s="9"/>
      <c r="C285" s="9"/>
      <c r="D285" s="9"/>
      <c r="E285" s="9"/>
      <c r="F285" s="10"/>
      <c r="G285" s="10"/>
      <c r="H285" s="9"/>
      <c r="I285" s="9"/>
      <c r="J285" s="9"/>
      <c r="K285" s="9"/>
      <c r="L285" s="9"/>
      <c r="M285" s="9"/>
      <c r="N285" s="9"/>
      <c r="O285" s="10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ht="18" customHeight="1" spans="1:67" x14ac:dyDescent="0.25">
      <c r="A286" s="9"/>
      <c r="B286" s="9"/>
      <c r="C286" s="9"/>
      <c r="D286" s="9"/>
      <c r="E286" s="9"/>
      <c r="F286" s="10"/>
      <c r="G286" s="10"/>
      <c r="H286" s="9"/>
      <c r="I286" s="9"/>
      <c r="J286" s="9"/>
      <c r="K286" s="9"/>
      <c r="L286" s="9"/>
      <c r="M286" s="9"/>
      <c r="N286" s="9"/>
      <c r="O286" s="10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ht="18" customHeight="1" spans="1:67" x14ac:dyDescent="0.25">
      <c r="A287" s="9"/>
      <c r="B287" s="9"/>
      <c r="C287" s="9"/>
      <c r="D287" s="9"/>
      <c r="E287" s="9"/>
      <c r="F287" s="10"/>
      <c r="G287" s="10"/>
      <c r="H287" s="9"/>
      <c r="I287" s="9"/>
      <c r="J287" s="9"/>
      <c r="K287" s="9"/>
      <c r="L287" s="9"/>
      <c r="M287" s="9"/>
      <c r="N287" s="9"/>
      <c r="O287" s="10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ht="18" customHeight="1" spans="1:67" x14ac:dyDescent="0.25">
      <c r="A288" s="9"/>
      <c r="B288" s="9"/>
      <c r="C288" s="9"/>
      <c r="D288" s="9"/>
      <c r="E288" s="9"/>
      <c r="F288" s="10"/>
      <c r="G288" s="10"/>
      <c r="H288" s="9"/>
      <c r="I288" s="9"/>
      <c r="J288" s="9"/>
      <c r="K288" s="9"/>
      <c r="L288" s="9"/>
      <c r="M288" s="9"/>
      <c r="N288" s="9"/>
      <c r="O288" s="10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ht="18" customHeight="1" spans="1:67" x14ac:dyDescent="0.25">
      <c r="A289" s="9"/>
      <c r="B289" s="9"/>
      <c r="C289" s="9"/>
      <c r="D289" s="9"/>
      <c r="E289" s="9"/>
      <c r="F289" s="10"/>
      <c r="G289" s="10"/>
      <c r="H289" s="9"/>
      <c r="I289" s="9"/>
      <c r="J289" s="9"/>
      <c r="K289" s="9"/>
      <c r="L289" s="9"/>
      <c r="M289" s="9"/>
      <c r="N289" s="9"/>
      <c r="O289" s="10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ht="18" customHeight="1" spans="1:67" x14ac:dyDescent="0.25">
      <c r="A290" s="9"/>
      <c r="B290" s="9"/>
      <c r="C290" s="9"/>
      <c r="D290" s="9"/>
      <c r="E290" s="9"/>
      <c r="F290" s="10"/>
      <c r="G290" s="10"/>
      <c r="H290" s="9"/>
      <c r="I290" s="9"/>
      <c r="J290" s="9"/>
      <c r="K290" s="9"/>
      <c r="L290" s="9"/>
      <c r="M290" s="9"/>
      <c r="N290" s="9"/>
      <c r="O290" s="10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ht="18" customHeight="1" spans="1:67" x14ac:dyDescent="0.25">
      <c r="A291" s="9"/>
      <c r="B291" s="9"/>
      <c r="C291" s="9"/>
      <c r="D291" s="9"/>
      <c r="E291" s="9"/>
      <c r="F291" s="10"/>
      <c r="G291" s="10"/>
      <c r="H291" s="9"/>
      <c r="I291" s="9"/>
      <c r="J291" s="9"/>
      <c r="K291" s="9"/>
      <c r="L291" s="9"/>
      <c r="M291" s="9"/>
      <c r="N291" s="9"/>
      <c r="O291" s="10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ht="18" customHeight="1" spans="1:67" x14ac:dyDescent="0.25">
      <c r="A292" s="9"/>
      <c r="B292" s="9"/>
      <c r="C292" s="9"/>
      <c r="D292" s="9"/>
      <c r="E292" s="9"/>
      <c r="F292" s="10"/>
      <c r="G292" s="10"/>
      <c r="H292" s="9"/>
      <c r="I292" s="9"/>
      <c r="J292" s="9"/>
      <c r="K292" s="9"/>
      <c r="L292" s="9"/>
      <c r="M292" s="9"/>
      <c r="N292" s="9"/>
      <c r="O292" s="10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ht="18" customHeight="1" spans="1:67" x14ac:dyDescent="0.25">
      <c r="A293" s="9"/>
      <c r="B293" s="9"/>
      <c r="C293" s="9"/>
      <c r="D293" s="9"/>
      <c r="E293" s="9"/>
      <c r="F293" s="10"/>
      <c r="G293" s="10"/>
      <c r="H293" s="9"/>
      <c r="I293" s="9"/>
      <c r="J293" s="9"/>
      <c r="K293" s="9"/>
      <c r="L293" s="9"/>
      <c r="M293" s="9"/>
      <c r="N293" s="9"/>
      <c r="O293" s="10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ht="18" customHeight="1" spans="1:67" x14ac:dyDescent="0.25">
      <c r="A294" s="9"/>
      <c r="B294" s="9"/>
      <c r="C294" s="9"/>
      <c r="D294" s="9"/>
      <c r="E294" s="9"/>
      <c r="F294" s="10"/>
      <c r="G294" s="10"/>
      <c r="H294" s="9"/>
      <c r="I294" s="9"/>
      <c r="J294" s="9"/>
      <c r="K294" s="9"/>
      <c r="L294" s="9"/>
      <c r="M294" s="9"/>
      <c r="N294" s="9"/>
      <c r="O294" s="10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ht="18" customHeight="1" spans="1:67" x14ac:dyDescent="0.25">
      <c r="A295" s="9"/>
      <c r="B295" s="9"/>
      <c r="C295" s="9"/>
      <c r="D295" s="9"/>
      <c r="E295" s="9"/>
      <c r="F295" s="10"/>
      <c r="G295" s="10"/>
      <c r="H295" s="9"/>
      <c r="I295" s="9"/>
      <c r="J295" s="9"/>
      <c r="K295" s="9"/>
      <c r="L295" s="9"/>
      <c r="M295" s="9"/>
      <c r="N295" s="9"/>
      <c r="O295" s="10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ht="18" customHeight="1" spans="1:67" x14ac:dyDescent="0.25">
      <c r="A296" s="9"/>
      <c r="B296" s="9"/>
      <c r="C296" s="9"/>
      <c r="D296" s="9"/>
      <c r="E296" s="9"/>
      <c r="F296" s="10"/>
      <c r="G296" s="10"/>
      <c r="H296" s="9"/>
      <c r="I296" s="9"/>
      <c r="J296" s="9"/>
      <c r="K296" s="9"/>
      <c r="L296" s="9"/>
      <c r="M296" s="9"/>
      <c r="N296" s="9"/>
      <c r="O296" s="10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ht="18" customHeight="1" spans="1:67" x14ac:dyDescent="0.25">
      <c r="A297" s="9"/>
      <c r="B297" s="9"/>
      <c r="C297" s="9"/>
      <c r="D297" s="9"/>
      <c r="E297" s="9"/>
      <c r="F297" s="10"/>
      <c r="G297" s="10"/>
      <c r="H297" s="9"/>
      <c r="I297" s="9"/>
      <c r="J297" s="9"/>
      <c r="K297" s="9"/>
      <c r="L297" s="9"/>
      <c r="M297" s="9"/>
      <c r="N297" s="9"/>
      <c r="O297" s="10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ht="18" customHeight="1" spans="1:67" x14ac:dyDescent="0.25">
      <c r="A298" s="9"/>
      <c r="B298" s="9"/>
      <c r="C298" s="9"/>
      <c r="D298" s="9"/>
      <c r="E298" s="9"/>
      <c r="F298" s="10"/>
      <c r="G298" s="10"/>
      <c r="H298" s="9"/>
      <c r="I298" s="9"/>
      <c r="J298" s="9"/>
      <c r="K298" s="9"/>
      <c r="L298" s="9"/>
      <c r="M298" s="9"/>
      <c r="N298" s="9"/>
      <c r="O298" s="10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ht="18" customHeight="1" spans="1:67" x14ac:dyDescent="0.25">
      <c r="A299" s="9"/>
      <c r="B299" s="9"/>
      <c r="C299" s="9"/>
      <c r="D299" s="9"/>
      <c r="E299" s="9"/>
      <c r="F299" s="10"/>
      <c r="G299" s="10"/>
      <c r="H299" s="9"/>
      <c r="I299" s="9"/>
      <c r="J299" s="9"/>
      <c r="K299" s="9"/>
      <c r="L299" s="9"/>
      <c r="M299" s="9"/>
      <c r="N299" s="9"/>
      <c r="O299" s="10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ht="18" customHeight="1" spans="1:67" x14ac:dyDescent="0.25">
      <c r="A300" s="9"/>
      <c r="B300" s="9"/>
      <c r="C300" s="9"/>
      <c r="D300" s="9"/>
      <c r="E300" s="9"/>
      <c r="F300" s="10"/>
      <c r="G300" s="10"/>
      <c r="H300" s="9"/>
      <c r="I300" s="9"/>
      <c r="J300" s="9"/>
      <c r="K300" s="9"/>
      <c r="L300" s="9"/>
      <c r="M300" s="9"/>
      <c r="N300" s="9"/>
      <c r="O300" s="10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ht="18" customHeight="1" spans="1:67" x14ac:dyDescent="0.25">
      <c r="A301" s="9"/>
      <c r="B301" s="9"/>
      <c r="C301" s="9"/>
      <c r="D301" s="9"/>
      <c r="E301" s="9"/>
      <c r="F301" s="10"/>
      <c r="G301" s="10"/>
      <c r="H301" s="9"/>
      <c r="I301" s="9"/>
      <c r="J301" s="9"/>
      <c r="K301" s="9"/>
      <c r="L301" s="9"/>
      <c r="M301" s="9"/>
      <c r="N301" s="9"/>
      <c r="O301" s="10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ht="18" customHeight="1" spans="1:67" x14ac:dyDescent="0.25">
      <c r="A302" s="9"/>
      <c r="B302" s="9"/>
      <c r="C302" s="9"/>
      <c r="D302" s="9"/>
      <c r="E302" s="9"/>
      <c r="F302" s="10"/>
      <c r="G302" s="10"/>
      <c r="H302" s="9"/>
      <c r="I302" s="9"/>
      <c r="J302" s="9"/>
      <c r="K302" s="9"/>
      <c r="L302" s="9"/>
      <c r="M302" s="9"/>
      <c r="N302" s="9"/>
      <c r="O302" s="10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ht="18" customHeight="1" spans="1:67" x14ac:dyDescent="0.25">
      <c r="A303" s="9"/>
      <c r="B303" s="9"/>
      <c r="C303" s="9"/>
      <c r="D303" s="9"/>
      <c r="E303" s="9"/>
      <c r="F303" s="10"/>
      <c r="G303" s="10"/>
      <c r="H303" s="9"/>
      <c r="I303" s="9"/>
      <c r="J303" s="9"/>
      <c r="K303" s="9"/>
      <c r="L303" s="9"/>
      <c r="M303" s="9"/>
      <c r="N303" s="9"/>
      <c r="O303" s="10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ht="18" customHeight="1" spans="1:67" x14ac:dyDescent="0.25">
      <c r="A304" s="9"/>
      <c r="B304" s="9"/>
      <c r="C304" s="9"/>
      <c r="D304" s="9"/>
      <c r="E304" s="9"/>
      <c r="F304" s="10"/>
      <c r="G304" s="10"/>
      <c r="H304" s="9"/>
      <c r="I304" s="9"/>
      <c r="J304" s="9"/>
      <c r="K304" s="9"/>
      <c r="L304" s="9"/>
      <c r="M304" s="9"/>
      <c r="N304" s="9"/>
      <c r="O304" s="10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ht="18" customHeight="1" spans="1:67" x14ac:dyDescent="0.25">
      <c r="A305" s="9"/>
      <c r="B305" s="9"/>
      <c r="C305" s="9"/>
      <c r="D305" s="9"/>
      <c r="E305" s="9"/>
      <c r="F305" s="10"/>
      <c r="G305" s="10"/>
      <c r="H305" s="9"/>
      <c r="I305" s="9"/>
      <c r="J305" s="9"/>
      <c r="K305" s="9"/>
      <c r="L305" s="9"/>
      <c r="M305" s="9"/>
      <c r="N305" s="9"/>
      <c r="O305" s="10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ht="18" customHeight="1" spans="1:67" x14ac:dyDescent="0.25">
      <c r="A306" s="9"/>
      <c r="B306" s="9"/>
      <c r="C306" s="9"/>
      <c r="D306" s="9"/>
      <c r="E306" s="9"/>
      <c r="F306" s="10"/>
      <c r="G306" s="10"/>
      <c r="H306" s="9"/>
      <c r="I306" s="9"/>
      <c r="J306" s="9"/>
      <c r="K306" s="9"/>
      <c r="L306" s="9"/>
      <c r="M306" s="9"/>
      <c r="N306" s="9"/>
      <c r="O306" s="10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ht="18" customHeight="1" spans="1:67" x14ac:dyDescent="0.25">
      <c r="A307" s="9"/>
      <c r="B307" s="9"/>
      <c r="C307" s="9"/>
      <c r="D307" s="9"/>
      <c r="E307" s="9"/>
      <c r="F307" s="10"/>
      <c r="G307" s="10"/>
      <c r="H307" s="9"/>
      <c r="I307" s="9"/>
      <c r="J307" s="9"/>
      <c r="K307" s="9"/>
      <c r="L307" s="9"/>
      <c r="M307" s="9"/>
      <c r="N307" s="9"/>
      <c r="O307" s="10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ht="18" customHeight="1" spans="1:67" x14ac:dyDescent="0.25">
      <c r="A308" s="9"/>
      <c r="B308" s="9"/>
      <c r="C308" s="9"/>
      <c r="D308" s="9"/>
      <c r="E308" s="9"/>
      <c r="F308" s="10"/>
      <c r="G308" s="10"/>
      <c r="H308" s="9"/>
      <c r="I308" s="9"/>
      <c r="J308" s="9"/>
      <c r="K308" s="9"/>
      <c r="L308" s="9"/>
      <c r="M308" s="9"/>
      <c r="N308" s="9"/>
      <c r="O308" s="10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ht="18" customHeight="1" spans="1:67" x14ac:dyDescent="0.25">
      <c r="A309" s="9"/>
      <c r="B309" s="9"/>
      <c r="C309" s="9"/>
      <c r="D309" s="9"/>
      <c r="E309" s="9"/>
      <c r="F309" s="10"/>
      <c r="G309" s="10"/>
      <c r="H309" s="9"/>
      <c r="I309" s="9"/>
      <c r="J309" s="9"/>
      <c r="K309" s="9"/>
      <c r="L309" s="9"/>
      <c r="M309" s="9"/>
      <c r="N309" s="9"/>
      <c r="O309" s="10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ht="18" customHeight="1" spans="1:67" x14ac:dyDescent="0.25">
      <c r="A310" s="9"/>
      <c r="B310" s="9"/>
      <c r="C310" s="9"/>
      <c r="D310" s="9"/>
      <c r="E310" s="9"/>
      <c r="F310" s="10"/>
      <c r="G310" s="10"/>
      <c r="H310" s="9"/>
      <c r="I310" s="9"/>
      <c r="J310" s="9"/>
      <c r="K310" s="9"/>
      <c r="L310" s="9"/>
      <c r="M310" s="9"/>
      <c r="N310" s="9"/>
      <c r="O310" s="10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ht="18" customHeight="1" spans="1:67" x14ac:dyDescent="0.25">
      <c r="A311" s="9"/>
      <c r="B311" s="9"/>
      <c r="C311" s="9"/>
      <c r="D311" s="9"/>
      <c r="E311" s="9"/>
      <c r="F311" s="10"/>
      <c r="G311" s="10"/>
      <c r="H311" s="9"/>
      <c r="I311" s="9"/>
      <c r="J311" s="9"/>
      <c r="K311" s="9"/>
      <c r="L311" s="9"/>
      <c r="M311" s="9"/>
      <c r="N311" s="9"/>
      <c r="O311" s="10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ht="18" customHeight="1" spans="1:67" x14ac:dyDescent="0.25">
      <c r="A312" s="9"/>
      <c r="B312" s="9"/>
      <c r="C312" s="9"/>
      <c r="D312" s="9"/>
      <c r="E312" s="9"/>
      <c r="F312" s="10"/>
      <c r="G312" s="10"/>
      <c r="H312" s="9"/>
      <c r="I312" s="9"/>
      <c r="J312" s="9"/>
      <c r="K312" s="9"/>
      <c r="L312" s="9"/>
      <c r="M312" s="9"/>
      <c r="N312" s="9"/>
      <c r="O312" s="10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ht="18" customHeight="1" spans="1:67" x14ac:dyDescent="0.25">
      <c r="A313" s="9"/>
      <c r="B313" s="9"/>
      <c r="C313" s="9"/>
      <c r="D313" s="9"/>
      <c r="E313" s="9"/>
      <c r="F313" s="10"/>
      <c r="G313" s="10"/>
      <c r="H313" s="9"/>
      <c r="I313" s="9"/>
      <c r="J313" s="9"/>
      <c r="K313" s="9"/>
      <c r="L313" s="9"/>
      <c r="M313" s="9"/>
      <c r="N313" s="9"/>
      <c r="O313" s="10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ht="18" customHeight="1" spans="1:67" x14ac:dyDescent="0.25">
      <c r="A314" s="9"/>
      <c r="B314" s="9"/>
      <c r="C314" s="9"/>
      <c r="D314" s="9"/>
      <c r="E314" s="9"/>
      <c r="F314" s="10"/>
      <c r="G314" s="10"/>
      <c r="H314" s="9"/>
      <c r="I314" s="9"/>
      <c r="J314" s="9"/>
      <c r="K314" s="9"/>
      <c r="L314" s="9"/>
      <c r="M314" s="9"/>
      <c r="N314" s="9"/>
      <c r="O314" s="10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ht="18" customHeight="1" spans="1:67" x14ac:dyDescent="0.25">
      <c r="A315" s="9"/>
      <c r="B315" s="9"/>
      <c r="C315" s="9"/>
      <c r="D315" s="9"/>
      <c r="E315" s="9"/>
      <c r="F315" s="10"/>
      <c r="G315" s="10"/>
      <c r="H315" s="9"/>
      <c r="I315" s="9"/>
      <c r="J315" s="9"/>
      <c r="K315" s="9"/>
      <c r="L315" s="9"/>
      <c r="M315" s="9"/>
      <c r="N315" s="9"/>
      <c r="O315" s="10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ht="18" customHeight="1" spans="1:67" x14ac:dyDescent="0.25">
      <c r="A316" s="9"/>
      <c r="B316" s="9"/>
      <c r="C316" s="9"/>
      <c r="D316" s="9"/>
      <c r="E316" s="9"/>
      <c r="F316" s="10"/>
      <c r="G316" s="10"/>
      <c r="H316" s="9"/>
      <c r="I316" s="9"/>
      <c r="J316" s="9"/>
      <c r="K316" s="9"/>
      <c r="L316" s="9"/>
      <c r="M316" s="9"/>
      <c r="N316" s="9"/>
      <c r="O316" s="10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ht="18" customHeight="1" spans="1:67" x14ac:dyDescent="0.25">
      <c r="A317" s="9"/>
      <c r="B317" s="9"/>
      <c r="C317" s="9"/>
      <c r="D317" s="9"/>
      <c r="E317" s="9"/>
      <c r="F317" s="10"/>
      <c r="G317" s="10"/>
      <c r="H317" s="9"/>
      <c r="I317" s="9"/>
      <c r="J317" s="9"/>
      <c r="K317" s="9"/>
      <c r="L317" s="9"/>
      <c r="M317" s="9"/>
      <c r="N317" s="9"/>
      <c r="O317" s="10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ht="18" customHeight="1" spans="1:67" x14ac:dyDescent="0.25">
      <c r="A318" s="9"/>
      <c r="B318" s="9"/>
      <c r="C318" s="9"/>
      <c r="D318" s="9"/>
      <c r="E318" s="9"/>
      <c r="F318" s="10"/>
      <c r="G318" s="10"/>
      <c r="H318" s="9"/>
      <c r="I318" s="9"/>
      <c r="J318" s="9"/>
      <c r="K318" s="9"/>
      <c r="L318" s="9"/>
      <c r="M318" s="9"/>
      <c r="N318" s="9"/>
      <c r="O318" s="10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ht="18" customHeight="1" spans="1:67" x14ac:dyDescent="0.25">
      <c r="A319" s="9"/>
      <c r="B319" s="9"/>
      <c r="C319" s="9"/>
      <c r="D319" s="9"/>
      <c r="E319" s="9"/>
      <c r="F319" s="10"/>
      <c r="G319" s="10"/>
      <c r="H319" s="9"/>
      <c r="I319" s="9"/>
      <c r="J319" s="9"/>
      <c r="K319" s="9"/>
      <c r="L319" s="9"/>
      <c r="M319" s="9"/>
      <c r="N319" s="9"/>
      <c r="O319" s="10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ht="18" customHeight="1" spans="1:67" x14ac:dyDescent="0.25">
      <c r="A320" s="9"/>
      <c r="B320" s="9"/>
      <c r="C320" s="9"/>
      <c r="D320" s="9"/>
      <c r="E320" s="9"/>
      <c r="F320" s="10"/>
      <c r="G320" s="10"/>
      <c r="H320" s="9"/>
      <c r="I320" s="9"/>
      <c r="J320" s="9"/>
      <c r="K320" s="9"/>
      <c r="L320" s="9"/>
      <c r="M320" s="9"/>
      <c r="N320" s="9"/>
      <c r="O320" s="10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ht="18" customHeight="1" spans="1:67" x14ac:dyDescent="0.25">
      <c r="A321" s="9"/>
      <c r="B321" s="9"/>
      <c r="C321" s="9"/>
      <c r="D321" s="9"/>
      <c r="E321" s="9"/>
      <c r="F321" s="10"/>
      <c r="G321" s="10"/>
      <c r="H321" s="9"/>
      <c r="I321" s="9"/>
      <c r="J321" s="9"/>
      <c r="K321" s="9"/>
      <c r="L321" s="9"/>
      <c r="M321" s="9"/>
      <c r="N321" s="9"/>
      <c r="O321" s="10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ht="18" customHeight="1" spans="1:67" x14ac:dyDescent="0.25">
      <c r="A322" s="9"/>
      <c r="B322" s="9"/>
      <c r="C322" s="9"/>
      <c r="D322" s="9"/>
      <c r="E322" s="9"/>
      <c r="F322" s="10"/>
      <c r="G322" s="10"/>
      <c r="H322" s="9"/>
      <c r="I322" s="9"/>
      <c r="J322" s="9"/>
      <c r="K322" s="9"/>
      <c r="L322" s="9"/>
      <c r="M322" s="9"/>
      <c r="N322" s="9"/>
      <c r="O322" s="10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ht="18" customHeight="1" spans="1:67" x14ac:dyDescent="0.25">
      <c r="A323" s="9"/>
      <c r="B323" s="9"/>
      <c r="C323" s="9"/>
      <c r="D323" s="9"/>
      <c r="E323" s="9"/>
      <c r="F323" s="10"/>
      <c r="G323" s="10"/>
      <c r="H323" s="9"/>
      <c r="I323" s="9"/>
      <c r="J323" s="9"/>
      <c r="K323" s="9"/>
      <c r="L323" s="9"/>
      <c r="M323" s="9"/>
      <c r="N323" s="9"/>
      <c r="O323" s="10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ht="18" customHeight="1" spans="1:67" x14ac:dyDescent="0.25">
      <c r="A324" s="9"/>
      <c r="B324" s="9"/>
      <c r="C324" s="9"/>
      <c r="D324" s="9"/>
      <c r="E324" s="9"/>
      <c r="F324" s="10"/>
      <c r="G324" s="10"/>
      <c r="H324" s="9"/>
      <c r="I324" s="9"/>
      <c r="J324" s="9"/>
      <c r="K324" s="9"/>
      <c r="L324" s="9"/>
      <c r="M324" s="9"/>
      <c r="N324" s="9"/>
      <c r="O324" s="10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ht="18" customHeight="1" spans="1:67" x14ac:dyDescent="0.25">
      <c r="A325" s="9"/>
      <c r="B325" s="9"/>
      <c r="C325" s="9"/>
      <c r="D325" s="9"/>
      <c r="E325" s="9"/>
      <c r="F325" s="10"/>
      <c r="G325" s="10"/>
      <c r="H325" s="9"/>
      <c r="I325" s="9"/>
      <c r="J325" s="9"/>
      <c r="K325" s="9"/>
      <c r="L325" s="9"/>
      <c r="M325" s="9"/>
      <c r="N325" s="9"/>
      <c r="O325" s="10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ht="18" customHeight="1" spans="1:67" x14ac:dyDescent="0.25">
      <c r="A326" s="9"/>
      <c r="B326" s="9"/>
      <c r="C326" s="9"/>
      <c r="D326" s="9"/>
      <c r="E326" s="9"/>
      <c r="F326" s="10"/>
      <c r="G326" s="10"/>
      <c r="H326" s="9"/>
      <c r="I326" s="9"/>
      <c r="J326" s="9"/>
      <c r="K326" s="9"/>
      <c r="L326" s="9"/>
      <c r="M326" s="9"/>
      <c r="N326" s="9"/>
      <c r="O326" s="10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ht="18" customHeight="1" spans="1:67" x14ac:dyDescent="0.25">
      <c r="A327" s="9"/>
      <c r="B327" s="9"/>
      <c r="C327" s="9"/>
      <c r="D327" s="9"/>
      <c r="E327" s="9"/>
      <c r="F327" s="10"/>
      <c r="G327" s="10"/>
      <c r="H327" s="9"/>
      <c r="I327" s="9"/>
      <c r="J327" s="9"/>
      <c r="K327" s="9"/>
      <c r="L327" s="9"/>
      <c r="M327" s="9"/>
      <c r="N327" s="9"/>
      <c r="O327" s="10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ht="18" customHeight="1" spans="1:67" x14ac:dyDescent="0.25">
      <c r="A328" s="9"/>
      <c r="B328" s="9"/>
      <c r="C328" s="9"/>
      <c r="D328" s="9"/>
      <c r="E328" s="9"/>
      <c r="F328" s="10"/>
      <c r="G328" s="10"/>
      <c r="H328" s="9"/>
      <c r="I328" s="9"/>
      <c r="J328" s="9"/>
      <c r="K328" s="9"/>
      <c r="L328" s="9"/>
      <c r="M328" s="9"/>
      <c r="N328" s="9"/>
      <c r="O328" s="10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ht="18" customHeight="1" spans="1:67" x14ac:dyDescent="0.25">
      <c r="A329" s="9"/>
      <c r="B329" s="9"/>
      <c r="C329" s="9"/>
      <c r="D329" s="9"/>
      <c r="E329" s="9"/>
      <c r="F329" s="10"/>
      <c r="G329" s="10"/>
      <c r="H329" s="9"/>
      <c r="I329" s="9"/>
      <c r="J329" s="9"/>
      <c r="K329" s="9"/>
      <c r="L329" s="9"/>
      <c r="M329" s="9"/>
      <c r="N329" s="9"/>
      <c r="O329" s="10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ht="18" customHeight="1" spans="1:67" x14ac:dyDescent="0.25">
      <c r="A330" s="9"/>
      <c r="B330" s="9"/>
      <c r="C330" s="9"/>
      <c r="D330" s="9"/>
      <c r="E330" s="9"/>
      <c r="F330" s="10"/>
      <c r="G330" s="10"/>
      <c r="H330" s="9"/>
      <c r="I330" s="9"/>
      <c r="J330" s="9"/>
      <c r="K330" s="9"/>
      <c r="L330" s="9"/>
      <c r="M330" s="9"/>
      <c r="N330" s="9"/>
      <c r="O330" s="10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ht="18" customHeight="1" spans="1:67" x14ac:dyDescent="0.25">
      <c r="A331" s="9"/>
      <c r="B331" s="9"/>
      <c r="C331" s="9"/>
      <c r="D331" s="9"/>
      <c r="E331" s="9"/>
      <c r="F331" s="10"/>
      <c r="G331" s="10"/>
      <c r="H331" s="9"/>
      <c r="I331" s="9"/>
      <c r="J331" s="9"/>
      <c r="K331" s="9"/>
      <c r="L331" s="9"/>
      <c r="M331" s="9"/>
      <c r="N331" s="9"/>
      <c r="O331" s="10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ht="18" customHeight="1" spans="1:67" x14ac:dyDescent="0.25">
      <c r="A332" s="9"/>
      <c r="B332" s="9"/>
      <c r="C332" s="9"/>
      <c r="D332" s="9"/>
      <c r="E332" s="9"/>
      <c r="F332" s="10"/>
      <c r="G332" s="10"/>
      <c r="H332" s="9"/>
      <c r="I332" s="9"/>
      <c r="J332" s="9"/>
      <c r="K332" s="9"/>
      <c r="L332" s="9"/>
      <c r="M332" s="9"/>
      <c r="N332" s="9"/>
      <c r="O332" s="10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ht="18" customHeight="1" spans="1:67" x14ac:dyDescent="0.25">
      <c r="A333" s="9"/>
      <c r="B333" s="9"/>
      <c r="C333" s="9"/>
      <c r="D333" s="9"/>
      <c r="E333" s="9"/>
      <c r="F333" s="10"/>
      <c r="G333" s="10"/>
      <c r="H333" s="9"/>
      <c r="I333" s="9"/>
      <c r="J333" s="9"/>
      <c r="K333" s="9"/>
      <c r="L333" s="9"/>
      <c r="M333" s="9"/>
      <c r="N333" s="9"/>
      <c r="O333" s="10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ht="18" customHeight="1" spans="1:67" x14ac:dyDescent="0.25">
      <c r="A334" s="9"/>
      <c r="B334" s="9"/>
      <c r="C334" s="9"/>
      <c r="D334" s="9"/>
      <c r="E334" s="9"/>
      <c r="F334" s="10"/>
      <c r="G334" s="10"/>
      <c r="H334" s="9"/>
      <c r="I334" s="9"/>
      <c r="J334" s="9"/>
      <c r="K334" s="9"/>
      <c r="L334" s="9"/>
      <c r="M334" s="9"/>
      <c r="N334" s="9"/>
      <c r="O334" s="10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ht="18" customHeight="1" spans="1:67" x14ac:dyDescent="0.25">
      <c r="A335" s="9"/>
      <c r="B335" s="9"/>
      <c r="C335" s="9"/>
      <c r="D335" s="9"/>
      <c r="E335" s="9"/>
      <c r="F335" s="10"/>
      <c r="G335" s="10"/>
      <c r="H335" s="9"/>
      <c r="I335" s="9"/>
      <c r="J335" s="9"/>
      <c r="K335" s="9"/>
      <c r="L335" s="9"/>
      <c r="M335" s="9"/>
      <c r="N335" s="9"/>
      <c r="O335" s="10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ht="18" customHeight="1" spans="1:67" x14ac:dyDescent="0.25">
      <c r="A336" s="9"/>
      <c r="B336" s="9"/>
      <c r="C336" s="9"/>
      <c r="D336" s="9"/>
      <c r="E336" s="9"/>
      <c r="F336" s="10"/>
      <c r="G336" s="10"/>
      <c r="H336" s="9"/>
      <c r="I336" s="9"/>
      <c r="J336" s="9"/>
      <c r="K336" s="9"/>
      <c r="L336" s="9"/>
      <c r="M336" s="9"/>
      <c r="N336" s="9"/>
      <c r="O336" s="10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ht="18" customHeight="1" spans="1:67" x14ac:dyDescent="0.25">
      <c r="A337" s="9"/>
      <c r="B337" s="9"/>
      <c r="C337" s="9"/>
      <c r="D337" s="9"/>
      <c r="E337" s="9"/>
      <c r="F337" s="10"/>
      <c r="G337" s="10"/>
      <c r="H337" s="9"/>
      <c r="I337" s="9"/>
      <c r="J337" s="9"/>
      <c r="K337" s="9"/>
      <c r="L337" s="9"/>
      <c r="M337" s="9"/>
      <c r="N337" s="9"/>
      <c r="O337" s="10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ht="18" customHeight="1" spans="1:67" x14ac:dyDescent="0.25">
      <c r="A338" s="9"/>
      <c r="B338" s="9"/>
      <c r="C338" s="9"/>
      <c r="D338" s="9"/>
      <c r="E338" s="9"/>
      <c r="F338" s="10"/>
      <c r="G338" s="10"/>
      <c r="H338" s="9"/>
      <c r="I338" s="9"/>
      <c r="J338" s="9"/>
      <c r="K338" s="9"/>
      <c r="L338" s="9"/>
      <c r="M338" s="9"/>
      <c r="N338" s="9"/>
      <c r="O338" s="10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ht="18" customHeight="1" spans="1:67" x14ac:dyDescent="0.25">
      <c r="A339" s="9"/>
      <c r="B339" s="9"/>
      <c r="C339" s="9"/>
      <c r="D339" s="9"/>
      <c r="E339" s="9"/>
      <c r="F339" s="10"/>
      <c r="G339" s="10"/>
      <c r="H339" s="9"/>
      <c r="I339" s="9"/>
      <c r="J339" s="9"/>
      <c r="K339" s="9"/>
      <c r="L339" s="9"/>
      <c r="M339" s="9"/>
      <c r="N339" s="9"/>
      <c r="O339" s="10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ht="18" customHeight="1" spans="1:67" x14ac:dyDescent="0.25">
      <c r="A340" s="9"/>
      <c r="B340" s="9"/>
      <c r="C340" s="9"/>
      <c r="D340" s="9"/>
      <c r="E340" s="9"/>
      <c r="F340" s="10"/>
      <c r="G340" s="10"/>
      <c r="H340" s="9"/>
      <c r="I340" s="9"/>
      <c r="J340" s="9"/>
      <c r="K340" s="9"/>
      <c r="L340" s="9"/>
      <c r="M340" s="9"/>
      <c r="N340" s="9"/>
      <c r="O340" s="10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ht="18" customHeight="1" spans="1:67" x14ac:dyDescent="0.25">
      <c r="A341" s="9"/>
      <c r="B341" s="9"/>
      <c r="C341" s="9"/>
      <c r="D341" s="9"/>
      <c r="E341" s="9"/>
      <c r="F341" s="10"/>
      <c r="G341" s="10"/>
      <c r="H341" s="9"/>
      <c r="I341" s="9"/>
      <c r="J341" s="9"/>
      <c r="K341" s="9"/>
      <c r="L341" s="9"/>
      <c r="M341" s="9"/>
      <c r="N341" s="9"/>
      <c r="O341" s="10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ht="18" customHeight="1" spans="1:67" x14ac:dyDescent="0.25">
      <c r="A342" s="9"/>
      <c r="B342" s="9"/>
      <c r="C342" s="9"/>
      <c r="D342" s="9"/>
      <c r="E342" s="9"/>
      <c r="F342" s="10"/>
      <c r="G342" s="10"/>
      <c r="H342" s="9"/>
      <c r="I342" s="9"/>
      <c r="J342" s="9"/>
      <c r="K342" s="9"/>
      <c r="L342" s="9"/>
      <c r="M342" s="9"/>
      <c r="N342" s="9"/>
      <c r="O342" s="10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ht="18" customHeight="1" spans="1:67" x14ac:dyDescent="0.25">
      <c r="A343" s="9"/>
      <c r="B343" s="9"/>
      <c r="C343" s="9"/>
      <c r="D343" s="9"/>
      <c r="E343" s="9"/>
      <c r="F343" s="10"/>
      <c r="G343" s="10"/>
      <c r="H343" s="9"/>
      <c r="I343" s="9"/>
      <c r="J343" s="9"/>
      <c r="K343" s="9"/>
      <c r="L343" s="9"/>
      <c r="M343" s="9"/>
      <c r="N343" s="9"/>
      <c r="O343" s="10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ht="18" customHeight="1" spans="1:67" x14ac:dyDescent="0.25">
      <c r="A344" s="9"/>
      <c r="B344" s="9"/>
      <c r="C344" s="9"/>
      <c r="D344" s="9"/>
      <c r="E344" s="9"/>
      <c r="F344" s="10"/>
      <c r="G344" s="10"/>
      <c r="H344" s="9"/>
      <c r="I344" s="9"/>
      <c r="J344" s="9"/>
      <c r="K344" s="9"/>
      <c r="L344" s="9"/>
      <c r="M344" s="9"/>
      <c r="N344" s="9"/>
      <c r="O344" s="10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ht="18" customHeight="1" spans="1:67" x14ac:dyDescent="0.25">
      <c r="A345" s="9"/>
      <c r="B345" s="9"/>
      <c r="C345" s="9"/>
      <c r="D345" s="9"/>
      <c r="E345" s="9"/>
      <c r="F345" s="10"/>
      <c r="G345" s="10"/>
      <c r="H345" s="9"/>
      <c r="I345" s="9"/>
      <c r="J345" s="9"/>
      <c r="K345" s="9"/>
      <c r="L345" s="9"/>
      <c r="M345" s="9"/>
      <c r="N345" s="9"/>
      <c r="O345" s="10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ht="18" customHeight="1" spans="1:67" x14ac:dyDescent="0.25">
      <c r="A346" s="9"/>
      <c r="B346" s="9"/>
      <c r="C346" s="9"/>
      <c r="D346" s="9"/>
      <c r="E346" s="9"/>
      <c r="F346" s="10"/>
      <c r="G346" s="10"/>
      <c r="H346" s="9"/>
      <c r="I346" s="9"/>
      <c r="J346" s="9"/>
      <c r="K346" s="9"/>
      <c r="L346" s="9"/>
      <c r="M346" s="9"/>
      <c r="N346" s="9"/>
      <c r="O346" s="10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ht="18" customHeight="1" spans="1:67" x14ac:dyDescent="0.25">
      <c r="A347" s="9"/>
      <c r="B347" s="9"/>
      <c r="C347" s="9"/>
      <c r="D347" s="9"/>
      <c r="E347" s="9"/>
      <c r="F347" s="10"/>
      <c r="G347" s="10"/>
      <c r="H347" s="9"/>
      <c r="I347" s="9"/>
      <c r="J347" s="9"/>
      <c r="K347" s="9"/>
      <c r="L347" s="9"/>
      <c r="M347" s="9"/>
      <c r="N347" s="9"/>
      <c r="O347" s="10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ht="18" customHeight="1" spans="1:67" x14ac:dyDescent="0.25">
      <c r="A348" s="9"/>
      <c r="B348" s="9"/>
      <c r="C348" s="9"/>
      <c r="D348" s="9"/>
      <c r="E348" s="9"/>
      <c r="F348" s="10"/>
      <c r="G348" s="10"/>
      <c r="H348" s="9"/>
      <c r="I348" s="9"/>
      <c r="J348" s="9"/>
      <c r="K348" s="9"/>
      <c r="L348" s="9"/>
      <c r="M348" s="9"/>
      <c r="N348" s="9"/>
      <c r="O348" s="10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ht="18" customHeight="1" spans="1:67" x14ac:dyDescent="0.25">
      <c r="A349" s="9"/>
      <c r="B349" s="9"/>
      <c r="C349" s="9"/>
      <c r="D349" s="9"/>
      <c r="E349" s="9"/>
      <c r="F349" s="10"/>
      <c r="G349" s="10"/>
      <c r="H349" s="9"/>
      <c r="I349" s="9"/>
      <c r="J349" s="9"/>
      <c r="K349" s="9"/>
      <c r="L349" s="9"/>
      <c r="M349" s="9"/>
      <c r="N349" s="9"/>
      <c r="O349" s="10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ht="18" customHeight="1" spans="1:67" x14ac:dyDescent="0.25">
      <c r="A350" s="9"/>
      <c r="B350" s="9"/>
      <c r="C350" s="9"/>
      <c r="D350" s="9"/>
      <c r="E350" s="9"/>
      <c r="F350" s="10"/>
      <c r="G350" s="10"/>
      <c r="H350" s="9"/>
      <c r="I350" s="9"/>
      <c r="J350" s="9"/>
      <c r="K350" s="9"/>
      <c r="L350" s="9"/>
      <c r="M350" s="9"/>
      <c r="N350" s="9"/>
      <c r="O350" s="10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ht="18" customHeight="1" spans="1:67" x14ac:dyDescent="0.25">
      <c r="A351" s="9"/>
      <c r="B351" s="9"/>
      <c r="C351" s="9"/>
      <c r="D351" s="9"/>
      <c r="E351" s="9"/>
      <c r="F351" s="10"/>
      <c r="G351" s="10"/>
      <c r="H351" s="9"/>
      <c r="I351" s="9"/>
      <c r="J351" s="9"/>
      <c r="K351" s="9"/>
      <c r="L351" s="9"/>
      <c r="M351" s="9"/>
      <c r="N351" s="9"/>
      <c r="O351" s="10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ht="18" customHeight="1" spans="1:67" x14ac:dyDescent="0.25">
      <c r="A352" s="9"/>
      <c r="B352" s="9"/>
      <c r="C352" s="9"/>
      <c r="D352" s="9"/>
      <c r="E352" s="9"/>
      <c r="F352" s="10"/>
      <c r="G352" s="10"/>
      <c r="H352" s="9"/>
      <c r="I352" s="9"/>
      <c r="J352" s="9"/>
      <c r="K352" s="9"/>
      <c r="L352" s="9"/>
      <c r="M352" s="9"/>
      <c r="N352" s="9"/>
      <c r="O352" s="10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ht="18" customHeight="1" spans="1:67" x14ac:dyDescent="0.25">
      <c r="A353" s="9"/>
      <c r="B353" s="9"/>
      <c r="C353" s="9"/>
      <c r="D353" s="9"/>
      <c r="E353" s="9"/>
      <c r="F353" s="10"/>
      <c r="G353" s="10"/>
      <c r="H353" s="9"/>
      <c r="I353" s="9"/>
      <c r="J353" s="9"/>
      <c r="K353" s="9"/>
      <c r="L353" s="9"/>
      <c r="M353" s="9"/>
      <c r="N353" s="9"/>
      <c r="O353" s="10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ht="18" customHeight="1" spans="1:67" x14ac:dyDescent="0.25">
      <c r="A354" s="9"/>
      <c r="B354" s="9"/>
      <c r="C354" s="9"/>
      <c r="D354" s="9"/>
      <c r="E354" s="9"/>
      <c r="F354" s="10"/>
      <c r="G354" s="10"/>
      <c r="H354" s="9"/>
      <c r="I354" s="9"/>
      <c r="J354" s="9"/>
      <c r="K354" s="9"/>
      <c r="L354" s="9"/>
      <c r="M354" s="9"/>
      <c r="N354" s="9"/>
      <c r="O354" s="10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ht="18" customHeight="1" spans="1:67" x14ac:dyDescent="0.25">
      <c r="A355" s="9"/>
      <c r="B355" s="9"/>
      <c r="C355" s="9"/>
      <c r="D355" s="9"/>
      <c r="E355" s="9"/>
      <c r="F355" s="10"/>
      <c r="G355" s="10"/>
      <c r="H355" s="9"/>
      <c r="I355" s="9"/>
      <c r="J355" s="9"/>
      <c r="K355" s="9"/>
      <c r="L355" s="9"/>
      <c r="M355" s="9"/>
      <c r="N355" s="9"/>
      <c r="O355" s="10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ht="18" customHeight="1" spans="1:67" x14ac:dyDescent="0.25">
      <c r="A356" s="9"/>
      <c r="B356" s="9"/>
      <c r="C356" s="9"/>
      <c r="D356" s="9"/>
      <c r="E356" s="9"/>
      <c r="F356" s="10"/>
      <c r="G356" s="10"/>
      <c r="H356" s="9"/>
      <c r="I356" s="9"/>
      <c r="J356" s="9"/>
      <c r="K356" s="9"/>
      <c r="L356" s="9"/>
      <c r="M356" s="9"/>
      <c r="N356" s="9"/>
      <c r="O356" s="10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ht="18" customHeight="1" spans="1:67" x14ac:dyDescent="0.25">
      <c r="A357" s="9"/>
      <c r="B357" s="9"/>
      <c r="C357" s="9"/>
      <c r="D357" s="9"/>
      <c r="E357" s="9"/>
      <c r="F357" s="10"/>
      <c r="G357" s="10"/>
      <c r="H357" s="9"/>
      <c r="I357" s="9"/>
      <c r="J357" s="9"/>
      <c r="K357" s="9"/>
      <c r="L357" s="9"/>
      <c r="M357" s="9"/>
      <c r="N357" s="9"/>
      <c r="O357" s="10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ht="18" customHeight="1" spans="1:67" x14ac:dyDescent="0.25">
      <c r="A358" s="9"/>
      <c r="B358" s="9"/>
      <c r="C358" s="9"/>
      <c r="D358" s="9"/>
      <c r="E358" s="9"/>
      <c r="F358" s="10"/>
      <c r="G358" s="10"/>
      <c r="H358" s="9"/>
      <c r="I358" s="9"/>
      <c r="J358" s="9"/>
      <c r="K358" s="9"/>
      <c r="L358" s="9"/>
      <c r="M358" s="9"/>
      <c r="N358" s="9"/>
      <c r="O358" s="10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ht="18" customHeight="1" spans="1:67" x14ac:dyDescent="0.25">
      <c r="A359" s="9"/>
      <c r="B359" s="9"/>
      <c r="C359" s="9"/>
      <c r="D359" s="9"/>
      <c r="E359" s="9"/>
      <c r="F359" s="10"/>
      <c r="G359" s="10"/>
      <c r="H359" s="9"/>
      <c r="I359" s="9"/>
      <c r="J359" s="9"/>
      <c r="K359" s="9"/>
      <c r="L359" s="9"/>
      <c r="M359" s="9"/>
      <c r="N359" s="9"/>
      <c r="O359" s="10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ht="18" customHeight="1" spans="1:67" x14ac:dyDescent="0.25">
      <c r="A360" s="9"/>
      <c r="B360" s="9"/>
      <c r="C360" s="9"/>
      <c r="D360" s="9"/>
      <c r="E360" s="9"/>
      <c r="F360" s="10"/>
      <c r="G360" s="10"/>
      <c r="H360" s="9"/>
      <c r="I360" s="9"/>
      <c r="J360" s="9"/>
      <c r="K360" s="9"/>
      <c r="L360" s="9"/>
      <c r="M360" s="9"/>
      <c r="N360" s="9"/>
      <c r="O360" s="10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ht="18" customHeight="1" spans="1:67" x14ac:dyDescent="0.25">
      <c r="A361" s="9"/>
      <c r="B361" s="9"/>
      <c r="C361" s="9"/>
      <c r="D361" s="9"/>
      <c r="E361" s="9"/>
      <c r="F361" s="10"/>
      <c r="G361" s="10"/>
      <c r="H361" s="9"/>
      <c r="I361" s="9"/>
      <c r="J361" s="9"/>
      <c r="K361" s="9"/>
      <c r="L361" s="9"/>
      <c r="M361" s="9"/>
      <c r="N361" s="9"/>
      <c r="O361" s="10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ht="18" customHeight="1" spans="1:67" x14ac:dyDescent="0.25">
      <c r="A362" s="9"/>
      <c r="B362" s="9"/>
      <c r="C362" s="9"/>
      <c r="D362" s="9"/>
      <c r="E362" s="9"/>
      <c r="F362" s="10"/>
      <c r="G362" s="10"/>
      <c r="H362" s="9"/>
      <c r="I362" s="9"/>
      <c r="J362" s="9"/>
      <c r="K362" s="9"/>
      <c r="L362" s="9"/>
      <c r="M362" s="9"/>
      <c r="N362" s="9"/>
      <c r="O362" s="10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ht="18" customHeight="1" spans="1:67" x14ac:dyDescent="0.25">
      <c r="A363" s="9"/>
      <c r="B363" s="9"/>
      <c r="C363" s="9"/>
      <c r="D363" s="9"/>
      <c r="E363" s="9"/>
      <c r="F363" s="10"/>
      <c r="G363" s="10"/>
      <c r="H363" s="9"/>
      <c r="I363" s="9"/>
      <c r="J363" s="9"/>
      <c r="K363" s="9"/>
      <c r="L363" s="9"/>
      <c r="M363" s="9"/>
      <c r="N363" s="9"/>
      <c r="O363" s="10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ht="18" customHeight="1" spans="1:67" x14ac:dyDescent="0.25">
      <c r="A364" s="9"/>
      <c r="B364" s="9"/>
      <c r="C364" s="9"/>
      <c r="D364" s="9"/>
      <c r="E364" s="9"/>
      <c r="F364" s="10"/>
      <c r="G364" s="10"/>
      <c r="H364" s="9"/>
      <c r="I364" s="9"/>
      <c r="J364" s="9"/>
      <c r="K364" s="9"/>
      <c r="L364" s="9"/>
      <c r="M364" s="9"/>
      <c r="N364" s="9"/>
      <c r="O364" s="10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ht="18" customHeight="1" spans="1:67" x14ac:dyDescent="0.25">
      <c r="A365" s="9"/>
      <c r="B365" s="9"/>
      <c r="C365" s="9"/>
      <c r="D365" s="9"/>
      <c r="E365" s="9"/>
      <c r="F365" s="10"/>
      <c r="G365" s="10"/>
      <c r="H365" s="9"/>
      <c r="I365" s="9"/>
      <c r="J365" s="9"/>
      <c r="K365" s="9"/>
      <c r="L365" s="9"/>
      <c r="M365" s="9"/>
      <c r="N365" s="9"/>
      <c r="O365" s="10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ht="18" customHeight="1" spans="1:67" x14ac:dyDescent="0.25">
      <c r="A366" s="9"/>
      <c r="B366" s="9"/>
      <c r="C366" s="9"/>
      <c r="D366" s="9"/>
      <c r="E366" s="9"/>
      <c r="F366" s="10"/>
      <c r="G366" s="10"/>
      <c r="H366" s="9"/>
      <c r="I366" s="9"/>
      <c r="J366" s="9"/>
      <c r="K366" s="9"/>
      <c r="L366" s="9"/>
      <c r="M366" s="9"/>
      <c r="N366" s="9"/>
      <c r="O366" s="10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ht="18" customHeight="1" spans="1:67" x14ac:dyDescent="0.25">
      <c r="A367" s="9"/>
      <c r="B367" s="9"/>
      <c r="C367" s="9"/>
      <c r="D367" s="9"/>
      <c r="E367" s="9"/>
      <c r="F367" s="10"/>
      <c r="G367" s="10"/>
      <c r="H367" s="9"/>
      <c r="I367" s="9"/>
      <c r="J367" s="9"/>
      <c r="K367" s="9"/>
      <c r="L367" s="9"/>
      <c r="M367" s="9"/>
      <c r="N367" s="9"/>
      <c r="O367" s="10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ht="18" customHeight="1" spans="1:67" x14ac:dyDescent="0.25">
      <c r="A368" s="9"/>
      <c r="B368" s="9"/>
      <c r="C368" s="9"/>
      <c r="D368" s="9"/>
      <c r="E368" s="9"/>
      <c r="F368" s="10"/>
      <c r="G368" s="10"/>
      <c r="H368" s="9"/>
      <c r="I368" s="9"/>
      <c r="J368" s="9"/>
      <c r="K368" s="9"/>
      <c r="L368" s="9"/>
      <c r="M368" s="9"/>
      <c r="N368" s="9"/>
      <c r="O368" s="10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ht="18" customHeight="1" spans="1:67" x14ac:dyDescent="0.25">
      <c r="A369" s="9"/>
      <c r="B369" s="9"/>
      <c r="C369" s="9"/>
      <c r="D369" s="9"/>
      <c r="E369" s="9"/>
      <c r="F369" s="10"/>
      <c r="G369" s="10"/>
      <c r="H369" s="9"/>
      <c r="I369" s="9"/>
      <c r="J369" s="9"/>
      <c r="K369" s="9"/>
      <c r="L369" s="9"/>
      <c r="M369" s="9"/>
      <c r="N369" s="9"/>
      <c r="O369" s="10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ht="18" customHeight="1" spans="1:67" x14ac:dyDescent="0.25">
      <c r="A370" s="9"/>
      <c r="B370" s="9"/>
      <c r="C370" s="9"/>
      <c r="D370" s="9"/>
      <c r="E370" s="9"/>
      <c r="F370" s="10"/>
      <c r="G370" s="10"/>
      <c r="H370" s="9"/>
      <c r="I370" s="9"/>
      <c r="J370" s="9"/>
      <c r="K370" s="9"/>
      <c r="L370" s="9"/>
      <c r="M370" s="9"/>
      <c r="N370" s="9"/>
      <c r="O370" s="10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ht="18" customHeight="1" spans="1:67" x14ac:dyDescent="0.25">
      <c r="A371" s="9"/>
      <c r="B371" s="9"/>
      <c r="C371" s="9"/>
      <c r="D371" s="9"/>
      <c r="E371" s="9"/>
      <c r="F371" s="10"/>
      <c r="G371" s="10"/>
      <c r="H371" s="9"/>
      <c r="I371" s="9"/>
      <c r="J371" s="9"/>
      <c r="K371" s="9"/>
      <c r="L371" s="9"/>
      <c r="M371" s="9"/>
      <c r="N371" s="9"/>
      <c r="O371" s="10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 ht="18" customHeight="1" spans="1:67" x14ac:dyDescent="0.25">
      <c r="A372" s="9"/>
      <c r="B372" s="9"/>
      <c r="C372" s="9"/>
      <c r="D372" s="9"/>
      <c r="E372" s="9"/>
      <c r="F372" s="10"/>
      <c r="G372" s="10"/>
      <c r="H372" s="9"/>
      <c r="I372" s="9"/>
      <c r="J372" s="9"/>
      <c r="K372" s="9"/>
      <c r="L372" s="9"/>
      <c r="M372" s="9"/>
      <c r="N372" s="9"/>
      <c r="O372" s="10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 ht="18" customHeight="1" spans="1:67" x14ac:dyDescent="0.25">
      <c r="A373" s="9"/>
      <c r="B373" s="9"/>
      <c r="C373" s="9"/>
      <c r="D373" s="9"/>
      <c r="E373" s="9"/>
      <c r="F373" s="10"/>
      <c r="G373" s="10"/>
      <c r="H373" s="9"/>
      <c r="I373" s="9"/>
      <c r="J373" s="9"/>
      <c r="K373" s="9"/>
      <c r="L373" s="9"/>
      <c r="M373" s="9"/>
      <c r="N373" s="9"/>
      <c r="O373" s="10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 ht="18" customHeight="1" spans="1:67" x14ac:dyDescent="0.25">
      <c r="A374" s="9"/>
      <c r="B374" s="9"/>
      <c r="C374" s="9"/>
      <c r="D374" s="9"/>
      <c r="E374" s="9"/>
      <c r="F374" s="10"/>
      <c r="G374" s="10"/>
      <c r="H374" s="9"/>
      <c r="I374" s="9"/>
      <c r="J374" s="9"/>
      <c r="K374" s="9"/>
      <c r="L374" s="9"/>
      <c r="M374" s="9"/>
      <c r="N374" s="9"/>
      <c r="O374" s="10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 ht="18" customHeight="1" spans="1:67" x14ac:dyDescent="0.25">
      <c r="A375" s="9"/>
      <c r="B375" s="9"/>
      <c r="C375" s="9"/>
      <c r="D375" s="9"/>
      <c r="E375" s="9"/>
      <c r="F375" s="10"/>
      <c r="G375" s="10"/>
      <c r="H375" s="9"/>
      <c r="I375" s="9"/>
      <c r="J375" s="9"/>
      <c r="K375" s="9"/>
      <c r="L375" s="9"/>
      <c r="M375" s="9"/>
      <c r="N375" s="9"/>
      <c r="O375" s="10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 ht="18" customHeight="1" spans="1:67" x14ac:dyDescent="0.25">
      <c r="A376" s="9"/>
      <c r="B376" s="9"/>
      <c r="C376" s="9"/>
      <c r="D376" s="9"/>
      <c r="E376" s="9"/>
      <c r="F376" s="10"/>
      <c r="G376" s="10"/>
      <c r="H376" s="9"/>
      <c r="I376" s="9"/>
      <c r="J376" s="9"/>
      <c r="K376" s="9"/>
      <c r="L376" s="9"/>
      <c r="M376" s="9"/>
      <c r="N376" s="9"/>
      <c r="O376" s="10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 ht="18" customHeight="1" spans="1:67" x14ac:dyDescent="0.25">
      <c r="A377" s="9"/>
      <c r="B377" s="9"/>
      <c r="C377" s="9"/>
      <c r="D377" s="9"/>
      <c r="E377" s="9"/>
      <c r="F377" s="10"/>
      <c r="G377" s="10"/>
      <c r="H377" s="9"/>
      <c r="I377" s="9"/>
      <c r="J377" s="9"/>
      <c r="K377" s="9"/>
      <c r="L377" s="9"/>
      <c r="M377" s="9"/>
      <c r="N377" s="9"/>
      <c r="O377" s="10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 ht="18" customHeight="1" spans="1:67" x14ac:dyDescent="0.25">
      <c r="A378" s="9"/>
      <c r="B378" s="9"/>
      <c r="C378" s="9"/>
      <c r="D378" s="9"/>
      <c r="E378" s="9"/>
      <c r="F378" s="10"/>
      <c r="G378" s="10"/>
      <c r="H378" s="9"/>
      <c r="I378" s="9"/>
      <c r="J378" s="9"/>
      <c r="K378" s="9"/>
      <c r="L378" s="9"/>
      <c r="M378" s="9"/>
      <c r="N378" s="9"/>
      <c r="O378" s="10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 ht="18" customHeight="1" spans="1:67" x14ac:dyDescent="0.25">
      <c r="A379" s="9"/>
      <c r="B379" s="9"/>
      <c r="C379" s="9"/>
      <c r="D379" s="9"/>
      <c r="E379" s="9"/>
      <c r="F379" s="10"/>
      <c r="G379" s="10"/>
      <c r="H379" s="9"/>
      <c r="I379" s="9"/>
      <c r="J379" s="9"/>
      <c r="K379" s="9"/>
      <c r="L379" s="9"/>
      <c r="M379" s="9"/>
      <c r="N379" s="9"/>
      <c r="O379" s="10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 ht="18" customHeight="1" spans="1:67" x14ac:dyDescent="0.25">
      <c r="A380" s="9"/>
      <c r="B380" s="9"/>
      <c r="C380" s="9"/>
      <c r="D380" s="9"/>
      <c r="E380" s="9"/>
      <c r="F380" s="10"/>
      <c r="G380" s="10"/>
      <c r="H380" s="9"/>
      <c r="I380" s="9"/>
      <c r="J380" s="9"/>
      <c r="K380" s="9"/>
      <c r="L380" s="9"/>
      <c r="M380" s="9"/>
      <c r="N380" s="9"/>
      <c r="O380" s="10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 ht="18" customHeight="1" spans="1:67" x14ac:dyDescent="0.25">
      <c r="A381" s="9"/>
      <c r="B381" s="9"/>
      <c r="C381" s="9"/>
      <c r="D381" s="9"/>
      <c r="E381" s="9"/>
      <c r="F381" s="10"/>
      <c r="G381" s="10"/>
      <c r="H381" s="9"/>
      <c r="I381" s="9"/>
      <c r="J381" s="9"/>
      <c r="K381" s="9"/>
      <c r="L381" s="9"/>
      <c r="M381" s="9"/>
      <c r="N381" s="9"/>
      <c r="O381" s="10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 ht="18" customHeight="1" spans="1:67" x14ac:dyDescent="0.25">
      <c r="A382" s="9"/>
      <c r="B382" s="9"/>
      <c r="C382" s="9"/>
      <c r="D382" s="9"/>
      <c r="E382" s="9"/>
      <c r="F382" s="10"/>
      <c r="G382" s="10"/>
      <c r="H382" s="9"/>
      <c r="I382" s="9"/>
      <c r="J382" s="9"/>
      <c r="K382" s="9"/>
      <c r="L382" s="9"/>
      <c r="M382" s="9"/>
      <c r="N382" s="9"/>
      <c r="O382" s="10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 ht="18" customHeight="1" spans="1:67" x14ac:dyDescent="0.25">
      <c r="A383" s="9"/>
      <c r="B383" s="9"/>
      <c r="C383" s="9"/>
      <c r="D383" s="9"/>
      <c r="E383" s="9"/>
      <c r="F383" s="10"/>
      <c r="G383" s="10"/>
      <c r="H383" s="9"/>
      <c r="I383" s="9"/>
      <c r="J383" s="9"/>
      <c r="K383" s="9"/>
      <c r="L383" s="9"/>
      <c r="M383" s="9"/>
      <c r="N383" s="9"/>
      <c r="O383" s="10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 ht="18" customHeight="1" spans="1:67" x14ac:dyDescent="0.25">
      <c r="A384" s="9"/>
      <c r="B384" s="9"/>
      <c r="C384" s="9"/>
      <c r="D384" s="9"/>
      <c r="E384" s="9"/>
      <c r="F384" s="10"/>
      <c r="G384" s="10"/>
      <c r="H384" s="9"/>
      <c r="I384" s="9"/>
      <c r="J384" s="9"/>
      <c r="K384" s="9"/>
      <c r="L384" s="9"/>
      <c r="M384" s="9"/>
      <c r="N384" s="9"/>
      <c r="O384" s="10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ht="18" customHeight="1" spans="1:67" x14ac:dyDescent="0.25">
      <c r="A385" s="9"/>
      <c r="B385" s="9"/>
      <c r="C385" s="9"/>
      <c r="D385" s="9"/>
      <c r="E385" s="9"/>
      <c r="F385" s="10"/>
      <c r="G385" s="10"/>
      <c r="H385" s="9"/>
      <c r="I385" s="9"/>
      <c r="J385" s="9"/>
      <c r="K385" s="9"/>
      <c r="L385" s="9"/>
      <c r="M385" s="9"/>
      <c r="N385" s="9"/>
      <c r="O385" s="10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ht="18" customHeight="1" spans="1:67" x14ac:dyDescent="0.25">
      <c r="A386" s="9"/>
      <c r="B386" s="9"/>
      <c r="C386" s="9"/>
      <c r="D386" s="9"/>
      <c r="E386" s="9"/>
      <c r="F386" s="10"/>
      <c r="G386" s="10"/>
      <c r="H386" s="9"/>
      <c r="I386" s="9"/>
      <c r="J386" s="9"/>
      <c r="K386" s="9"/>
      <c r="L386" s="9"/>
      <c r="M386" s="9"/>
      <c r="N386" s="9"/>
      <c r="O386" s="10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ht="18" customHeight="1" spans="1:67" x14ac:dyDescent="0.25">
      <c r="A387" s="9"/>
      <c r="B387" s="9"/>
      <c r="C387" s="9"/>
      <c r="D387" s="9"/>
      <c r="E387" s="9"/>
      <c r="F387" s="10"/>
      <c r="G387" s="10"/>
      <c r="H387" s="9"/>
      <c r="I387" s="9"/>
      <c r="J387" s="9"/>
      <c r="K387" s="9"/>
      <c r="L387" s="9"/>
      <c r="M387" s="9"/>
      <c r="N387" s="9"/>
      <c r="O387" s="10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ht="18" customHeight="1" spans="1:67" x14ac:dyDescent="0.25">
      <c r="A388" s="9"/>
      <c r="B388" s="9"/>
      <c r="C388" s="9"/>
      <c r="D388" s="9"/>
      <c r="E388" s="9"/>
      <c r="F388" s="10"/>
      <c r="G388" s="10"/>
      <c r="H388" s="9"/>
      <c r="I388" s="9"/>
      <c r="J388" s="9"/>
      <c r="K388" s="9"/>
      <c r="L388" s="9"/>
      <c r="M388" s="9"/>
      <c r="N388" s="9"/>
      <c r="O388" s="10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ht="18" customHeight="1" spans="1:67" x14ac:dyDescent="0.25">
      <c r="A389" s="9"/>
      <c r="B389" s="9"/>
      <c r="C389" s="9"/>
      <c r="D389" s="9"/>
      <c r="E389" s="9"/>
      <c r="F389" s="10"/>
      <c r="G389" s="10"/>
      <c r="H389" s="9"/>
      <c r="I389" s="9"/>
      <c r="J389" s="9"/>
      <c r="K389" s="9"/>
      <c r="L389" s="9"/>
      <c r="M389" s="9"/>
      <c r="N389" s="9"/>
      <c r="O389" s="10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ht="18" customHeight="1" spans="1:67" x14ac:dyDescent="0.25">
      <c r="A390" s="9"/>
      <c r="B390" s="9"/>
      <c r="C390" s="9"/>
      <c r="D390" s="9"/>
      <c r="E390" s="9"/>
      <c r="F390" s="10"/>
      <c r="G390" s="10"/>
      <c r="H390" s="9"/>
      <c r="I390" s="9"/>
      <c r="J390" s="9"/>
      <c r="K390" s="9"/>
      <c r="L390" s="9"/>
      <c r="M390" s="9"/>
      <c r="N390" s="9"/>
      <c r="O390" s="10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ht="18" customHeight="1" spans="1:67" x14ac:dyDescent="0.25">
      <c r="A391" s="9"/>
      <c r="B391" s="9"/>
      <c r="C391" s="9"/>
      <c r="D391" s="9"/>
      <c r="E391" s="9"/>
      <c r="F391" s="10"/>
      <c r="G391" s="10"/>
      <c r="H391" s="9"/>
      <c r="I391" s="9"/>
      <c r="J391" s="9"/>
      <c r="K391" s="9"/>
      <c r="L391" s="9"/>
      <c r="M391" s="9"/>
      <c r="N391" s="9"/>
      <c r="O391" s="10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ht="18" customHeight="1" spans="1:67" x14ac:dyDescent="0.25">
      <c r="A392" s="9"/>
      <c r="B392" s="9"/>
      <c r="C392" s="9"/>
      <c r="D392" s="9"/>
      <c r="E392" s="9"/>
      <c r="F392" s="10"/>
      <c r="G392" s="10"/>
      <c r="H392" s="9"/>
      <c r="I392" s="9"/>
      <c r="J392" s="9"/>
      <c r="K392" s="9"/>
      <c r="L392" s="9"/>
      <c r="M392" s="9"/>
      <c r="N392" s="9"/>
      <c r="O392" s="10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 ht="18" customHeight="1" spans="1:67" x14ac:dyDescent="0.25">
      <c r="A393" s="9"/>
      <c r="B393" s="9"/>
      <c r="C393" s="9"/>
      <c r="D393" s="9"/>
      <c r="E393" s="9"/>
      <c r="F393" s="10"/>
      <c r="G393" s="10"/>
      <c r="H393" s="9"/>
      <c r="I393" s="9"/>
      <c r="J393" s="9"/>
      <c r="K393" s="9"/>
      <c r="L393" s="9"/>
      <c r="M393" s="9"/>
      <c r="N393" s="9"/>
      <c r="O393" s="10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ht="18" customHeight="1" spans="1:67" x14ac:dyDescent="0.25">
      <c r="A394" s="9"/>
      <c r="B394" s="9"/>
      <c r="C394" s="9"/>
      <c r="D394" s="9"/>
      <c r="E394" s="9"/>
      <c r="F394" s="10"/>
      <c r="G394" s="10"/>
      <c r="H394" s="9"/>
      <c r="I394" s="9"/>
      <c r="J394" s="9"/>
      <c r="K394" s="9"/>
      <c r="L394" s="9"/>
      <c r="M394" s="9"/>
      <c r="N394" s="9"/>
      <c r="O394" s="10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ht="18" customHeight="1" spans="1:67" x14ac:dyDescent="0.25">
      <c r="A395" s="9"/>
      <c r="B395" s="9"/>
      <c r="C395" s="9"/>
      <c r="D395" s="9"/>
      <c r="E395" s="9"/>
      <c r="F395" s="10"/>
      <c r="G395" s="10"/>
      <c r="H395" s="9"/>
      <c r="I395" s="9"/>
      <c r="J395" s="9"/>
      <c r="K395" s="9"/>
      <c r="L395" s="9"/>
      <c r="M395" s="9"/>
      <c r="N395" s="9"/>
      <c r="O395" s="10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ht="18" customHeight="1" spans="1:67" x14ac:dyDescent="0.25">
      <c r="A396" s="9"/>
      <c r="B396" s="9"/>
      <c r="C396" s="9"/>
      <c r="D396" s="9"/>
      <c r="E396" s="9"/>
      <c r="F396" s="10"/>
      <c r="G396" s="10"/>
      <c r="H396" s="9"/>
      <c r="I396" s="9"/>
      <c r="J396" s="9"/>
      <c r="K396" s="9"/>
      <c r="L396" s="9"/>
      <c r="M396" s="9"/>
      <c r="N396" s="9"/>
      <c r="O396" s="10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ht="18" customHeight="1" spans="1:67" x14ac:dyDescent="0.25">
      <c r="A397" s="9"/>
      <c r="B397" s="9"/>
      <c r="C397" s="9"/>
      <c r="D397" s="9"/>
      <c r="E397" s="9"/>
      <c r="F397" s="10"/>
      <c r="G397" s="10"/>
      <c r="H397" s="9"/>
      <c r="I397" s="9"/>
      <c r="J397" s="9"/>
      <c r="K397" s="9"/>
      <c r="L397" s="9"/>
      <c r="M397" s="9"/>
      <c r="N397" s="9"/>
      <c r="O397" s="10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ht="18" customHeight="1" spans="1:67" x14ac:dyDescent="0.25">
      <c r="A398" s="9"/>
      <c r="B398" s="9"/>
      <c r="C398" s="9"/>
      <c r="D398" s="9"/>
      <c r="E398" s="9"/>
      <c r="F398" s="10"/>
      <c r="G398" s="10"/>
      <c r="H398" s="9"/>
      <c r="I398" s="9"/>
      <c r="J398" s="9"/>
      <c r="K398" s="9"/>
      <c r="L398" s="9"/>
      <c r="M398" s="9"/>
      <c r="N398" s="9"/>
      <c r="O398" s="10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ht="18" customHeight="1" spans="1:67" x14ac:dyDescent="0.25">
      <c r="A399" s="9"/>
      <c r="B399" s="9"/>
      <c r="C399" s="9"/>
      <c r="D399" s="9"/>
      <c r="E399" s="9"/>
      <c r="F399" s="10"/>
      <c r="G399" s="10"/>
      <c r="H399" s="9"/>
      <c r="I399" s="9"/>
      <c r="J399" s="9"/>
      <c r="K399" s="9"/>
      <c r="L399" s="9"/>
      <c r="M399" s="9"/>
      <c r="N399" s="9"/>
      <c r="O399" s="10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ht="18" customHeight="1" spans="1:67" x14ac:dyDescent="0.25">
      <c r="A400" s="9"/>
      <c r="B400" s="9"/>
      <c r="C400" s="9"/>
      <c r="D400" s="9"/>
      <c r="E400" s="9"/>
      <c r="F400" s="10"/>
      <c r="G400" s="10"/>
      <c r="H400" s="9"/>
      <c r="I400" s="9"/>
      <c r="J400" s="9"/>
      <c r="K400" s="9"/>
      <c r="L400" s="9"/>
      <c r="M400" s="9"/>
      <c r="N400" s="9"/>
      <c r="O400" s="10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ht="18" customHeight="1" spans="1:67" x14ac:dyDescent="0.25">
      <c r="A401" s="9"/>
      <c r="B401" s="9"/>
      <c r="C401" s="9"/>
      <c r="D401" s="9"/>
      <c r="E401" s="9"/>
      <c r="F401" s="10"/>
      <c r="G401" s="10"/>
      <c r="H401" s="9"/>
      <c r="I401" s="9"/>
      <c r="J401" s="9"/>
      <c r="K401" s="9"/>
      <c r="L401" s="9"/>
      <c r="M401" s="9"/>
      <c r="N401" s="9"/>
      <c r="O401" s="10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ht="18" customHeight="1" spans="1:67" x14ac:dyDescent="0.25">
      <c r="A402" s="9"/>
      <c r="B402" s="9"/>
      <c r="C402" s="9"/>
      <c r="D402" s="9"/>
      <c r="E402" s="9"/>
      <c r="F402" s="10"/>
      <c r="G402" s="10"/>
      <c r="H402" s="9"/>
      <c r="I402" s="9"/>
      <c r="J402" s="9"/>
      <c r="K402" s="9"/>
      <c r="L402" s="9"/>
      <c r="M402" s="9"/>
      <c r="N402" s="9"/>
      <c r="O402" s="10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ht="18" customHeight="1" spans="1:67" x14ac:dyDescent="0.25">
      <c r="A403" s="9"/>
      <c r="B403" s="9"/>
      <c r="C403" s="9"/>
      <c r="D403" s="9"/>
      <c r="E403" s="9"/>
      <c r="F403" s="10"/>
      <c r="G403" s="10"/>
      <c r="H403" s="9"/>
      <c r="I403" s="9"/>
      <c r="J403" s="9"/>
      <c r="K403" s="9"/>
      <c r="L403" s="9"/>
      <c r="M403" s="9"/>
      <c r="N403" s="9"/>
      <c r="O403" s="10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ht="18" customHeight="1" spans="1:67" x14ac:dyDescent="0.25">
      <c r="A404" s="9"/>
      <c r="B404" s="9"/>
      <c r="C404" s="9"/>
      <c r="D404" s="9"/>
      <c r="E404" s="9"/>
      <c r="F404" s="10"/>
      <c r="G404" s="10"/>
      <c r="H404" s="9"/>
      <c r="I404" s="9"/>
      <c r="J404" s="9"/>
      <c r="K404" s="9"/>
      <c r="L404" s="9"/>
      <c r="M404" s="9"/>
      <c r="N404" s="9"/>
      <c r="O404" s="10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ht="18" customHeight="1" spans="1:67" x14ac:dyDescent="0.25">
      <c r="A405" s="9"/>
      <c r="B405" s="9"/>
      <c r="C405" s="9"/>
      <c r="D405" s="9"/>
      <c r="E405" s="9"/>
      <c r="F405" s="10"/>
      <c r="G405" s="10"/>
      <c r="H405" s="9"/>
      <c r="I405" s="9"/>
      <c r="J405" s="9"/>
      <c r="K405" s="9"/>
      <c r="L405" s="9"/>
      <c r="M405" s="9"/>
      <c r="N405" s="9"/>
      <c r="O405" s="10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 ht="18" customHeight="1" spans="1:67" x14ac:dyDescent="0.25">
      <c r="A406" s="9"/>
      <c r="B406" s="9"/>
      <c r="C406" s="9"/>
      <c r="D406" s="9"/>
      <c r="E406" s="9"/>
      <c r="F406" s="10"/>
      <c r="G406" s="10"/>
      <c r="H406" s="9"/>
      <c r="I406" s="9"/>
      <c r="J406" s="9"/>
      <c r="K406" s="9"/>
      <c r="L406" s="9"/>
      <c r="M406" s="9"/>
      <c r="N406" s="9"/>
      <c r="O406" s="10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 ht="18" customHeight="1" spans="1:67" x14ac:dyDescent="0.25">
      <c r="A407" s="9"/>
      <c r="B407" s="9"/>
      <c r="C407" s="9"/>
      <c r="D407" s="9"/>
      <c r="E407" s="9"/>
      <c r="F407" s="10"/>
      <c r="G407" s="10"/>
      <c r="H407" s="9"/>
      <c r="I407" s="9"/>
      <c r="J407" s="9"/>
      <c r="K407" s="9"/>
      <c r="L407" s="9"/>
      <c r="M407" s="9"/>
      <c r="N407" s="9"/>
      <c r="O407" s="10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 ht="18" customHeight="1" spans="1:67" x14ac:dyDescent="0.25">
      <c r="A408" s="9"/>
      <c r="B408" s="9"/>
      <c r="C408" s="9"/>
      <c r="D408" s="9"/>
      <c r="E408" s="9"/>
      <c r="F408" s="10"/>
      <c r="G408" s="10"/>
      <c r="H408" s="9"/>
      <c r="I408" s="9"/>
      <c r="J408" s="9"/>
      <c r="K408" s="9"/>
      <c r="L408" s="9"/>
      <c r="M408" s="9"/>
      <c r="N408" s="9"/>
      <c r="O408" s="10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 ht="18" customHeight="1" spans="1:67" x14ac:dyDescent="0.25">
      <c r="A409" s="9"/>
      <c r="B409" s="9"/>
      <c r="C409" s="9"/>
      <c r="D409" s="9"/>
      <c r="E409" s="9"/>
      <c r="F409" s="10"/>
      <c r="G409" s="10"/>
      <c r="H409" s="9"/>
      <c r="I409" s="9"/>
      <c r="J409" s="9"/>
      <c r="K409" s="9"/>
      <c r="L409" s="9"/>
      <c r="M409" s="9"/>
      <c r="N409" s="9"/>
      <c r="O409" s="10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 ht="18" customHeight="1" spans="1:67" x14ac:dyDescent="0.25">
      <c r="A410" s="9"/>
      <c r="B410" s="9"/>
      <c r="C410" s="9"/>
      <c r="D410" s="9"/>
      <c r="E410" s="9"/>
      <c r="F410" s="10"/>
      <c r="G410" s="10"/>
      <c r="H410" s="9"/>
      <c r="I410" s="9"/>
      <c r="J410" s="9"/>
      <c r="K410" s="9"/>
      <c r="L410" s="9"/>
      <c r="M410" s="9"/>
      <c r="N410" s="9"/>
      <c r="O410" s="10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 ht="18" customHeight="1" spans="1:67" x14ac:dyDescent="0.25">
      <c r="A411" s="9"/>
      <c r="B411" s="9"/>
      <c r="C411" s="9"/>
      <c r="D411" s="9"/>
      <c r="E411" s="9"/>
      <c r="F411" s="10"/>
      <c r="G411" s="10"/>
      <c r="H411" s="9"/>
      <c r="I411" s="9"/>
      <c r="J411" s="9"/>
      <c r="K411" s="9"/>
      <c r="L411" s="9"/>
      <c r="M411" s="9"/>
      <c r="N411" s="9"/>
      <c r="O411" s="10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 ht="18" customHeight="1" spans="1:67" x14ac:dyDescent="0.25">
      <c r="A412" s="9"/>
      <c r="B412" s="9"/>
      <c r="C412" s="9"/>
      <c r="D412" s="9"/>
      <c r="E412" s="9"/>
      <c r="F412" s="10"/>
      <c r="G412" s="10"/>
      <c r="H412" s="9"/>
      <c r="I412" s="9"/>
      <c r="J412" s="9"/>
      <c r="K412" s="9"/>
      <c r="L412" s="9"/>
      <c r="M412" s="9"/>
      <c r="N412" s="9"/>
      <c r="O412" s="10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 ht="18" customHeight="1" spans="1:67" x14ac:dyDescent="0.25">
      <c r="A413" s="9"/>
      <c r="B413" s="9"/>
      <c r="C413" s="9"/>
      <c r="D413" s="9"/>
      <c r="E413" s="9"/>
      <c r="F413" s="10"/>
      <c r="G413" s="10"/>
      <c r="H413" s="9"/>
      <c r="I413" s="9"/>
      <c r="J413" s="9"/>
      <c r="K413" s="9"/>
      <c r="L413" s="9"/>
      <c r="M413" s="9"/>
      <c r="N413" s="9"/>
      <c r="O413" s="10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 ht="18" customHeight="1" spans="1:67" x14ac:dyDescent="0.25">
      <c r="A414" s="9"/>
      <c r="B414" s="9"/>
      <c r="C414" s="9"/>
      <c r="D414" s="9"/>
      <c r="E414" s="9"/>
      <c r="F414" s="10"/>
      <c r="G414" s="10"/>
      <c r="H414" s="9"/>
      <c r="I414" s="9"/>
      <c r="J414" s="9"/>
      <c r="K414" s="9"/>
      <c r="L414" s="9"/>
      <c r="M414" s="9"/>
      <c r="N414" s="9"/>
      <c r="O414" s="10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 ht="18" customHeight="1" spans="1:67" x14ac:dyDescent="0.25">
      <c r="A415" s="9"/>
      <c r="B415" s="9"/>
      <c r="C415" s="9"/>
      <c r="D415" s="9"/>
      <c r="E415" s="9"/>
      <c r="F415" s="10"/>
      <c r="G415" s="10"/>
      <c r="H415" s="9"/>
      <c r="I415" s="9"/>
      <c r="J415" s="9"/>
      <c r="K415" s="9"/>
      <c r="L415" s="9"/>
      <c r="M415" s="9"/>
      <c r="N415" s="9"/>
      <c r="O415" s="10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 ht="18" customHeight="1" spans="1:67" x14ac:dyDescent="0.25">
      <c r="A416" s="9"/>
      <c r="B416" s="9"/>
      <c r="C416" s="9"/>
      <c r="D416" s="9"/>
      <c r="E416" s="9"/>
      <c r="F416" s="10"/>
      <c r="G416" s="10"/>
      <c r="H416" s="9"/>
      <c r="I416" s="9"/>
      <c r="J416" s="9"/>
      <c r="K416" s="9"/>
      <c r="L416" s="9"/>
      <c r="M416" s="9"/>
      <c r="N416" s="9"/>
      <c r="O416" s="10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 ht="18" customHeight="1" spans="1:67" x14ac:dyDescent="0.25">
      <c r="A417" s="9"/>
      <c r="B417" s="9"/>
      <c r="C417" s="9"/>
      <c r="D417" s="9"/>
      <c r="E417" s="9"/>
      <c r="F417" s="10"/>
      <c r="G417" s="10"/>
      <c r="H417" s="9"/>
      <c r="I417" s="9"/>
      <c r="J417" s="9"/>
      <c r="K417" s="9"/>
      <c r="L417" s="9"/>
      <c r="M417" s="9"/>
      <c r="N417" s="9"/>
      <c r="O417" s="10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 ht="18" customHeight="1" spans="1:67" x14ac:dyDescent="0.25">
      <c r="A418" s="9"/>
      <c r="B418" s="9"/>
      <c r="C418" s="9"/>
      <c r="D418" s="9"/>
      <c r="E418" s="9"/>
      <c r="F418" s="10"/>
      <c r="G418" s="10"/>
      <c r="H418" s="9"/>
      <c r="I418" s="9"/>
      <c r="J418" s="9"/>
      <c r="K418" s="9"/>
      <c r="L418" s="9"/>
      <c r="M418" s="9"/>
      <c r="N418" s="9"/>
      <c r="O418" s="10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 ht="18" customHeight="1" spans="1:67" x14ac:dyDescent="0.25">
      <c r="A419" s="9"/>
      <c r="B419" s="9"/>
      <c r="C419" s="9"/>
      <c r="D419" s="9"/>
      <c r="E419" s="9"/>
      <c r="F419" s="10"/>
      <c r="G419" s="10"/>
      <c r="H419" s="9"/>
      <c r="I419" s="9"/>
      <c r="J419" s="9"/>
      <c r="K419" s="9"/>
      <c r="L419" s="9"/>
      <c r="M419" s="9"/>
      <c r="N419" s="9"/>
      <c r="O419" s="10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 ht="18" customHeight="1" spans="1:67" x14ac:dyDescent="0.25">
      <c r="A420" s="9"/>
      <c r="B420" s="9"/>
      <c r="C420" s="9"/>
      <c r="D420" s="9"/>
      <c r="E420" s="9"/>
      <c r="F420" s="10"/>
      <c r="G420" s="10"/>
      <c r="H420" s="9"/>
      <c r="I420" s="9"/>
      <c r="J420" s="9"/>
      <c r="K420" s="9"/>
      <c r="L420" s="9"/>
      <c r="M420" s="9"/>
      <c r="N420" s="9"/>
      <c r="O420" s="10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 ht="18" customHeight="1" spans="1:67" x14ac:dyDescent="0.25">
      <c r="A421" s="9"/>
      <c r="B421" s="9"/>
      <c r="C421" s="9"/>
      <c r="D421" s="9"/>
      <c r="E421" s="9"/>
      <c r="F421" s="10"/>
      <c r="G421" s="10"/>
      <c r="H421" s="9"/>
      <c r="I421" s="9"/>
      <c r="J421" s="9"/>
      <c r="K421" s="9"/>
      <c r="L421" s="9"/>
      <c r="M421" s="9"/>
      <c r="N421" s="9"/>
      <c r="O421" s="10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 ht="18" customHeight="1" spans="1:67" x14ac:dyDescent="0.25">
      <c r="A422" s="9"/>
      <c r="B422" s="9"/>
      <c r="C422" s="9"/>
      <c r="D422" s="9"/>
      <c r="E422" s="9"/>
      <c r="F422" s="10"/>
      <c r="G422" s="10"/>
      <c r="H422" s="9"/>
      <c r="I422" s="9"/>
      <c r="J422" s="9"/>
      <c r="K422" s="9"/>
      <c r="L422" s="9"/>
      <c r="M422" s="9"/>
      <c r="N422" s="9"/>
      <c r="O422" s="10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 ht="18" customHeight="1" spans="1:67" x14ac:dyDescent="0.25">
      <c r="A423" s="9"/>
      <c r="B423" s="9"/>
      <c r="C423" s="9"/>
      <c r="D423" s="9"/>
      <c r="E423" s="9"/>
      <c r="F423" s="10"/>
      <c r="G423" s="10"/>
      <c r="H423" s="9"/>
      <c r="I423" s="9"/>
      <c r="J423" s="9"/>
      <c r="K423" s="9"/>
      <c r="L423" s="9"/>
      <c r="M423" s="9"/>
      <c r="N423" s="9"/>
      <c r="O423" s="10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 ht="18" customHeight="1" spans="1:67" x14ac:dyDescent="0.25">
      <c r="A424" s="9"/>
      <c r="B424" s="9"/>
      <c r="C424" s="9"/>
      <c r="D424" s="9"/>
      <c r="E424" s="9"/>
      <c r="F424" s="10"/>
      <c r="G424" s="10"/>
      <c r="H424" s="9"/>
      <c r="I424" s="9"/>
      <c r="J424" s="9"/>
      <c r="K424" s="9"/>
      <c r="L424" s="9"/>
      <c r="M424" s="9"/>
      <c r="N424" s="9"/>
      <c r="O424" s="10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 ht="18" customHeight="1" spans="1:67" x14ac:dyDescent="0.25">
      <c r="A425" s="9"/>
      <c r="B425" s="9"/>
      <c r="C425" s="9"/>
      <c r="D425" s="9"/>
      <c r="E425" s="9"/>
      <c r="F425" s="10"/>
      <c r="G425" s="10"/>
      <c r="H425" s="9"/>
      <c r="I425" s="9"/>
      <c r="J425" s="9"/>
      <c r="K425" s="9"/>
      <c r="L425" s="9"/>
      <c r="M425" s="9"/>
      <c r="N425" s="9"/>
      <c r="O425" s="10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 ht="18" customHeight="1" spans="1:67" x14ac:dyDescent="0.25">
      <c r="A426" s="9"/>
      <c r="B426" s="9"/>
      <c r="C426" s="9"/>
      <c r="D426" s="9"/>
      <c r="E426" s="9"/>
      <c r="F426" s="10"/>
      <c r="G426" s="10"/>
      <c r="H426" s="9"/>
      <c r="I426" s="9"/>
      <c r="J426" s="9"/>
      <c r="K426" s="9"/>
      <c r="L426" s="9"/>
      <c r="M426" s="9"/>
      <c r="N426" s="9"/>
      <c r="O426" s="10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 ht="18" customHeight="1" spans="1:67" x14ac:dyDescent="0.25">
      <c r="A427" s="9"/>
      <c r="B427" s="9"/>
      <c r="C427" s="9"/>
      <c r="D427" s="9"/>
      <c r="E427" s="9"/>
      <c r="F427" s="10"/>
      <c r="G427" s="10"/>
      <c r="H427" s="9"/>
      <c r="I427" s="9"/>
      <c r="J427" s="9"/>
      <c r="K427" s="9"/>
      <c r="L427" s="9"/>
      <c r="M427" s="9"/>
      <c r="N427" s="9"/>
      <c r="O427" s="10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 ht="18" customHeight="1" spans="1:67" x14ac:dyDescent="0.25">
      <c r="A428" s="9"/>
      <c r="B428" s="9"/>
      <c r="C428" s="9"/>
      <c r="D428" s="9"/>
      <c r="E428" s="9"/>
      <c r="F428" s="10"/>
      <c r="G428" s="10"/>
      <c r="H428" s="9"/>
      <c r="I428" s="9"/>
      <c r="J428" s="9"/>
      <c r="K428" s="9"/>
      <c r="L428" s="9"/>
      <c r="M428" s="9"/>
      <c r="N428" s="9"/>
      <c r="O428" s="10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 ht="18" customHeight="1" spans="1:67" x14ac:dyDescent="0.25">
      <c r="A429" s="9"/>
      <c r="B429" s="9"/>
      <c r="C429" s="9"/>
      <c r="D429" s="9"/>
      <c r="E429" s="9"/>
      <c r="F429" s="10"/>
      <c r="G429" s="10"/>
      <c r="H429" s="9"/>
      <c r="I429" s="9"/>
      <c r="J429" s="9"/>
      <c r="K429" s="9"/>
      <c r="L429" s="9"/>
      <c r="M429" s="9"/>
      <c r="N429" s="9"/>
      <c r="O429" s="10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 ht="18" customHeight="1" spans="1:67" x14ac:dyDescent="0.25">
      <c r="A430" s="9"/>
      <c r="B430" s="9"/>
      <c r="C430" s="9"/>
      <c r="D430" s="9"/>
      <c r="E430" s="9"/>
      <c r="F430" s="10"/>
      <c r="G430" s="10"/>
      <c r="H430" s="9"/>
      <c r="I430" s="9"/>
      <c r="J430" s="9"/>
      <c r="K430" s="9"/>
      <c r="L430" s="9"/>
      <c r="M430" s="9"/>
      <c r="N430" s="9"/>
      <c r="O430" s="10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 ht="18" customHeight="1" spans="1:67" x14ac:dyDescent="0.25">
      <c r="A431" s="9"/>
      <c r="B431" s="9"/>
      <c r="C431" s="9"/>
      <c r="D431" s="9"/>
      <c r="E431" s="9"/>
      <c r="F431" s="10"/>
      <c r="G431" s="10"/>
      <c r="H431" s="9"/>
      <c r="I431" s="9"/>
      <c r="J431" s="9"/>
      <c r="K431" s="9"/>
      <c r="L431" s="9"/>
      <c r="M431" s="9"/>
      <c r="N431" s="9"/>
      <c r="O431" s="10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 ht="18" customHeight="1" spans="1:67" x14ac:dyDescent="0.25">
      <c r="A432" s="9"/>
      <c r="B432" s="9"/>
      <c r="C432" s="9"/>
      <c r="D432" s="9"/>
      <c r="E432" s="9"/>
      <c r="F432" s="10"/>
      <c r="G432" s="10"/>
      <c r="H432" s="9"/>
      <c r="I432" s="9"/>
      <c r="J432" s="9"/>
      <c r="K432" s="9"/>
      <c r="L432" s="9"/>
      <c r="M432" s="9"/>
      <c r="N432" s="9"/>
      <c r="O432" s="10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 ht="18" customHeight="1" spans="1:67" x14ac:dyDescent="0.25">
      <c r="A433" s="9"/>
      <c r="B433" s="9"/>
      <c r="C433" s="9"/>
      <c r="D433" s="9"/>
      <c r="E433" s="9"/>
      <c r="F433" s="10"/>
      <c r="G433" s="10"/>
      <c r="H433" s="9"/>
      <c r="I433" s="9"/>
      <c r="J433" s="9"/>
      <c r="K433" s="9"/>
      <c r="L433" s="9"/>
      <c r="M433" s="9"/>
      <c r="N433" s="9"/>
      <c r="O433" s="10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 ht="18" customHeight="1" spans="1:67" x14ac:dyDescent="0.25">
      <c r="A434" s="9"/>
      <c r="B434" s="9"/>
      <c r="C434" s="9"/>
      <c r="D434" s="9"/>
      <c r="E434" s="9"/>
      <c r="F434" s="10"/>
      <c r="G434" s="10"/>
      <c r="H434" s="9"/>
      <c r="I434" s="9"/>
      <c r="J434" s="9"/>
      <c r="K434" s="9"/>
      <c r="L434" s="9"/>
      <c r="M434" s="9"/>
      <c r="N434" s="9"/>
      <c r="O434" s="10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 ht="18" customHeight="1" spans="1:67" x14ac:dyDescent="0.25">
      <c r="A435" s="9"/>
      <c r="B435" s="9"/>
      <c r="C435" s="9"/>
      <c r="D435" s="9"/>
      <c r="E435" s="9"/>
      <c r="F435" s="10"/>
      <c r="G435" s="10"/>
      <c r="H435" s="9"/>
      <c r="I435" s="9"/>
      <c r="J435" s="9"/>
      <c r="K435" s="9"/>
      <c r="L435" s="9"/>
      <c r="M435" s="9"/>
      <c r="N435" s="9"/>
      <c r="O435" s="10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 ht="18" customHeight="1" spans="1:67" x14ac:dyDescent="0.25">
      <c r="A436" s="9"/>
      <c r="B436" s="9"/>
      <c r="C436" s="9"/>
      <c r="D436" s="9"/>
      <c r="E436" s="9"/>
      <c r="F436" s="10"/>
      <c r="G436" s="10"/>
      <c r="H436" s="9"/>
      <c r="I436" s="9"/>
      <c r="J436" s="9"/>
      <c r="K436" s="9"/>
      <c r="L436" s="9"/>
      <c r="M436" s="9"/>
      <c r="N436" s="9"/>
      <c r="O436" s="10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 ht="18" customHeight="1" spans="1:67" x14ac:dyDescent="0.25">
      <c r="A437" s="9"/>
      <c r="B437" s="9"/>
      <c r="C437" s="9"/>
      <c r="D437" s="9"/>
      <c r="E437" s="9"/>
      <c r="F437" s="10"/>
      <c r="G437" s="10"/>
      <c r="H437" s="9"/>
      <c r="I437" s="9"/>
      <c r="J437" s="9"/>
      <c r="K437" s="9"/>
      <c r="L437" s="9"/>
      <c r="M437" s="9"/>
      <c r="N437" s="9"/>
      <c r="O437" s="10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 ht="18" customHeight="1" spans="1:67" x14ac:dyDescent="0.25">
      <c r="A438" s="9"/>
      <c r="B438" s="9"/>
      <c r="C438" s="9"/>
      <c r="D438" s="9"/>
      <c r="E438" s="9"/>
      <c r="F438" s="10"/>
      <c r="G438" s="10"/>
      <c r="H438" s="9"/>
      <c r="I438" s="9"/>
      <c r="J438" s="9"/>
      <c r="K438" s="9"/>
      <c r="L438" s="9"/>
      <c r="M438" s="9"/>
      <c r="N438" s="9"/>
      <c r="O438" s="10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 ht="18" customHeight="1" spans="1:67" x14ac:dyDescent="0.25">
      <c r="A439" s="9"/>
      <c r="B439" s="9"/>
      <c r="C439" s="9"/>
      <c r="D439" s="9"/>
      <c r="E439" s="9"/>
      <c r="F439" s="10"/>
      <c r="G439" s="10"/>
      <c r="H439" s="9"/>
      <c r="I439" s="9"/>
      <c r="J439" s="9"/>
      <c r="K439" s="9"/>
      <c r="L439" s="9"/>
      <c r="M439" s="9"/>
      <c r="N439" s="9"/>
      <c r="O439" s="10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 ht="18" customHeight="1" spans="1:67" x14ac:dyDescent="0.25">
      <c r="A440" s="9"/>
      <c r="B440" s="9"/>
      <c r="C440" s="9"/>
      <c r="D440" s="9"/>
      <c r="E440" s="9"/>
      <c r="F440" s="10"/>
      <c r="G440" s="10"/>
      <c r="H440" s="9"/>
      <c r="I440" s="9"/>
      <c r="J440" s="9"/>
      <c r="K440" s="9"/>
      <c r="L440" s="9"/>
      <c r="M440" s="9"/>
      <c r="N440" s="9"/>
      <c r="O440" s="10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 ht="18" customHeight="1" spans="1:67" x14ac:dyDescent="0.25">
      <c r="A441" s="9"/>
      <c r="B441" s="9"/>
      <c r="C441" s="9"/>
      <c r="D441" s="9"/>
      <c r="E441" s="9"/>
      <c r="F441" s="10"/>
      <c r="G441" s="10"/>
      <c r="H441" s="9"/>
      <c r="I441" s="9"/>
      <c r="J441" s="9"/>
      <c r="K441" s="9"/>
      <c r="L441" s="9"/>
      <c r="M441" s="9"/>
      <c r="N441" s="9"/>
      <c r="O441" s="10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 ht="18" customHeight="1" spans="1:67" x14ac:dyDescent="0.25">
      <c r="A442" s="9"/>
      <c r="B442" s="9"/>
      <c r="C442" s="9"/>
      <c r="D442" s="9"/>
      <c r="E442" s="9"/>
      <c r="F442" s="10"/>
      <c r="G442" s="10"/>
      <c r="H442" s="9"/>
      <c r="I442" s="9"/>
      <c r="J442" s="9"/>
      <c r="K442" s="9"/>
      <c r="L442" s="9"/>
      <c r="M442" s="9"/>
      <c r="N442" s="9"/>
      <c r="O442" s="10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 ht="18" customHeight="1" spans="1:67" x14ac:dyDescent="0.25">
      <c r="A443" s="9"/>
      <c r="B443" s="9"/>
      <c r="C443" s="9"/>
      <c r="D443" s="9"/>
      <c r="E443" s="9"/>
      <c r="F443" s="10"/>
      <c r="G443" s="10"/>
      <c r="H443" s="9"/>
      <c r="I443" s="9"/>
      <c r="J443" s="9"/>
      <c r="K443" s="9"/>
      <c r="L443" s="9"/>
      <c r="M443" s="9"/>
      <c r="N443" s="9"/>
      <c r="O443" s="10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 ht="18" customHeight="1" spans="1:67" x14ac:dyDescent="0.25">
      <c r="A444" s="9"/>
      <c r="B444" s="9"/>
      <c r="C444" s="9"/>
      <c r="D444" s="9"/>
      <c r="E444" s="9"/>
      <c r="F444" s="10"/>
      <c r="G444" s="10"/>
      <c r="H444" s="9"/>
      <c r="I444" s="9"/>
      <c r="J444" s="9"/>
      <c r="K444" s="9"/>
      <c r="L444" s="9"/>
      <c r="M444" s="9"/>
      <c r="N444" s="9"/>
      <c r="O444" s="10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 ht="18" customHeight="1" spans="1:67" x14ac:dyDescent="0.25">
      <c r="A445" s="9"/>
      <c r="B445" s="9"/>
      <c r="C445" s="9"/>
      <c r="D445" s="9"/>
      <c r="E445" s="9"/>
      <c r="F445" s="10"/>
      <c r="G445" s="10"/>
      <c r="H445" s="9"/>
      <c r="I445" s="9"/>
      <c r="J445" s="9"/>
      <c r="K445" s="9"/>
      <c r="L445" s="9"/>
      <c r="M445" s="9"/>
      <c r="N445" s="9"/>
      <c r="O445" s="10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 ht="18" customHeight="1" spans="1:67" x14ac:dyDescent="0.25">
      <c r="A446" s="9"/>
      <c r="B446" s="9"/>
      <c r="C446" s="9"/>
      <c r="D446" s="9"/>
      <c r="E446" s="9"/>
      <c r="F446" s="10"/>
      <c r="G446" s="10"/>
      <c r="H446" s="9"/>
      <c r="I446" s="9"/>
      <c r="J446" s="9"/>
      <c r="K446" s="9"/>
      <c r="L446" s="9"/>
      <c r="M446" s="9"/>
      <c r="N446" s="9"/>
      <c r="O446" s="10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 ht="18" customHeight="1" spans="1:67" x14ac:dyDescent="0.25">
      <c r="A447" s="9"/>
      <c r="B447" s="9"/>
      <c r="C447" s="9"/>
      <c r="D447" s="9"/>
      <c r="E447" s="9"/>
      <c r="F447" s="10"/>
      <c r="G447" s="10"/>
      <c r="H447" s="9"/>
      <c r="I447" s="9"/>
      <c r="J447" s="9"/>
      <c r="K447" s="9"/>
      <c r="L447" s="9"/>
      <c r="M447" s="9"/>
      <c r="N447" s="9"/>
      <c r="O447" s="10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 ht="18" customHeight="1" spans="1:67" x14ac:dyDescent="0.25">
      <c r="A448" s="9"/>
      <c r="B448" s="9"/>
      <c r="C448" s="9"/>
      <c r="D448" s="9"/>
      <c r="E448" s="9"/>
      <c r="F448" s="10"/>
      <c r="G448" s="10"/>
      <c r="H448" s="9"/>
      <c r="I448" s="9"/>
      <c r="J448" s="9"/>
      <c r="K448" s="9"/>
      <c r="L448" s="9"/>
      <c r="M448" s="9"/>
      <c r="N448" s="9"/>
      <c r="O448" s="10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 ht="18" customHeight="1" spans="1:67" x14ac:dyDescent="0.25">
      <c r="A449" s="9"/>
      <c r="B449" s="9"/>
      <c r="C449" s="9"/>
      <c r="D449" s="9"/>
      <c r="E449" s="9"/>
      <c r="F449" s="10"/>
      <c r="G449" s="10"/>
      <c r="H449" s="9"/>
      <c r="I449" s="9"/>
      <c r="J449" s="9"/>
      <c r="K449" s="9"/>
      <c r="L449" s="9"/>
      <c r="M449" s="9"/>
      <c r="N449" s="9"/>
      <c r="O449" s="10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 ht="18" customHeight="1" spans="1:67" x14ac:dyDescent="0.25">
      <c r="A450" s="9"/>
      <c r="B450" s="9"/>
      <c r="C450" s="9"/>
      <c r="D450" s="9"/>
      <c r="E450" s="9"/>
      <c r="F450" s="10"/>
      <c r="G450" s="10"/>
      <c r="H450" s="9"/>
      <c r="I450" s="9"/>
      <c r="J450" s="9"/>
      <c r="K450" s="9"/>
      <c r="L450" s="9"/>
      <c r="M450" s="9"/>
      <c r="N450" s="9"/>
      <c r="O450" s="10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 ht="18" customHeight="1" spans="1:67" x14ac:dyDescent="0.25">
      <c r="A451" s="9"/>
      <c r="B451" s="9"/>
      <c r="C451" s="9"/>
      <c r="D451" s="9"/>
      <c r="E451" s="9"/>
      <c r="F451" s="10"/>
      <c r="G451" s="10"/>
      <c r="H451" s="9"/>
      <c r="I451" s="9"/>
      <c r="J451" s="9"/>
      <c r="K451" s="9"/>
      <c r="L451" s="9"/>
      <c r="M451" s="9"/>
      <c r="N451" s="9"/>
      <c r="O451" s="10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 ht="18" customHeight="1" spans="1:67" x14ac:dyDescent="0.25">
      <c r="A452" s="9"/>
      <c r="B452" s="9"/>
      <c r="C452" s="9"/>
      <c r="D452" s="9"/>
      <c r="E452" s="9"/>
      <c r="F452" s="10"/>
      <c r="G452" s="10"/>
      <c r="H452" s="9"/>
      <c r="I452" s="9"/>
      <c r="J452" s="9"/>
      <c r="K452" s="9"/>
      <c r="L452" s="9"/>
      <c r="M452" s="9"/>
      <c r="N452" s="9"/>
      <c r="O452" s="10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 ht="18" customHeight="1" spans="1:67" x14ac:dyDescent="0.25">
      <c r="A453" s="9"/>
      <c r="B453" s="9"/>
      <c r="C453" s="9"/>
      <c r="D453" s="9"/>
      <c r="E453" s="9"/>
      <c r="F453" s="10"/>
      <c r="G453" s="10"/>
      <c r="H453" s="9"/>
      <c r="I453" s="9"/>
      <c r="J453" s="9"/>
      <c r="K453" s="9"/>
      <c r="L453" s="9"/>
      <c r="M453" s="9"/>
      <c r="N453" s="9"/>
      <c r="O453" s="10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 ht="18" customHeight="1" spans="1:67" x14ac:dyDescent="0.25">
      <c r="A454" s="9"/>
      <c r="B454" s="9"/>
      <c r="C454" s="9"/>
      <c r="D454" s="9"/>
      <c r="E454" s="9"/>
      <c r="F454" s="10"/>
      <c r="G454" s="10"/>
      <c r="H454" s="9"/>
      <c r="I454" s="9"/>
      <c r="J454" s="9"/>
      <c r="K454" s="9"/>
      <c r="L454" s="9"/>
      <c r="M454" s="9"/>
      <c r="N454" s="9"/>
      <c r="O454" s="10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 ht="18" customHeight="1" spans="1:67" x14ac:dyDescent="0.25">
      <c r="A455" s="9"/>
      <c r="B455" s="9"/>
      <c r="C455" s="9"/>
      <c r="D455" s="9"/>
      <c r="E455" s="9"/>
      <c r="F455" s="10"/>
      <c r="G455" s="10"/>
      <c r="H455" s="9"/>
      <c r="I455" s="9"/>
      <c r="J455" s="9"/>
      <c r="K455" s="9"/>
      <c r="L455" s="9"/>
      <c r="M455" s="9"/>
      <c r="N455" s="9"/>
      <c r="O455" s="10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 ht="18" customHeight="1" spans="1:67" x14ac:dyDescent="0.25">
      <c r="A456" s="9"/>
      <c r="B456" s="9"/>
      <c r="C456" s="9"/>
      <c r="D456" s="9"/>
      <c r="E456" s="9"/>
      <c r="F456" s="10"/>
      <c r="G456" s="10"/>
      <c r="H456" s="9"/>
      <c r="I456" s="9"/>
      <c r="J456" s="9"/>
      <c r="K456" s="9"/>
      <c r="L456" s="9"/>
      <c r="M456" s="9"/>
      <c r="N456" s="9"/>
      <c r="O456" s="10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 ht="18" customHeight="1" spans="1:67" x14ac:dyDescent="0.25">
      <c r="A457" s="9"/>
      <c r="B457" s="9"/>
      <c r="C457" s="9"/>
      <c r="D457" s="9"/>
      <c r="E457" s="9"/>
      <c r="F457" s="10"/>
      <c r="G457" s="10"/>
      <c r="H457" s="9"/>
      <c r="I457" s="9"/>
      <c r="J457" s="9"/>
      <c r="K457" s="9"/>
      <c r="L457" s="9"/>
      <c r="M457" s="9"/>
      <c r="N457" s="9"/>
      <c r="O457" s="10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 ht="18" customHeight="1" spans="1:67" x14ac:dyDescent="0.25">
      <c r="A458" s="9"/>
      <c r="B458" s="9"/>
      <c r="C458" s="9"/>
      <c r="D458" s="9"/>
      <c r="E458" s="9"/>
      <c r="F458" s="10"/>
      <c r="G458" s="10"/>
      <c r="H458" s="9"/>
      <c r="I458" s="9"/>
      <c r="J458" s="9"/>
      <c r="K458" s="9"/>
      <c r="L458" s="9"/>
      <c r="M458" s="9"/>
      <c r="N458" s="9"/>
      <c r="O458" s="10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 ht="18" customHeight="1" spans="1:67" x14ac:dyDescent="0.25">
      <c r="A459" s="9"/>
      <c r="B459" s="9"/>
      <c r="C459" s="9"/>
      <c r="D459" s="9"/>
      <c r="E459" s="9"/>
      <c r="F459" s="10"/>
      <c r="G459" s="10"/>
      <c r="H459" s="9"/>
      <c r="I459" s="9"/>
      <c r="J459" s="9"/>
      <c r="K459" s="9"/>
      <c r="L459" s="9"/>
      <c r="M459" s="9"/>
      <c r="N459" s="9"/>
      <c r="O459" s="10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 ht="18" customHeight="1" spans="1:67" x14ac:dyDescent="0.25">
      <c r="A460" s="9"/>
      <c r="B460" s="9"/>
      <c r="C460" s="9"/>
      <c r="D460" s="9"/>
      <c r="E460" s="9"/>
      <c r="F460" s="10"/>
      <c r="G460" s="10"/>
      <c r="H460" s="9"/>
      <c r="I460" s="9"/>
      <c r="J460" s="9"/>
      <c r="K460" s="9"/>
      <c r="L460" s="9"/>
      <c r="M460" s="9"/>
      <c r="N460" s="9"/>
      <c r="O460" s="10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 ht="18" customHeight="1" spans="1:67" x14ac:dyDescent="0.25">
      <c r="A461" s="9"/>
      <c r="B461" s="9"/>
      <c r="C461" s="9"/>
      <c r="D461" s="9"/>
      <c r="E461" s="9"/>
      <c r="F461" s="10"/>
      <c r="G461" s="10"/>
      <c r="H461" s="9"/>
      <c r="I461" s="9"/>
      <c r="J461" s="9"/>
      <c r="K461" s="9"/>
      <c r="L461" s="9"/>
      <c r="M461" s="9"/>
      <c r="N461" s="9"/>
      <c r="O461" s="10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 ht="18" customHeight="1" spans="1:67" x14ac:dyDescent="0.25">
      <c r="A462" s="9"/>
      <c r="B462" s="9"/>
      <c r="C462" s="9"/>
      <c r="D462" s="9"/>
      <c r="E462" s="9"/>
      <c r="F462" s="10"/>
      <c r="G462" s="10"/>
      <c r="H462" s="9"/>
      <c r="I462" s="9"/>
      <c r="J462" s="9"/>
      <c r="K462" s="9"/>
      <c r="L462" s="9"/>
      <c r="M462" s="9"/>
      <c r="N462" s="9"/>
      <c r="O462" s="10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 ht="18" customHeight="1" spans="1:67" x14ac:dyDescent="0.25">
      <c r="A463" s="9"/>
      <c r="B463" s="9"/>
      <c r="C463" s="9"/>
      <c r="D463" s="9"/>
      <c r="E463" s="9"/>
      <c r="F463" s="10"/>
      <c r="G463" s="10"/>
      <c r="H463" s="9"/>
      <c r="I463" s="9"/>
      <c r="J463" s="9"/>
      <c r="K463" s="9"/>
      <c r="L463" s="9"/>
      <c r="M463" s="9"/>
      <c r="N463" s="9"/>
      <c r="O463" s="10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 ht="18" customHeight="1" spans="1:67" x14ac:dyDescent="0.25">
      <c r="A464" s="9"/>
      <c r="B464" s="9"/>
      <c r="C464" s="9"/>
      <c r="D464" s="9"/>
      <c r="E464" s="9"/>
      <c r="F464" s="10"/>
      <c r="G464" s="10"/>
      <c r="H464" s="9"/>
      <c r="I464" s="9"/>
      <c r="J464" s="9"/>
      <c r="K464" s="9"/>
      <c r="L464" s="9"/>
      <c r="M464" s="9"/>
      <c r="N464" s="9"/>
      <c r="O464" s="10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 ht="18" customHeight="1" spans="1:67" x14ac:dyDescent="0.25">
      <c r="A465" s="9"/>
      <c r="B465" s="9"/>
      <c r="C465" s="9"/>
      <c r="D465" s="9"/>
      <c r="E465" s="9"/>
      <c r="F465" s="10"/>
      <c r="G465" s="10"/>
      <c r="H465" s="9"/>
      <c r="I465" s="9"/>
      <c r="J465" s="9"/>
      <c r="K465" s="9"/>
      <c r="L465" s="9"/>
      <c r="M465" s="9"/>
      <c r="N465" s="9"/>
      <c r="O465" s="10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 ht="18" customHeight="1" spans="1:67" x14ac:dyDescent="0.25">
      <c r="A466" s="9"/>
      <c r="B466" s="9"/>
      <c r="C466" s="9"/>
      <c r="D466" s="9"/>
      <c r="E466" s="9"/>
      <c r="F466" s="10"/>
      <c r="G466" s="10"/>
      <c r="H466" s="9"/>
      <c r="I466" s="9"/>
      <c r="J466" s="9"/>
      <c r="K466" s="9"/>
      <c r="L466" s="9"/>
      <c r="M466" s="9"/>
      <c r="N466" s="9"/>
      <c r="O466" s="10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 ht="18" customHeight="1" spans="1:67" x14ac:dyDescent="0.25">
      <c r="A467" s="9"/>
      <c r="B467" s="9"/>
      <c r="C467" s="9"/>
      <c r="D467" s="9"/>
      <c r="E467" s="9"/>
      <c r="F467" s="10"/>
      <c r="G467" s="10"/>
      <c r="H467" s="9"/>
      <c r="I467" s="9"/>
      <c r="J467" s="9"/>
      <c r="K467" s="9"/>
      <c r="L467" s="9"/>
      <c r="M467" s="9"/>
      <c r="N467" s="9"/>
      <c r="O467" s="10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 ht="18" customHeight="1" spans="1:67" x14ac:dyDescent="0.25">
      <c r="A468" s="9"/>
      <c r="B468" s="9"/>
      <c r="C468" s="9"/>
      <c r="D468" s="9"/>
      <c r="E468" s="9"/>
      <c r="F468" s="10"/>
      <c r="G468" s="10"/>
      <c r="H468" s="9"/>
      <c r="I468" s="9"/>
      <c r="J468" s="9"/>
      <c r="K468" s="9"/>
      <c r="L468" s="9"/>
      <c r="M468" s="9"/>
      <c r="N468" s="9"/>
      <c r="O468" s="10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 ht="18" customHeight="1" spans="1:67" x14ac:dyDescent="0.25">
      <c r="A469" s="9"/>
      <c r="B469" s="9"/>
      <c r="C469" s="9"/>
      <c r="D469" s="9"/>
      <c r="E469" s="9"/>
      <c r="F469" s="10"/>
      <c r="G469" s="10"/>
      <c r="H469" s="9"/>
      <c r="I469" s="9"/>
      <c r="J469" s="9"/>
      <c r="K469" s="9"/>
      <c r="L469" s="9"/>
      <c r="M469" s="9"/>
      <c r="N469" s="9"/>
      <c r="O469" s="10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 ht="18" customHeight="1" spans="1:67" x14ac:dyDescent="0.25">
      <c r="A470" s="9"/>
      <c r="B470" s="9"/>
      <c r="C470" s="9"/>
      <c r="D470" s="9"/>
      <c r="E470" s="9"/>
      <c r="F470" s="10"/>
      <c r="G470" s="10"/>
      <c r="H470" s="9"/>
      <c r="I470" s="9"/>
      <c r="J470" s="9"/>
      <c r="K470" s="9"/>
      <c r="L470" s="9"/>
      <c r="M470" s="9"/>
      <c r="N470" s="9"/>
      <c r="O470" s="10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 ht="18" customHeight="1" spans="1:67" x14ac:dyDescent="0.25">
      <c r="A471" s="9"/>
      <c r="B471" s="9"/>
      <c r="C471" s="9"/>
      <c r="D471" s="9"/>
      <c r="E471" s="9"/>
      <c r="F471" s="10"/>
      <c r="G471" s="10"/>
      <c r="H471" s="9"/>
      <c r="I471" s="9"/>
      <c r="J471" s="9"/>
      <c r="K471" s="9"/>
      <c r="L471" s="9"/>
      <c r="M471" s="9"/>
      <c r="N471" s="9"/>
      <c r="O471" s="10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 ht="18" customHeight="1" spans="1:67" x14ac:dyDescent="0.25">
      <c r="A472" s="9"/>
      <c r="B472" s="9"/>
      <c r="C472" s="9"/>
      <c r="D472" s="9"/>
      <c r="E472" s="9"/>
      <c r="F472" s="10"/>
      <c r="G472" s="10"/>
      <c r="H472" s="9"/>
      <c r="I472" s="9"/>
      <c r="J472" s="9"/>
      <c r="K472" s="9"/>
      <c r="L472" s="9"/>
      <c r="M472" s="9"/>
      <c r="N472" s="9"/>
      <c r="O472" s="10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 ht="18" customHeight="1" spans="1:67" x14ac:dyDescent="0.25">
      <c r="A473" s="9"/>
      <c r="B473" s="9"/>
      <c r="C473" s="9"/>
      <c r="D473" s="9"/>
      <c r="E473" s="9"/>
      <c r="F473" s="10"/>
      <c r="G473" s="10"/>
      <c r="H473" s="9"/>
      <c r="I473" s="9"/>
      <c r="J473" s="9"/>
      <c r="K473" s="9"/>
      <c r="L473" s="9"/>
      <c r="M473" s="9"/>
      <c r="N473" s="9"/>
      <c r="O473" s="10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 ht="18" customHeight="1" spans="1:67" x14ac:dyDescent="0.25">
      <c r="A474" s="9"/>
      <c r="B474" s="9"/>
      <c r="C474" s="9"/>
      <c r="D474" s="9"/>
      <c r="E474" s="9"/>
      <c r="F474" s="10"/>
      <c r="G474" s="10"/>
      <c r="H474" s="9"/>
      <c r="I474" s="9"/>
      <c r="J474" s="9"/>
      <c r="K474" s="9"/>
      <c r="L474" s="9"/>
      <c r="M474" s="9"/>
      <c r="N474" s="9"/>
      <c r="O474" s="10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 ht="18" customHeight="1" spans="1:67" x14ac:dyDescent="0.25">
      <c r="A475" s="9"/>
      <c r="B475" s="9"/>
      <c r="C475" s="9"/>
      <c r="D475" s="9"/>
      <c r="E475" s="9"/>
      <c r="F475" s="10"/>
      <c r="G475" s="10"/>
      <c r="H475" s="9"/>
      <c r="I475" s="9"/>
      <c r="J475" s="9"/>
      <c r="K475" s="9"/>
      <c r="L475" s="9"/>
      <c r="M475" s="9"/>
      <c r="N475" s="9"/>
      <c r="O475" s="10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 ht="18" customHeight="1" spans="1:67" x14ac:dyDescent="0.25">
      <c r="A476" s="9"/>
      <c r="B476" s="9"/>
      <c r="C476" s="9"/>
      <c r="D476" s="9"/>
      <c r="E476" s="9"/>
      <c r="F476" s="10"/>
      <c r="G476" s="10"/>
      <c r="H476" s="9"/>
      <c r="I476" s="9"/>
      <c r="J476" s="9"/>
      <c r="K476" s="9"/>
      <c r="L476" s="9"/>
      <c r="M476" s="9"/>
      <c r="N476" s="9"/>
      <c r="O476" s="10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 ht="18" customHeight="1" spans="1:67" x14ac:dyDescent="0.25">
      <c r="A477" s="9"/>
      <c r="B477" s="9"/>
      <c r="C477" s="9"/>
      <c r="D477" s="9"/>
      <c r="E477" s="9"/>
      <c r="F477" s="10"/>
      <c r="G477" s="10"/>
      <c r="H477" s="9"/>
      <c r="I477" s="9"/>
      <c r="J477" s="9"/>
      <c r="K477" s="9"/>
      <c r="L477" s="9"/>
      <c r="M477" s="9"/>
      <c r="N477" s="9"/>
      <c r="O477" s="10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 ht="18" customHeight="1" spans="1:67" x14ac:dyDescent="0.25">
      <c r="A478" s="9"/>
      <c r="B478" s="9"/>
      <c r="C478" s="9"/>
      <c r="D478" s="9"/>
      <c r="E478" s="9"/>
      <c r="F478" s="10"/>
      <c r="G478" s="10"/>
      <c r="H478" s="9"/>
      <c r="I478" s="9"/>
      <c r="J478" s="9"/>
      <c r="K478" s="9"/>
      <c r="L478" s="9"/>
      <c r="M478" s="9"/>
      <c r="N478" s="9"/>
      <c r="O478" s="10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 ht="18" customHeight="1" spans="1:67" x14ac:dyDescent="0.25">
      <c r="A479" s="9"/>
      <c r="B479" s="9"/>
      <c r="C479" s="9"/>
      <c r="D479" s="9"/>
      <c r="E479" s="9"/>
      <c r="F479" s="10"/>
      <c r="G479" s="10"/>
      <c r="H479" s="9"/>
      <c r="I479" s="9"/>
      <c r="J479" s="9"/>
      <c r="K479" s="9"/>
      <c r="L479" s="9"/>
      <c r="M479" s="9"/>
      <c r="N479" s="9"/>
      <c r="O479" s="10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 ht="18" customHeight="1" spans="1:67" x14ac:dyDescent="0.25">
      <c r="A480" s="9"/>
      <c r="B480" s="9"/>
      <c r="C480" s="9"/>
      <c r="D480" s="9"/>
      <c r="E480" s="9"/>
      <c r="F480" s="10"/>
      <c r="G480" s="10"/>
      <c r="H480" s="9"/>
      <c r="I480" s="9"/>
      <c r="J480" s="9"/>
      <c r="K480" s="9"/>
      <c r="L480" s="9"/>
      <c r="M480" s="9"/>
      <c r="N480" s="9"/>
      <c r="O480" s="10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 ht="18" customHeight="1" spans="1:67" x14ac:dyDescent="0.25">
      <c r="A481" s="9"/>
      <c r="B481" s="9"/>
      <c r="C481" s="9"/>
      <c r="D481" s="9"/>
      <c r="E481" s="9"/>
      <c r="F481" s="10"/>
      <c r="G481" s="10"/>
      <c r="H481" s="9"/>
      <c r="I481" s="9"/>
      <c r="J481" s="9"/>
      <c r="K481" s="9"/>
      <c r="L481" s="9"/>
      <c r="M481" s="9"/>
      <c r="N481" s="9"/>
      <c r="O481" s="10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 ht="18" customHeight="1" spans="1:67" x14ac:dyDescent="0.25">
      <c r="A482" s="9"/>
      <c r="B482" s="9"/>
      <c r="C482" s="9"/>
      <c r="D482" s="9"/>
      <c r="E482" s="9"/>
      <c r="F482" s="10"/>
      <c r="G482" s="10"/>
      <c r="H482" s="9"/>
      <c r="I482" s="9"/>
      <c r="J482" s="9"/>
      <c r="K482" s="9"/>
      <c r="L482" s="9"/>
      <c r="M482" s="9"/>
      <c r="N482" s="9"/>
      <c r="O482" s="10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 ht="18" customHeight="1" spans="1:67" x14ac:dyDescent="0.25">
      <c r="A483" s="9"/>
      <c r="B483" s="9"/>
      <c r="C483" s="9"/>
      <c r="D483" s="9"/>
      <c r="E483" s="9"/>
      <c r="F483" s="10"/>
      <c r="G483" s="10"/>
      <c r="H483" s="9"/>
      <c r="I483" s="9"/>
      <c r="J483" s="9"/>
      <c r="K483" s="9"/>
      <c r="L483" s="9"/>
      <c r="M483" s="9"/>
      <c r="N483" s="9"/>
      <c r="O483" s="10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 ht="18" customHeight="1" spans="1:67" x14ac:dyDescent="0.25">
      <c r="A484" s="9"/>
      <c r="B484" s="9"/>
      <c r="C484" s="9"/>
      <c r="D484" s="9"/>
      <c r="E484" s="9"/>
      <c r="F484" s="10"/>
      <c r="G484" s="10"/>
      <c r="H484" s="9"/>
      <c r="I484" s="9"/>
      <c r="J484" s="9"/>
      <c r="K484" s="9"/>
      <c r="L484" s="9"/>
      <c r="M484" s="9"/>
      <c r="N484" s="9"/>
      <c r="O484" s="10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 ht="18" customHeight="1" spans="1:67" x14ac:dyDescent="0.25">
      <c r="A485" s="9"/>
      <c r="B485" s="9"/>
      <c r="C485" s="9"/>
      <c r="D485" s="9"/>
      <c r="E485" s="9"/>
      <c r="F485" s="10"/>
      <c r="G485" s="10"/>
      <c r="H485" s="9"/>
      <c r="I485" s="9"/>
      <c r="J485" s="9"/>
      <c r="K485" s="9"/>
      <c r="L485" s="9"/>
      <c r="M485" s="9"/>
      <c r="N485" s="9"/>
      <c r="O485" s="10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 ht="18" customHeight="1" spans="1:67" x14ac:dyDescent="0.25">
      <c r="A486" s="9"/>
      <c r="B486" s="9"/>
      <c r="C486" s="9"/>
      <c r="D486" s="9"/>
      <c r="E486" s="9"/>
      <c r="F486" s="10"/>
      <c r="G486" s="10"/>
      <c r="H486" s="9"/>
      <c r="I486" s="9"/>
      <c r="J486" s="9"/>
      <c r="K486" s="9"/>
      <c r="L486" s="9"/>
      <c r="M486" s="9"/>
      <c r="N486" s="9"/>
      <c r="O486" s="10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 ht="18" customHeight="1" spans="1:67" x14ac:dyDescent="0.25">
      <c r="A487" s="9"/>
      <c r="B487" s="9"/>
      <c r="C487" s="9"/>
      <c r="D487" s="9"/>
      <c r="E487" s="9"/>
      <c r="F487" s="10"/>
      <c r="G487" s="10"/>
      <c r="H487" s="9"/>
      <c r="I487" s="9"/>
      <c r="J487" s="9"/>
      <c r="K487" s="9"/>
      <c r="L487" s="9"/>
      <c r="M487" s="9"/>
      <c r="N487" s="9"/>
      <c r="O487" s="10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 ht="18" customHeight="1" spans="1:67" x14ac:dyDescent="0.25">
      <c r="A488" s="9"/>
      <c r="B488" s="9"/>
      <c r="C488" s="9"/>
      <c r="D488" s="9"/>
      <c r="E488" s="9"/>
      <c r="F488" s="10"/>
      <c r="G488" s="10"/>
      <c r="H488" s="9"/>
      <c r="I488" s="9"/>
      <c r="J488" s="9"/>
      <c r="K488" s="9"/>
      <c r="L488" s="9"/>
      <c r="M488" s="9"/>
      <c r="N488" s="9"/>
      <c r="O488" s="10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 ht="18" customHeight="1" spans="1:67" x14ac:dyDescent="0.25">
      <c r="A489" s="9"/>
      <c r="B489" s="9"/>
      <c r="C489" s="9"/>
      <c r="D489" s="9"/>
      <c r="E489" s="9"/>
      <c r="F489" s="10"/>
      <c r="G489" s="10"/>
      <c r="H489" s="9"/>
      <c r="I489" s="9"/>
      <c r="J489" s="9"/>
      <c r="K489" s="9"/>
      <c r="L489" s="9"/>
      <c r="M489" s="9"/>
      <c r="N489" s="9"/>
      <c r="O489" s="10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 ht="18" customHeight="1" spans="1:67" x14ac:dyDescent="0.25">
      <c r="A490" s="9"/>
      <c r="B490" s="9"/>
      <c r="C490" s="9"/>
      <c r="D490" s="9"/>
      <c r="E490" s="9"/>
      <c r="F490" s="10"/>
      <c r="G490" s="10"/>
      <c r="H490" s="9"/>
      <c r="I490" s="9"/>
      <c r="J490" s="9"/>
      <c r="K490" s="9"/>
      <c r="L490" s="9"/>
      <c r="M490" s="9"/>
      <c r="N490" s="9"/>
      <c r="O490" s="10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 ht="18" customHeight="1" spans="1:67" x14ac:dyDescent="0.25">
      <c r="A491" s="9"/>
      <c r="B491" s="9"/>
      <c r="C491" s="9"/>
      <c r="D491" s="9"/>
      <c r="E491" s="9"/>
      <c r="F491" s="10"/>
      <c r="G491" s="10"/>
      <c r="H491" s="9"/>
      <c r="I491" s="9"/>
      <c r="J491" s="9"/>
      <c r="K491" s="9"/>
      <c r="L491" s="9"/>
      <c r="M491" s="9"/>
      <c r="N491" s="9"/>
      <c r="O491" s="10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 ht="18" customHeight="1" spans="1:67" x14ac:dyDescent="0.25">
      <c r="A492" s="9"/>
      <c r="B492" s="9"/>
      <c r="C492" s="9"/>
      <c r="D492" s="9"/>
      <c r="E492" s="9"/>
      <c r="F492" s="10"/>
      <c r="G492" s="10"/>
      <c r="H492" s="9"/>
      <c r="I492" s="9"/>
      <c r="J492" s="9"/>
      <c r="K492" s="9"/>
      <c r="L492" s="9"/>
      <c r="M492" s="9"/>
      <c r="N492" s="9"/>
      <c r="O492" s="10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 ht="18" customHeight="1" spans="1:67" x14ac:dyDescent="0.25">
      <c r="A493" s="9"/>
      <c r="B493" s="9"/>
      <c r="C493" s="9"/>
      <c r="D493" s="9"/>
      <c r="E493" s="9"/>
      <c r="F493" s="10"/>
      <c r="G493" s="10"/>
      <c r="H493" s="9"/>
      <c r="I493" s="9"/>
      <c r="J493" s="9"/>
      <c r="K493" s="9"/>
      <c r="L493" s="9"/>
      <c r="M493" s="9"/>
      <c r="N493" s="9"/>
      <c r="O493" s="10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 ht="18" customHeight="1" spans="1:67" x14ac:dyDescent="0.25">
      <c r="A494" s="9"/>
      <c r="B494" s="9"/>
      <c r="C494" s="9"/>
      <c r="D494" s="9"/>
      <c r="E494" s="9"/>
      <c r="F494" s="10"/>
      <c r="G494" s="10"/>
      <c r="H494" s="9"/>
      <c r="I494" s="9"/>
      <c r="J494" s="9"/>
      <c r="K494" s="9"/>
      <c r="L494" s="9"/>
      <c r="M494" s="9"/>
      <c r="N494" s="9"/>
      <c r="O494" s="10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 ht="18" customHeight="1" spans="1:67" x14ac:dyDescent="0.25">
      <c r="A495" s="9"/>
      <c r="B495" s="9"/>
      <c r="C495" s="9"/>
      <c r="D495" s="9"/>
      <c r="E495" s="9"/>
      <c r="F495" s="10"/>
      <c r="G495" s="10"/>
      <c r="H495" s="9"/>
      <c r="I495" s="9"/>
      <c r="J495" s="9"/>
      <c r="K495" s="9"/>
      <c r="L495" s="9"/>
      <c r="M495" s="9"/>
      <c r="N495" s="9"/>
      <c r="O495" s="10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 ht="18" customHeight="1" spans="1:67" x14ac:dyDescent="0.25">
      <c r="A496" s="9"/>
      <c r="B496" s="9"/>
      <c r="C496" s="9"/>
      <c r="D496" s="9"/>
      <c r="E496" s="9"/>
      <c r="F496" s="10"/>
      <c r="G496" s="10"/>
      <c r="H496" s="9"/>
      <c r="I496" s="9"/>
      <c r="J496" s="9"/>
      <c r="K496" s="9"/>
      <c r="L496" s="9"/>
      <c r="M496" s="9"/>
      <c r="N496" s="9"/>
      <c r="O496" s="10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 ht="18" customHeight="1" spans="1:67" x14ac:dyDescent="0.25">
      <c r="A497" s="9"/>
      <c r="B497" s="9"/>
      <c r="C497" s="9"/>
      <c r="D497" s="9"/>
      <c r="E497" s="9"/>
      <c r="F497" s="10"/>
      <c r="G497" s="10"/>
      <c r="H497" s="9"/>
      <c r="I497" s="9"/>
      <c r="J497" s="9"/>
      <c r="K497" s="9"/>
      <c r="L497" s="9"/>
      <c r="M497" s="9"/>
      <c r="N497" s="9"/>
      <c r="O497" s="10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 ht="18" customHeight="1" spans="1:67" x14ac:dyDescent="0.25">
      <c r="A498" s="9"/>
      <c r="B498" s="9"/>
      <c r="C498" s="9"/>
      <c r="D498" s="9"/>
      <c r="E498" s="9"/>
      <c r="F498" s="10"/>
      <c r="G498" s="10"/>
      <c r="H498" s="9"/>
      <c r="I498" s="9"/>
      <c r="J498" s="9"/>
      <c r="K498" s="9"/>
      <c r="L498" s="9"/>
      <c r="M498" s="9"/>
      <c r="N498" s="9"/>
      <c r="O498" s="10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 ht="18" customHeight="1" spans="1:67" x14ac:dyDescent="0.25">
      <c r="A499" s="9"/>
      <c r="B499" s="9"/>
      <c r="C499" s="9"/>
      <c r="D499" s="9"/>
      <c r="E499" s="9"/>
      <c r="F499" s="10"/>
      <c r="G499" s="10"/>
      <c r="H499" s="9"/>
      <c r="I499" s="9"/>
      <c r="J499" s="9"/>
      <c r="K499" s="9"/>
      <c r="L499" s="9"/>
      <c r="M499" s="9"/>
      <c r="N499" s="9"/>
      <c r="O499" s="10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 ht="18" customHeight="1" spans="1:67" x14ac:dyDescent="0.25">
      <c r="A500" s="9"/>
      <c r="B500" s="9"/>
      <c r="C500" s="9"/>
      <c r="D500" s="9"/>
      <c r="E500" s="9"/>
      <c r="F500" s="10"/>
      <c r="G500" s="10"/>
      <c r="H500" s="9"/>
      <c r="I500" s="9"/>
      <c r="J500" s="9"/>
      <c r="K500" s="9"/>
      <c r="L500" s="9"/>
      <c r="M500" s="9"/>
      <c r="N500" s="9"/>
      <c r="O500" s="10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 ht="18" customHeight="1" spans="1:67" x14ac:dyDescent="0.25">
      <c r="A501" s="9"/>
      <c r="B501" s="9"/>
      <c r="C501" s="9"/>
      <c r="D501" s="9"/>
      <c r="E501" s="9"/>
      <c r="F501" s="10"/>
      <c r="G501" s="10"/>
      <c r="H501" s="9"/>
      <c r="I501" s="9"/>
      <c r="J501" s="9"/>
      <c r="K501" s="9"/>
      <c r="L501" s="9"/>
      <c r="M501" s="9"/>
      <c r="N501" s="9"/>
      <c r="O501" s="10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 ht="18" customHeight="1" spans="1:67" x14ac:dyDescent="0.25">
      <c r="A502" s="9"/>
      <c r="B502" s="9"/>
      <c r="C502" s="9"/>
      <c r="D502" s="9"/>
      <c r="E502" s="9"/>
      <c r="F502" s="10"/>
      <c r="G502" s="10"/>
      <c r="H502" s="9"/>
      <c r="I502" s="9"/>
      <c r="J502" s="9"/>
      <c r="K502" s="9"/>
      <c r="L502" s="9"/>
      <c r="M502" s="9"/>
      <c r="N502" s="9"/>
      <c r="O502" s="10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 ht="18" customHeight="1" spans="1:67" x14ac:dyDescent="0.25">
      <c r="A503" s="9"/>
      <c r="B503" s="9"/>
      <c r="C503" s="9"/>
      <c r="D503" s="9"/>
      <c r="E503" s="9"/>
      <c r="F503" s="10"/>
      <c r="G503" s="10"/>
      <c r="H503" s="9"/>
      <c r="I503" s="9"/>
      <c r="J503" s="9"/>
      <c r="K503" s="9"/>
      <c r="L503" s="9"/>
      <c r="M503" s="9"/>
      <c r="N503" s="9"/>
      <c r="O503" s="10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 ht="18" customHeight="1" spans="1:67" x14ac:dyDescent="0.25">
      <c r="A504" s="9"/>
      <c r="B504" s="9"/>
      <c r="C504" s="9"/>
      <c r="D504" s="9"/>
      <c r="E504" s="9"/>
      <c r="F504" s="10"/>
      <c r="G504" s="10"/>
      <c r="H504" s="9"/>
      <c r="I504" s="9"/>
      <c r="J504" s="9"/>
      <c r="K504" s="9"/>
      <c r="L504" s="9"/>
      <c r="M504" s="9"/>
      <c r="N504" s="9"/>
      <c r="O504" s="10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 ht="18" customHeight="1" spans="1:67" x14ac:dyDescent="0.25">
      <c r="A505" s="9"/>
      <c r="B505" s="9"/>
      <c r="C505" s="9"/>
      <c r="D505" s="9"/>
      <c r="E505" s="9"/>
      <c r="F505" s="10"/>
      <c r="G505" s="10"/>
      <c r="H505" s="9"/>
      <c r="I505" s="9"/>
      <c r="J505" s="9"/>
      <c r="K505" s="9"/>
      <c r="L505" s="9"/>
      <c r="M505" s="9"/>
      <c r="N505" s="9"/>
      <c r="O505" s="10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 ht="18" customHeight="1" spans="1:67" x14ac:dyDescent="0.25">
      <c r="A506" s="9"/>
      <c r="B506" s="9"/>
      <c r="C506" s="9"/>
      <c r="D506" s="9"/>
      <c r="E506" s="9"/>
      <c r="F506" s="10"/>
      <c r="G506" s="10"/>
      <c r="H506" s="9"/>
      <c r="I506" s="9"/>
      <c r="J506" s="9"/>
      <c r="K506" s="9"/>
      <c r="L506" s="9"/>
      <c r="M506" s="9"/>
      <c r="N506" s="9"/>
      <c r="O506" s="10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  <row r="507" ht="18" customHeight="1" spans="1:67" x14ac:dyDescent="0.25">
      <c r="A507" s="9"/>
      <c r="B507" s="9"/>
      <c r="C507" s="9"/>
      <c r="D507" s="9"/>
      <c r="E507" s="9"/>
      <c r="F507" s="10"/>
      <c r="G507" s="10"/>
      <c r="H507" s="9"/>
      <c r="I507" s="9"/>
      <c r="J507" s="9"/>
      <c r="K507" s="9"/>
      <c r="L507" s="9"/>
      <c r="M507" s="9"/>
      <c r="N507" s="9"/>
      <c r="O507" s="10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</row>
    <row r="508" ht="18" customHeight="1" spans="1:67" x14ac:dyDescent="0.25">
      <c r="A508" s="9"/>
      <c r="B508" s="9"/>
      <c r="C508" s="9"/>
      <c r="D508" s="9"/>
      <c r="E508" s="9"/>
      <c r="F508" s="10"/>
      <c r="G508" s="10"/>
      <c r="H508" s="9"/>
      <c r="I508" s="9"/>
      <c r="J508" s="9"/>
      <c r="K508" s="9"/>
      <c r="L508" s="9"/>
      <c r="M508" s="9"/>
      <c r="N508" s="9"/>
      <c r="O508" s="10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</row>
    <row r="509" ht="18" customHeight="1" spans="1:67" x14ac:dyDescent="0.25">
      <c r="A509" s="9"/>
      <c r="B509" s="9"/>
      <c r="C509" s="9"/>
      <c r="D509" s="9"/>
      <c r="E509" s="9"/>
      <c r="F509" s="10"/>
      <c r="G509" s="10"/>
      <c r="H509" s="9"/>
      <c r="I509" s="9"/>
      <c r="J509" s="9"/>
      <c r="K509" s="9"/>
      <c r="L509" s="9"/>
      <c r="M509" s="9"/>
      <c r="N509" s="9"/>
      <c r="O509" s="10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</row>
    <row r="510" ht="18" customHeight="1" spans="1:67" x14ac:dyDescent="0.25">
      <c r="A510" s="9"/>
      <c r="B510" s="9"/>
      <c r="C510" s="9"/>
      <c r="D510" s="9"/>
      <c r="E510" s="9"/>
      <c r="F510" s="10"/>
      <c r="G510" s="10"/>
      <c r="H510" s="9"/>
      <c r="I510" s="9"/>
      <c r="J510" s="9"/>
      <c r="K510" s="9"/>
      <c r="L510" s="9"/>
      <c r="M510" s="9"/>
      <c r="N510" s="9"/>
      <c r="O510" s="10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</row>
    <row r="511" ht="18" customHeight="1" spans="1:67" x14ac:dyDescent="0.25">
      <c r="A511" s="9"/>
      <c r="B511" s="9"/>
      <c r="C511" s="9"/>
      <c r="D511" s="9"/>
      <c r="E511" s="9"/>
      <c r="F511" s="10"/>
      <c r="G511" s="10"/>
      <c r="H511" s="9"/>
      <c r="I511" s="9"/>
      <c r="J511" s="9"/>
      <c r="K511" s="9"/>
      <c r="L511" s="9"/>
      <c r="M511" s="9"/>
      <c r="N511" s="9"/>
      <c r="O511" s="10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</row>
    <row r="512" ht="18" customHeight="1" spans="1:67" x14ac:dyDescent="0.25">
      <c r="A512" s="9"/>
      <c r="B512" s="9"/>
      <c r="C512" s="9"/>
      <c r="D512" s="9"/>
      <c r="E512" s="9"/>
      <c r="F512" s="10"/>
      <c r="G512" s="10"/>
      <c r="H512" s="9"/>
      <c r="I512" s="9"/>
      <c r="J512" s="9"/>
      <c r="K512" s="9"/>
      <c r="L512" s="9"/>
      <c r="M512" s="9"/>
      <c r="N512" s="9"/>
      <c r="O512" s="10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</row>
    <row r="513" ht="18" customHeight="1" spans="1:67" x14ac:dyDescent="0.25">
      <c r="A513" s="9"/>
      <c r="B513" s="9"/>
      <c r="C513" s="9"/>
      <c r="D513" s="9"/>
      <c r="E513" s="9"/>
      <c r="F513" s="10"/>
      <c r="G513" s="10"/>
      <c r="H513" s="9"/>
      <c r="I513" s="9"/>
      <c r="J513" s="9"/>
      <c r="K513" s="9"/>
      <c r="L513" s="9"/>
      <c r="M513" s="9"/>
      <c r="N513" s="9"/>
      <c r="O513" s="10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</row>
    <row r="514" ht="18" customHeight="1" spans="1:67" x14ac:dyDescent="0.25">
      <c r="A514" s="9"/>
      <c r="B514" s="9"/>
      <c r="C514" s="9"/>
      <c r="D514" s="9"/>
      <c r="E514" s="9"/>
      <c r="F514" s="10"/>
      <c r="G514" s="10"/>
      <c r="H514" s="9"/>
      <c r="I514" s="9"/>
      <c r="J514" s="9"/>
      <c r="K514" s="9"/>
      <c r="L514" s="9"/>
      <c r="M514" s="9"/>
      <c r="N514" s="9"/>
      <c r="O514" s="10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</row>
    <row r="515" ht="18" customHeight="1" spans="1:67" x14ac:dyDescent="0.25">
      <c r="A515" s="9"/>
      <c r="B515" s="9"/>
      <c r="C515" s="9"/>
      <c r="D515" s="9"/>
      <c r="E515" s="9"/>
      <c r="F515" s="10"/>
      <c r="G515" s="10"/>
      <c r="H515" s="9"/>
      <c r="I515" s="9"/>
      <c r="J515" s="9"/>
      <c r="K515" s="9"/>
      <c r="L515" s="9"/>
      <c r="M515" s="9"/>
      <c r="N515" s="9"/>
      <c r="O515" s="10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</row>
    <row r="516" ht="18" customHeight="1" spans="1:67" x14ac:dyDescent="0.25">
      <c r="A516" s="9"/>
      <c r="B516" s="9"/>
      <c r="C516" s="9"/>
      <c r="D516" s="9"/>
      <c r="E516" s="9"/>
      <c r="F516" s="10"/>
      <c r="G516" s="10"/>
      <c r="H516" s="9"/>
      <c r="I516" s="9"/>
      <c r="J516" s="9"/>
      <c r="K516" s="9"/>
      <c r="L516" s="9"/>
      <c r="M516" s="9"/>
      <c r="N516" s="9"/>
      <c r="O516" s="10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</row>
    <row r="517" ht="18" customHeight="1" spans="1:67" x14ac:dyDescent="0.25">
      <c r="A517" s="9"/>
      <c r="B517" s="9"/>
      <c r="C517" s="9"/>
      <c r="D517" s="9"/>
      <c r="E517" s="9"/>
      <c r="F517" s="10"/>
      <c r="G517" s="10"/>
      <c r="H517" s="9"/>
      <c r="I517" s="9"/>
      <c r="J517" s="9"/>
      <c r="K517" s="9"/>
      <c r="L517" s="9"/>
      <c r="M517" s="9"/>
      <c r="N517" s="9"/>
      <c r="O517" s="10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</row>
    <row r="518" ht="18" customHeight="1" spans="1:67" x14ac:dyDescent="0.25">
      <c r="A518" s="9"/>
      <c r="B518" s="9"/>
      <c r="C518" s="9"/>
      <c r="D518" s="9"/>
      <c r="E518" s="9"/>
      <c r="F518" s="10"/>
      <c r="G518" s="10"/>
      <c r="H518" s="9"/>
      <c r="I518" s="9"/>
      <c r="J518" s="9"/>
      <c r="K518" s="9"/>
      <c r="L518" s="9"/>
      <c r="M518" s="9"/>
      <c r="N518" s="9"/>
      <c r="O518" s="10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</row>
    <row r="519" ht="18" customHeight="1" spans="1:67" x14ac:dyDescent="0.25">
      <c r="A519" s="9"/>
      <c r="B519" s="9"/>
      <c r="C519" s="9"/>
      <c r="D519" s="9"/>
      <c r="E519" s="9"/>
      <c r="F519" s="10"/>
      <c r="G519" s="10"/>
      <c r="H519" s="9"/>
      <c r="I519" s="9"/>
      <c r="J519" s="9"/>
      <c r="K519" s="9"/>
      <c r="L519" s="9"/>
      <c r="M519" s="9"/>
      <c r="N519" s="9"/>
      <c r="O519" s="10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</row>
    <row r="520" ht="18" customHeight="1" spans="1:67" x14ac:dyDescent="0.25">
      <c r="A520" s="9"/>
      <c r="B520" s="9"/>
      <c r="C520" s="9"/>
      <c r="D520" s="9"/>
      <c r="E520" s="9"/>
      <c r="F520" s="10"/>
      <c r="G520" s="10"/>
      <c r="H520" s="9"/>
      <c r="I520" s="9"/>
      <c r="J520" s="9"/>
      <c r="K520" s="9"/>
      <c r="L520" s="9"/>
      <c r="M520" s="9"/>
      <c r="N520" s="9"/>
      <c r="O520" s="10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</row>
    <row r="521" ht="18" customHeight="1" spans="1:67" x14ac:dyDescent="0.25">
      <c r="A521" s="9"/>
      <c r="B521" s="9"/>
      <c r="C521" s="9"/>
      <c r="D521" s="9"/>
      <c r="E521" s="9"/>
      <c r="F521" s="10"/>
      <c r="G521" s="10"/>
      <c r="H521" s="9"/>
      <c r="I521" s="9"/>
      <c r="J521" s="9"/>
      <c r="K521" s="9"/>
      <c r="L521" s="9"/>
      <c r="M521" s="9"/>
      <c r="N521" s="9"/>
      <c r="O521" s="10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</row>
    <row r="522" ht="18" customHeight="1" spans="1:67" x14ac:dyDescent="0.25">
      <c r="A522" s="9"/>
      <c r="B522" s="9"/>
      <c r="C522" s="9"/>
      <c r="D522" s="9"/>
      <c r="E522" s="9"/>
      <c r="F522" s="10"/>
      <c r="G522" s="10"/>
      <c r="H522" s="9"/>
      <c r="I522" s="9"/>
      <c r="J522" s="9"/>
      <c r="K522" s="9"/>
      <c r="L522" s="9"/>
      <c r="M522" s="9"/>
      <c r="N522" s="9"/>
      <c r="O522" s="10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</row>
    <row r="523" ht="18" customHeight="1" spans="1:67" x14ac:dyDescent="0.25">
      <c r="A523" s="9"/>
      <c r="B523" s="9"/>
      <c r="C523" s="9"/>
      <c r="D523" s="9"/>
      <c r="E523" s="9"/>
      <c r="F523" s="10"/>
      <c r="G523" s="10"/>
      <c r="H523" s="9"/>
      <c r="I523" s="9"/>
      <c r="J523" s="9"/>
      <c r="K523" s="9"/>
      <c r="L523" s="9"/>
      <c r="M523" s="9"/>
      <c r="N523" s="9"/>
      <c r="O523" s="10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</row>
    <row r="524" ht="18" customHeight="1" spans="1:67" x14ac:dyDescent="0.25">
      <c r="A524" s="9"/>
      <c r="B524" s="9"/>
      <c r="C524" s="9"/>
      <c r="D524" s="9"/>
      <c r="E524" s="9"/>
      <c r="F524" s="10"/>
      <c r="G524" s="10"/>
      <c r="H524" s="9"/>
      <c r="I524" s="9"/>
      <c r="J524" s="9"/>
      <c r="K524" s="9"/>
      <c r="L524" s="9"/>
      <c r="M524" s="9"/>
      <c r="N524" s="9"/>
      <c r="O524" s="10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</row>
    <row r="525" ht="18" customHeight="1" spans="1:67" x14ac:dyDescent="0.25">
      <c r="A525" s="9"/>
      <c r="B525" s="9"/>
      <c r="C525" s="9"/>
      <c r="D525" s="9"/>
      <c r="E525" s="9"/>
      <c r="F525" s="10"/>
      <c r="G525" s="10"/>
      <c r="H525" s="9"/>
      <c r="I525" s="9"/>
      <c r="J525" s="9"/>
      <c r="K525" s="9"/>
      <c r="L525" s="9"/>
      <c r="M525" s="9"/>
      <c r="N525" s="9"/>
      <c r="O525" s="10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</row>
    <row r="526" ht="18" customHeight="1" spans="1:67" x14ac:dyDescent="0.25">
      <c r="A526" s="9"/>
      <c r="B526" s="9"/>
      <c r="C526" s="9"/>
      <c r="D526" s="9"/>
      <c r="E526" s="9"/>
      <c r="F526" s="10"/>
      <c r="G526" s="10"/>
      <c r="H526" s="9"/>
      <c r="I526" s="9"/>
      <c r="J526" s="9"/>
      <c r="K526" s="9"/>
      <c r="L526" s="9"/>
      <c r="M526" s="9"/>
      <c r="N526" s="9"/>
      <c r="O526" s="10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</row>
    <row r="527" ht="18" customHeight="1" spans="1:67" x14ac:dyDescent="0.25">
      <c r="A527" s="9"/>
      <c r="B527" s="9"/>
      <c r="C527" s="9"/>
      <c r="D527" s="9"/>
      <c r="E527" s="9"/>
      <c r="F527" s="10"/>
      <c r="G527" s="10"/>
      <c r="H527" s="9"/>
      <c r="I527" s="9"/>
      <c r="J527" s="9"/>
      <c r="K527" s="9"/>
      <c r="L527" s="9"/>
      <c r="M527" s="9"/>
      <c r="N527" s="9"/>
      <c r="O527" s="10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</row>
    <row r="528" ht="18" customHeight="1" spans="1:67" x14ac:dyDescent="0.25">
      <c r="A528" s="9"/>
      <c r="B528" s="9"/>
      <c r="C528" s="9"/>
      <c r="D528" s="9"/>
      <c r="E528" s="9"/>
      <c r="F528" s="10"/>
      <c r="G528" s="10"/>
      <c r="H528" s="9"/>
      <c r="I528" s="9"/>
      <c r="J528" s="9"/>
      <c r="K528" s="9"/>
      <c r="L528" s="9"/>
      <c r="M528" s="9"/>
      <c r="N528" s="9"/>
      <c r="O528" s="10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</row>
    <row r="529" ht="18" customHeight="1" spans="1:67" x14ac:dyDescent="0.25">
      <c r="A529" s="9"/>
      <c r="B529" s="9"/>
      <c r="C529" s="9"/>
      <c r="D529" s="9"/>
      <c r="E529" s="9"/>
      <c r="F529" s="10"/>
      <c r="G529" s="10"/>
      <c r="H529" s="9"/>
      <c r="I529" s="9"/>
      <c r="J529" s="9"/>
      <c r="K529" s="9"/>
      <c r="L529" s="9"/>
      <c r="M529" s="9"/>
      <c r="N529" s="9"/>
      <c r="O529" s="10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</row>
    <row r="530" ht="18" customHeight="1" spans="1:67" x14ac:dyDescent="0.25">
      <c r="A530" s="9"/>
      <c r="B530" s="9"/>
      <c r="C530" s="9"/>
      <c r="D530" s="9"/>
      <c r="E530" s="9"/>
      <c r="F530" s="10"/>
      <c r="G530" s="10"/>
      <c r="H530" s="9"/>
      <c r="I530" s="9"/>
      <c r="J530" s="9"/>
      <c r="K530" s="9"/>
      <c r="L530" s="9"/>
      <c r="M530" s="9"/>
      <c r="N530" s="9"/>
      <c r="O530" s="10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</row>
    <row r="531" ht="18" customHeight="1" spans="1:67" x14ac:dyDescent="0.25">
      <c r="A531" s="9"/>
      <c r="B531" s="9"/>
      <c r="C531" s="9"/>
      <c r="D531" s="9"/>
      <c r="E531" s="9"/>
      <c r="F531" s="10"/>
      <c r="G531" s="10"/>
      <c r="H531" s="9"/>
      <c r="I531" s="9"/>
      <c r="J531" s="9"/>
      <c r="K531" s="9"/>
      <c r="L531" s="9"/>
      <c r="M531" s="9"/>
      <c r="N531" s="9"/>
      <c r="O531" s="10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</row>
    <row r="532" ht="18" customHeight="1" spans="1:67" x14ac:dyDescent="0.25">
      <c r="A532" s="9"/>
      <c r="B532" s="9"/>
      <c r="C532" s="9"/>
      <c r="D532" s="9"/>
      <c r="E532" s="9"/>
      <c r="F532" s="10"/>
      <c r="G532" s="10"/>
      <c r="H532" s="9"/>
      <c r="I532" s="9"/>
      <c r="J532" s="9"/>
      <c r="K532" s="9"/>
      <c r="L532" s="9"/>
      <c r="M532" s="9"/>
      <c r="N532" s="9"/>
      <c r="O532" s="10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</row>
    <row r="533" ht="18" customHeight="1" spans="1:67" x14ac:dyDescent="0.25">
      <c r="A533" s="9"/>
      <c r="B533" s="9"/>
      <c r="C533" s="9"/>
      <c r="D533" s="9"/>
      <c r="E533" s="9"/>
      <c r="F533" s="10"/>
      <c r="G533" s="10"/>
      <c r="H533" s="9"/>
      <c r="I533" s="9"/>
      <c r="J533" s="9"/>
      <c r="K533" s="9"/>
      <c r="L533" s="9"/>
      <c r="M533" s="9"/>
      <c r="N533" s="9"/>
      <c r="O533" s="10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</row>
    <row r="534" ht="18" customHeight="1" spans="1:67" x14ac:dyDescent="0.25">
      <c r="A534" s="9"/>
      <c r="B534" s="9"/>
      <c r="C534" s="9"/>
      <c r="D534" s="9"/>
      <c r="E534" s="9"/>
      <c r="F534" s="10"/>
      <c r="G534" s="10"/>
      <c r="H534" s="9"/>
      <c r="I534" s="9"/>
      <c r="J534" s="9"/>
      <c r="K534" s="9"/>
      <c r="L534" s="9"/>
      <c r="M534" s="9"/>
      <c r="N534" s="9"/>
      <c r="O534" s="10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</row>
    <row r="535" ht="18" customHeight="1" spans="1:67" x14ac:dyDescent="0.25">
      <c r="A535" s="9"/>
      <c r="B535" s="9"/>
      <c r="C535" s="9"/>
      <c r="D535" s="9"/>
      <c r="E535" s="9"/>
      <c r="F535" s="10"/>
      <c r="G535" s="10"/>
      <c r="H535" s="9"/>
      <c r="I535" s="9"/>
      <c r="J535" s="9"/>
      <c r="K535" s="9"/>
      <c r="L535" s="9"/>
      <c r="M535" s="9"/>
      <c r="N535" s="9"/>
      <c r="O535" s="10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</row>
    <row r="536" ht="18" customHeight="1" spans="1:67" x14ac:dyDescent="0.25">
      <c r="A536" s="9"/>
      <c r="B536" s="9"/>
      <c r="C536" s="9"/>
      <c r="D536" s="9"/>
      <c r="E536" s="9"/>
      <c r="F536" s="10"/>
      <c r="G536" s="10"/>
      <c r="H536" s="9"/>
      <c r="I536" s="9"/>
      <c r="J536" s="9"/>
      <c r="K536" s="9"/>
      <c r="L536" s="9"/>
      <c r="M536" s="9"/>
      <c r="N536" s="9"/>
      <c r="O536" s="10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</row>
    <row r="537" ht="18" customHeight="1" spans="1:67" x14ac:dyDescent="0.25">
      <c r="A537" s="9"/>
      <c r="B537" s="9"/>
      <c r="C537" s="9"/>
      <c r="D537" s="9"/>
      <c r="E537" s="9"/>
      <c r="F537" s="10"/>
      <c r="G537" s="10"/>
      <c r="H537" s="9"/>
      <c r="I537" s="9"/>
      <c r="J537" s="9"/>
      <c r="K537" s="9"/>
      <c r="L537" s="9"/>
      <c r="M537" s="9"/>
      <c r="N537" s="9"/>
      <c r="O537" s="10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</row>
    <row r="538" ht="18" customHeight="1" spans="1:67" x14ac:dyDescent="0.25">
      <c r="A538" s="9"/>
      <c r="B538" s="9"/>
      <c r="C538" s="9"/>
      <c r="D538" s="9"/>
      <c r="E538" s="9"/>
      <c r="F538" s="10"/>
      <c r="G538" s="10"/>
      <c r="H538" s="9"/>
      <c r="I538" s="9"/>
      <c r="J538" s="9"/>
      <c r="K538" s="9"/>
      <c r="L538" s="9"/>
      <c r="M538" s="9"/>
      <c r="N538" s="9"/>
      <c r="O538" s="10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</row>
    <row r="539" ht="18" customHeight="1" spans="1:67" x14ac:dyDescent="0.25">
      <c r="A539" s="9"/>
      <c r="B539" s="9"/>
      <c r="C539" s="9"/>
      <c r="D539" s="9"/>
      <c r="E539" s="9"/>
      <c r="F539" s="10"/>
      <c r="G539" s="10"/>
      <c r="H539" s="9"/>
      <c r="I539" s="9"/>
      <c r="J539" s="9"/>
      <c r="K539" s="9"/>
      <c r="L539" s="9"/>
      <c r="M539" s="9"/>
      <c r="N539" s="9"/>
      <c r="O539" s="10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</row>
    <row r="540" ht="18" customHeight="1" spans="1:67" x14ac:dyDescent="0.25">
      <c r="A540" s="9"/>
      <c r="B540" s="9"/>
      <c r="C540" s="9"/>
      <c r="D540" s="9"/>
      <c r="E540" s="9"/>
      <c r="F540" s="10"/>
      <c r="G540" s="10"/>
      <c r="H540" s="9"/>
      <c r="I540" s="9"/>
      <c r="J540" s="9"/>
      <c r="K540" s="9"/>
      <c r="L540" s="9"/>
      <c r="M540" s="9"/>
      <c r="N540" s="9"/>
      <c r="O540" s="10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</row>
    <row r="541" ht="18" customHeight="1" spans="1:67" x14ac:dyDescent="0.25">
      <c r="A541" s="9"/>
      <c r="B541" s="9"/>
      <c r="C541" s="9"/>
      <c r="D541" s="9"/>
      <c r="E541" s="9"/>
      <c r="F541" s="10"/>
      <c r="G541" s="10"/>
      <c r="H541" s="9"/>
      <c r="I541" s="9"/>
      <c r="J541" s="9"/>
      <c r="K541" s="9"/>
      <c r="L541" s="9"/>
      <c r="M541" s="9"/>
      <c r="N541" s="9"/>
      <c r="O541" s="10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</row>
    <row r="542" ht="18" customHeight="1" spans="1:67" x14ac:dyDescent="0.25">
      <c r="A542" s="9"/>
      <c r="B542" s="9"/>
      <c r="C542" s="9"/>
      <c r="D542" s="9"/>
      <c r="E542" s="9"/>
      <c r="F542" s="10"/>
      <c r="G542" s="10"/>
      <c r="H542" s="9"/>
      <c r="I542" s="9"/>
      <c r="J542" s="9"/>
      <c r="K542" s="9"/>
      <c r="L542" s="9"/>
      <c r="M542" s="9"/>
      <c r="N542" s="9"/>
      <c r="O542" s="10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</row>
    <row r="543" ht="18" customHeight="1" spans="1:67" x14ac:dyDescent="0.25">
      <c r="A543" s="9"/>
      <c r="B543" s="9"/>
      <c r="C543" s="9"/>
      <c r="D543" s="9"/>
      <c r="E543" s="9"/>
      <c r="F543" s="10"/>
      <c r="G543" s="10"/>
      <c r="H543" s="9"/>
      <c r="I543" s="9"/>
      <c r="J543" s="9"/>
      <c r="K543" s="9"/>
      <c r="L543" s="9"/>
      <c r="M543" s="9"/>
      <c r="N543" s="9"/>
      <c r="O543" s="10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</row>
    <row r="544" ht="18" customHeight="1" spans="1:67" x14ac:dyDescent="0.25">
      <c r="A544" s="9"/>
      <c r="B544" s="9"/>
      <c r="C544" s="9"/>
      <c r="D544" s="9"/>
      <c r="E544" s="9"/>
      <c r="F544" s="10"/>
      <c r="G544" s="10"/>
      <c r="H544" s="9"/>
      <c r="I544" s="9"/>
      <c r="J544" s="9"/>
      <c r="K544" s="9"/>
      <c r="L544" s="9"/>
      <c r="M544" s="9"/>
      <c r="N544" s="9"/>
      <c r="O544" s="10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</row>
    <row r="545" ht="18" customHeight="1" spans="1:67" x14ac:dyDescent="0.25">
      <c r="A545" s="9"/>
      <c r="B545" s="9"/>
      <c r="C545" s="9"/>
      <c r="D545" s="9"/>
      <c r="E545" s="9"/>
      <c r="F545" s="10"/>
      <c r="G545" s="10"/>
      <c r="H545" s="9"/>
      <c r="I545" s="9"/>
      <c r="J545" s="9"/>
      <c r="K545" s="9"/>
      <c r="L545" s="9"/>
      <c r="M545" s="9"/>
      <c r="N545" s="9"/>
      <c r="O545" s="10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</row>
    <row r="546" ht="18" customHeight="1" spans="1:67" x14ac:dyDescent="0.25">
      <c r="A546" s="9"/>
      <c r="B546" s="9"/>
      <c r="C546" s="9"/>
      <c r="D546" s="9"/>
      <c r="E546" s="9"/>
      <c r="F546" s="10"/>
      <c r="G546" s="10"/>
      <c r="H546" s="9"/>
      <c r="I546" s="9"/>
      <c r="J546" s="9"/>
      <c r="K546" s="9"/>
      <c r="L546" s="9"/>
      <c r="M546" s="9"/>
      <c r="N546" s="9"/>
      <c r="O546" s="10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</row>
    <row r="547" ht="18" customHeight="1" spans="1:67" x14ac:dyDescent="0.25">
      <c r="A547" s="9"/>
      <c r="B547" s="9"/>
      <c r="C547" s="9"/>
      <c r="D547" s="9"/>
      <c r="E547" s="9"/>
      <c r="F547" s="10"/>
      <c r="G547" s="10"/>
      <c r="H547" s="9"/>
      <c r="I547" s="9"/>
      <c r="J547" s="9"/>
      <c r="K547" s="9"/>
      <c r="L547" s="9"/>
      <c r="M547" s="9"/>
      <c r="N547" s="9"/>
      <c r="O547" s="10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</row>
    <row r="548" ht="18" customHeight="1" spans="1:67" x14ac:dyDescent="0.25">
      <c r="A548" s="9"/>
      <c r="B548" s="9"/>
      <c r="C548" s="9"/>
      <c r="D548" s="9"/>
      <c r="E548" s="9"/>
      <c r="F548" s="10"/>
      <c r="G548" s="10"/>
      <c r="H548" s="9"/>
      <c r="I548" s="9"/>
      <c r="J548" s="9"/>
      <c r="K548" s="9"/>
      <c r="L548" s="9"/>
      <c r="M548" s="9"/>
      <c r="N548" s="9"/>
      <c r="O548" s="10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</row>
    <row r="549" ht="18" customHeight="1" spans="1:67" x14ac:dyDescent="0.25">
      <c r="A549" s="9"/>
      <c r="B549" s="9"/>
      <c r="C549" s="9"/>
      <c r="D549" s="9"/>
      <c r="E549" s="9"/>
      <c r="F549" s="10"/>
      <c r="G549" s="10"/>
      <c r="H549" s="9"/>
      <c r="I549" s="9"/>
      <c r="J549" s="9"/>
      <c r="K549" s="9"/>
      <c r="L549" s="9"/>
      <c r="M549" s="9"/>
      <c r="N549" s="9"/>
      <c r="O549" s="10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</row>
    <row r="550" ht="18" customHeight="1" spans="1:67" x14ac:dyDescent="0.25">
      <c r="A550" s="9"/>
      <c r="B550" s="9"/>
      <c r="C550" s="9"/>
      <c r="D550" s="9"/>
      <c r="E550" s="9"/>
      <c r="F550" s="10"/>
      <c r="G550" s="10"/>
      <c r="H550" s="9"/>
      <c r="I550" s="9"/>
      <c r="J550" s="9"/>
      <c r="K550" s="9"/>
      <c r="L550" s="9"/>
      <c r="M550" s="9"/>
      <c r="N550" s="9"/>
      <c r="O550" s="10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</row>
    <row r="551" ht="18" customHeight="1" spans="1:67" x14ac:dyDescent="0.25">
      <c r="A551" s="9"/>
      <c r="B551" s="9"/>
      <c r="C551" s="9"/>
      <c r="D551" s="9"/>
      <c r="E551" s="9"/>
      <c r="F551" s="10"/>
      <c r="G551" s="10"/>
      <c r="H551" s="9"/>
      <c r="I551" s="9"/>
      <c r="J551" s="9"/>
      <c r="K551" s="9"/>
      <c r="L551" s="9"/>
      <c r="M551" s="9"/>
      <c r="N551" s="9"/>
      <c r="O551" s="10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</row>
    <row r="552" ht="18" customHeight="1" spans="1:67" x14ac:dyDescent="0.25">
      <c r="A552" s="9"/>
      <c r="B552" s="9"/>
      <c r="C552" s="9"/>
      <c r="D552" s="9"/>
      <c r="E552" s="9"/>
      <c r="F552" s="10"/>
      <c r="G552" s="10"/>
      <c r="H552" s="9"/>
      <c r="I552" s="9"/>
      <c r="J552" s="9"/>
      <c r="K552" s="9"/>
      <c r="L552" s="9"/>
      <c r="M552" s="9"/>
      <c r="N552" s="9"/>
      <c r="O552" s="10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</row>
    <row r="553" ht="18" customHeight="1" spans="1:67" x14ac:dyDescent="0.25">
      <c r="A553" s="9"/>
      <c r="B553" s="9"/>
      <c r="C553" s="9"/>
      <c r="D553" s="9"/>
      <c r="E553" s="9"/>
      <c r="F553" s="10"/>
      <c r="G553" s="10"/>
      <c r="H553" s="9"/>
      <c r="I553" s="9"/>
      <c r="J553" s="9"/>
      <c r="K553" s="9"/>
      <c r="L553" s="9"/>
      <c r="M553" s="9"/>
      <c r="N553" s="9"/>
      <c r="O553" s="10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</row>
    <row r="554" ht="18" customHeight="1" spans="1:67" x14ac:dyDescent="0.25">
      <c r="A554" s="9"/>
      <c r="B554" s="9"/>
      <c r="C554" s="9"/>
      <c r="D554" s="9"/>
      <c r="E554" s="9"/>
      <c r="F554" s="10"/>
      <c r="G554" s="10"/>
      <c r="H554" s="9"/>
      <c r="I554" s="9"/>
      <c r="J554" s="9"/>
      <c r="K554" s="9"/>
      <c r="L554" s="9"/>
      <c r="M554" s="9"/>
      <c r="N554" s="9"/>
      <c r="O554" s="10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</row>
    <row r="555" ht="18" customHeight="1" spans="1:67" x14ac:dyDescent="0.25">
      <c r="A555" s="9"/>
      <c r="B555" s="9"/>
      <c r="C555" s="9"/>
      <c r="D555" s="9"/>
      <c r="E555" s="9"/>
      <c r="F555" s="10"/>
      <c r="G555" s="10"/>
      <c r="H555" s="9"/>
      <c r="I555" s="9"/>
      <c r="J555" s="9"/>
      <c r="K555" s="9"/>
      <c r="L555" s="9"/>
      <c r="M555" s="9"/>
      <c r="N555" s="9"/>
      <c r="O555" s="10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</row>
    <row r="556" ht="18" customHeight="1" spans="1:67" x14ac:dyDescent="0.25">
      <c r="A556" s="9"/>
      <c r="B556" s="9"/>
      <c r="C556" s="9"/>
      <c r="D556" s="9"/>
      <c r="E556" s="9"/>
      <c r="F556" s="10"/>
      <c r="G556" s="10"/>
      <c r="H556" s="9"/>
      <c r="I556" s="9"/>
      <c r="J556" s="9"/>
      <c r="K556" s="9"/>
      <c r="L556" s="9"/>
      <c r="M556" s="9"/>
      <c r="N556" s="9"/>
      <c r="O556" s="10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</row>
    <row r="557" ht="18" customHeight="1" spans="1:67" x14ac:dyDescent="0.25">
      <c r="A557" s="9"/>
      <c r="B557" s="9"/>
      <c r="C557" s="9"/>
      <c r="D557" s="9"/>
      <c r="E557" s="9"/>
      <c r="F557" s="10"/>
      <c r="G557" s="10"/>
      <c r="H557" s="9"/>
      <c r="I557" s="9"/>
      <c r="J557" s="9"/>
      <c r="K557" s="9"/>
      <c r="L557" s="9"/>
      <c r="M557" s="9"/>
      <c r="N557" s="9"/>
      <c r="O557" s="10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</row>
    <row r="558" ht="18" customHeight="1" spans="1:67" x14ac:dyDescent="0.25">
      <c r="A558" s="9"/>
      <c r="B558" s="9"/>
      <c r="C558" s="9"/>
      <c r="D558" s="9"/>
      <c r="E558" s="9"/>
      <c r="F558" s="10"/>
      <c r="G558" s="10"/>
      <c r="H558" s="9"/>
      <c r="I558" s="9"/>
      <c r="J558" s="9"/>
      <c r="K558" s="9"/>
      <c r="L558" s="9"/>
      <c r="M558" s="9"/>
      <c r="N558" s="9"/>
      <c r="O558" s="10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</row>
    <row r="559" ht="18" customHeight="1" spans="1:67" x14ac:dyDescent="0.25">
      <c r="A559" s="9"/>
      <c r="B559" s="9"/>
      <c r="C559" s="9"/>
      <c r="D559" s="9"/>
      <c r="E559" s="9"/>
      <c r="F559" s="10"/>
      <c r="G559" s="10"/>
      <c r="H559" s="9"/>
      <c r="I559" s="9"/>
      <c r="J559" s="9"/>
      <c r="K559" s="9"/>
      <c r="L559" s="9"/>
      <c r="M559" s="9"/>
      <c r="N559" s="9"/>
      <c r="O559" s="10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</row>
    <row r="560" ht="18" customHeight="1" spans="1:67" x14ac:dyDescent="0.25">
      <c r="A560" s="9"/>
      <c r="B560" s="9"/>
      <c r="C560" s="9"/>
      <c r="D560" s="9"/>
      <c r="E560" s="9"/>
      <c r="F560" s="10"/>
      <c r="G560" s="10"/>
      <c r="H560" s="9"/>
      <c r="I560" s="9"/>
      <c r="J560" s="9"/>
      <c r="K560" s="9"/>
      <c r="L560" s="9"/>
      <c r="M560" s="9"/>
      <c r="N560" s="9"/>
      <c r="O560" s="10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</row>
    <row r="561" ht="18" customHeight="1" spans="1:67" x14ac:dyDescent="0.25">
      <c r="A561" s="9"/>
      <c r="B561" s="9"/>
      <c r="C561" s="9"/>
      <c r="D561" s="9"/>
      <c r="E561" s="9"/>
      <c r="F561" s="10"/>
      <c r="G561" s="10"/>
      <c r="H561" s="9"/>
      <c r="I561" s="9"/>
      <c r="J561" s="9"/>
      <c r="K561" s="9"/>
      <c r="L561" s="9"/>
      <c r="M561" s="9"/>
      <c r="N561" s="9"/>
      <c r="O561" s="10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</row>
    <row r="562" ht="18" customHeight="1" spans="1:67" x14ac:dyDescent="0.25">
      <c r="A562" s="9"/>
      <c r="B562" s="9"/>
      <c r="C562" s="9"/>
      <c r="D562" s="9"/>
      <c r="E562" s="9"/>
      <c r="F562" s="10"/>
      <c r="G562" s="10"/>
      <c r="H562" s="9"/>
      <c r="I562" s="9"/>
      <c r="J562" s="9"/>
      <c r="K562" s="9"/>
      <c r="L562" s="9"/>
      <c r="M562" s="9"/>
      <c r="N562" s="9"/>
      <c r="O562" s="10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</row>
    <row r="563" ht="18" customHeight="1" spans="1:67" x14ac:dyDescent="0.25">
      <c r="A563" s="9"/>
      <c r="B563" s="9"/>
      <c r="C563" s="9"/>
      <c r="D563" s="9"/>
      <c r="E563" s="9"/>
      <c r="F563" s="10"/>
      <c r="G563" s="10"/>
      <c r="H563" s="9"/>
      <c r="I563" s="9"/>
      <c r="J563" s="9"/>
      <c r="K563" s="9"/>
      <c r="L563" s="9"/>
      <c r="M563" s="9"/>
      <c r="N563" s="9"/>
      <c r="O563" s="10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</row>
    <row r="564" ht="18" customHeight="1" spans="1:67" x14ac:dyDescent="0.25">
      <c r="A564" s="9"/>
      <c r="B564" s="9"/>
      <c r="C564" s="9"/>
      <c r="D564" s="9"/>
      <c r="E564" s="9"/>
      <c r="F564" s="10"/>
      <c r="G564" s="10"/>
      <c r="H564" s="9"/>
      <c r="I564" s="9"/>
      <c r="J564" s="9"/>
      <c r="K564" s="9"/>
      <c r="L564" s="9"/>
      <c r="M564" s="9"/>
      <c r="N564" s="9"/>
      <c r="O564" s="10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</row>
    <row r="565" ht="18" customHeight="1" spans="1:67" x14ac:dyDescent="0.25">
      <c r="A565" s="9"/>
      <c r="B565" s="9"/>
      <c r="C565" s="9"/>
      <c r="D565" s="9"/>
      <c r="E565" s="9"/>
      <c r="F565" s="10"/>
      <c r="G565" s="10"/>
      <c r="H565" s="9"/>
      <c r="I565" s="9"/>
      <c r="J565" s="9"/>
      <c r="K565" s="9"/>
      <c r="L565" s="9"/>
      <c r="M565" s="9"/>
      <c r="N565" s="9"/>
      <c r="O565" s="10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</row>
    <row r="566" ht="18" customHeight="1" spans="1:67" x14ac:dyDescent="0.25">
      <c r="A566" s="9"/>
      <c r="B566" s="9"/>
      <c r="C566" s="9"/>
      <c r="D566" s="9"/>
      <c r="E566" s="9"/>
      <c r="F566" s="10"/>
      <c r="G566" s="10"/>
      <c r="H566" s="9"/>
      <c r="I566" s="9"/>
      <c r="J566" s="9"/>
      <c r="K566" s="9"/>
      <c r="L566" s="9"/>
      <c r="M566" s="9"/>
      <c r="N566" s="9"/>
      <c r="O566" s="10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</row>
    <row r="567" ht="18" customHeight="1" spans="1:67" x14ac:dyDescent="0.25">
      <c r="A567" s="9"/>
      <c r="B567" s="9"/>
      <c r="C567" s="9"/>
      <c r="D567" s="9"/>
      <c r="E567" s="9"/>
      <c r="F567" s="10"/>
      <c r="G567" s="10"/>
      <c r="H567" s="9"/>
      <c r="I567" s="9"/>
      <c r="J567" s="9"/>
      <c r="K567" s="9"/>
      <c r="L567" s="9"/>
      <c r="M567" s="9"/>
      <c r="N567" s="9"/>
      <c r="O567" s="10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</row>
    <row r="568" ht="18" customHeight="1" spans="1:67" x14ac:dyDescent="0.25">
      <c r="A568" s="9"/>
      <c r="B568" s="9"/>
      <c r="C568" s="9"/>
      <c r="D568" s="9"/>
      <c r="E568" s="9"/>
      <c r="F568" s="10"/>
      <c r="G568" s="10"/>
      <c r="H568" s="9"/>
      <c r="I568" s="9"/>
      <c r="J568" s="9"/>
      <c r="K568" s="9"/>
      <c r="L568" s="9"/>
      <c r="M568" s="9"/>
      <c r="N568" s="9"/>
      <c r="O568" s="10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</row>
    <row r="569" ht="18" customHeight="1" spans="1:67" x14ac:dyDescent="0.25">
      <c r="A569" s="9"/>
      <c r="B569" s="9"/>
      <c r="C569" s="9"/>
      <c r="D569" s="9"/>
      <c r="E569" s="9"/>
      <c r="F569" s="10"/>
      <c r="G569" s="10"/>
      <c r="H569" s="9"/>
      <c r="I569" s="9"/>
      <c r="J569" s="9"/>
      <c r="K569" s="9"/>
      <c r="L569" s="9"/>
      <c r="M569" s="9"/>
      <c r="N569" s="9"/>
      <c r="O569" s="10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</row>
    <row r="570" ht="18" customHeight="1" spans="1:67" x14ac:dyDescent="0.25">
      <c r="A570" s="9"/>
      <c r="B570" s="9"/>
      <c r="C570" s="9"/>
      <c r="D570" s="9"/>
      <c r="E570" s="9"/>
      <c r="F570" s="10"/>
      <c r="G570" s="10"/>
      <c r="H570" s="9"/>
      <c r="I570" s="9"/>
      <c r="J570" s="9"/>
      <c r="K570" s="9"/>
      <c r="L570" s="9"/>
      <c r="M570" s="9"/>
      <c r="N570" s="9"/>
      <c r="O570" s="10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</row>
    <row r="571" ht="18" customHeight="1" spans="1:67" x14ac:dyDescent="0.25">
      <c r="A571" s="9"/>
      <c r="B571" s="9"/>
      <c r="C571" s="9"/>
      <c r="D571" s="9"/>
      <c r="E571" s="9"/>
      <c r="F571" s="10"/>
      <c r="G571" s="10"/>
      <c r="H571" s="9"/>
      <c r="I571" s="9"/>
      <c r="J571" s="9"/>
      <c r="K571" s="9"/>
      <c r="L571" s="9"/>
      <c r="M571" s="9"/>
      <c r="N571" s="9"/>
      <c r="O571" s="10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</row>
    <row r="572" ht="18" customHeight="1" spans="1:67" x14ac:dyDescent="0.25">
      <c r="A572" s="9"/>
      <c r="B572" s="9"/>
      <c r="C572" s="9"/>
      <c r="D572" s="9"/>
      <c r="E572" s="9"/>
      <c r="F572" s="10"/>
      <c r="G572" s="10"/>
      <c r="H572" s="9"/>
      <c r="I572" s="9"/>
      <c r="J572" s="9"/>
      <c r="K572" s="9"/>
      <c r="L572" s="9"/>
      <c r="M572" s="9"/>
      <c r="N572" s="9"/>
      <c r="O572" s="10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</row>
    <row r="573" ht="18" customHeight="1" spans="1:67" x14ac:dyDescent="0.25">
      <c r="A573" s="9"/>
      <c r="B573" s="9"/>
      <c r="C573" s="9"/>
      <c r="D573" s="9"/>
      <c r="E573" s="9"/>
      <c r="F573" s="10"/>
      <c r="G573" s="10"/>
      <c r="H573" s="9"/>
      <c r="I573" s="9"/>
      <c r="J573" s="9"/>
      <c r="K573" s="9"/>
      <c r="L573" s="9"/>
      <c r="M573" s="9"/>
      <c r="N573" s="9"/>
      <c r="O573" s="10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</row>
    <row r="574" ht="18" customHeight="1" spans="1:67" x14ac:dyDescent="0.25">
      <c r="A574" s="9"/>
      <c r="B574" s="9"/>
      <c r="C574" s="9"/>
      <c r="D574" s="9"/>
      <c r="E574" s="9"/>
      <c r="F574" s="10"/>
      <c r="G574" s="10"/>
      <c r="H574" s="9"/>
      <c r="I574" s="9"/>
      <c r="J574" s="9"/>
      <c r="K574" s="9"/>
      <c r="L574" s="9"/>
      <c r="M574" s="9"/>
      <c r="N574" s="9"/>
      <c r="O574" s="10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</row>
    <row r="575" ht="18" customHeight="1" spans="1:67" x14ac:dyDescent="0.25">
      <c r="A575" s="9"/>
      <c r="B575" s="9"/>
      <c r="C575" s="9"/>
      <c r="D575" s="9"/>
      <c r="E575" s="9"/>
      <c r="F575" s="10"/>
      <c r="G575" s="10"/>
      <c r="H575" s="9"/>
      <c r="I575" s="9"/>
      <c r="J575" s="9"/>
      <c r="K575" s="9"/>
      <c r="L575" s="9"/>
      <c r="M575" s="9"/>
      <c r="N575" s="9"/>
      <c r="O575" s="10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</row>
    <row r="576" ht="18" customHeight="1" spans="1:67" x14ac:dyDescent="0.25">
      <c r="A576" s="9"/>
      <c r="B576" s="9"/>
      <c r="C576" s="9"/>
      <c r="D576" s="9"/>
      <c r="E576" s="9"/>
      <c r="F576" s="10"/>
      <c r="G576" s="10"/>
      <c r="H576" s="9"/>
      <c r="I576" s="9"/>
      <c r="J576" s="9"/>
      <c r="K576" s="9"/>
      <c r="L576" s="9"/>
      <c r="M576" s="9"/>
      <c r="N576" s="9"/>
      <c r="O576" s="10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</row>
    <row r="577" ht="18" customHeight="1" spans="1:67" x14ac:dyDescent="0.25">
      <c r="A577" s="9"/>
      <c r="B577" s="9"/>
      <c r="C577" s="9"/>
      <c r="D577" s="9"/>
      <c r="E577" s="9"/>
      <c r="F577" s="10"/>
      <c r="G577" s="10"/>
      <c r="H577" s="9"/>
      <c r="I577" s="9"/>
      <c r="J577" s="9"/>
      <c r="K577" s="9"/>
      <c r="L577" s="9"/>
      <c r="M577" s="9"/>
      <c r="N577" s="9"/>
      <c r="O577" s="10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</row>
    <row r="578" ht="18" customHeight="1" spans="1:67" x14ac:dyDescent="0.25">
      <c r="A578" s="9"/>
      <c r="B578" s="9"/>
      <c r="C578" s="9"/>
      <c r="D578" s="9"/>
      <c r="E578" s="9"/>
      <c r="F578" s="10"/>
      <c r="G578" s="10"/>
      <c r="H578" s="9"/>
      <c r="I578" s="9"/>
      <c r="J578" s="9"/>
      <c r="K578" s="9"/>
      <c r="L578" s="9"/>
      <c r="M578" s="9"/>
      <c r="N578" s="9"/>
      <c r="O578" s="10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</row>
    <row r="579" ht="18" customHeight="1" spans="1:67" x14ac:dyDescent="0.25">
      <c r="A579" s="9"/>
      <c r="B579" s="9"/>
      <c r="C579" s="9"/>
      <c r="D579" s="9"/>
      <c r="E579" s="9"/>
      <c r="F579" s="10"/>
      <c r="G579" s="10"/>
      <c r="H579" s="9"/>
      <c r="I579" s="9"/>
      <c r="J579" s="9"/>
      <c r="K579" s="9"/>
      <c r="L579" s="9"/>
      <c r="M579" s="9"/>
      <c r="N579" s="9"/>
      <c r="O579" s="10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</row>
    <row r="580" ht="18" customHeight="1" spans="1:67" x14ac:dyDescent="0.25">
      <c r="A580" s="9"/>
      <c r="B580" s="9"/>
      <c r="C580" s="9"/>
      <c r="D580" s="9"/>
      <c r="E580" s="9"/>
      <c r="F580" s="10"/>
      <c r="G580" s="10"/>
      <c r="H580" s="9"/>
      <c r="I580" s="9"/>
      <c r="J580" s="9"/>
      <c r="K580" s="9"/>
      <c r="L580" s="9"/>
      <c r="M580" s="9"/>
      <c r="N580" s="9"/>
      <c r="O580" s="10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</row>
    <row r="581" ht="18" customHeight="1" spans="1:67" x14ac:dyDescent="0.25">
      <c r="A581" s="9"/>
      <c r="B581" s="9"/>
      <c r="C581" s="9"/>
      <c r="D581" s="9"/>
      <c r="E581" s="9"/>
      <c r="F581" s="10"/>
      <c r="G581" s="10"/>
      <c r="H581" s="9"/>
      <c r="I581" s="9"/>
      <c r="J581" s="9"/>
      <c r="K581" s="9"/>
      <c r="L581" s="9"/>
      <c r="M581" s="9"/>
      <c r="N581" s="9"/>
      <c r="O581" s="10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</row>
    <row r="582" ht="18" customHeight="1" spans="1:67" x14ac:dyDescent="0.25">
      <c r="A582" s="9"/>
      <c r="B582" s="9"/>
      <c r="C582" s="9"/>
      <c r="D582" s="9"/>
      <c r="E582" s="9"/>
      <c r="F582" s="10"/>
      <c r="G582" s="10"/>
      <c r="H582" s="9"/>
      <c r="I582" s="9"/>
      <c r="J582" s="9"/>
      <c r="K582" s="9"/>
      <c r="L582" s="9"/>
      <c r="M582" s="9"/>
      <c r="N582" s="9"/>
      <c r="O582" s="10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</row>
    <row r="583" ht="18" customHeight="1" spans="1:67" x14ac:dyDescent="0.25">
      <c r="A583" s="9"/>
      <c r="B583" s="9"/>
      <c r="C583" s="9"/>
      <c r="D583" s="9"/>
      <c r="E583" s="9"/>
      <c r="F583" s="10"/>
      <c r="G583" s="10"/>
      <c r="H583" s="9"/>
      <c r="I583" s="9"/>
      <c r="J583" s="9"/>
      <c r="K583" s="9"/>
      <c r="L583" s="9"/>
      <c r="M583" s="9"/>
      <c r="N583" s="9"/>
      <c r="O583" s="10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</row>
    <row r="584" ht="18" customHeight="1" spans="1:67" x14ac:dyDescent="0.25">
      <c r="A584" s="9"/>
      <c r="B584" s="9"/>
      <c r="C584" s="9"/>
      <c r="D584" s="9"/>
      <c r="E584" s="9"/>
      <c r="F584" s="10"/>
      <c r="G584" s="10"/>
      <c r="H584" s="9"/>
      <c r="I584" s="9"/>
      <c r="J584" s="9"/>
      <c r="K584" s="9"/>
      <c r="L584" s="9"/>
      <c r="M584" s="9"/>
      <c r="N584" s="9"/>
      <c r="O584" s="10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</row>
    <row r="585" ht="18" customHeight="1" spans="1:67" x14ac:dyDescent="0.25">
      <c r="A585" s="9"/>
      <c r="B585" s="9"/>
      <c r="C585" s="9"/>
      <c r="D585" s="9"/>
      <c r="E585" s="9"/>
      <c r="F585" s="10"/>
      <c r="G585" s="10"/>
      <c r="H585" s="9"/>
      <c r="I585" s="9"/>
      <c r="J585" s="9"/>
      <c r="K585" s="9"/>
      <c r="L585" s="9"/>
      <c r="M585" s="9"/>
      <c r="N585" s="9"/>
      <c r="O585" s="10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</row>
    <row r="586" ht="18" customHeight="1" spans="1:67" x14ac:dyDescent="0.25">
      <c r="A586" s="9"/>
      <c r="B586" s="9"/>
      <c r="C586" s="9"/>
      <c r="D586" s="9"/>
      <c r="E586" s="9"/>
      <c r="F586" s="10"/>
      <c r="G586" s="10"/>
      <c r="H586" s="9"/>
      <c r="I586" s="9"/>
      <c r="J586" s="9"/>
      <c r="K586" s="9"/>
      <c r="L586" s="9"/>
      <c r="M586" s="9"/>
      <c r="N586" s="9"/>
      <c r="O586" s="10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</row>
    <row r="587" ht="18" customHeight="1" spans="1:67" x14ac:dyDescent="0.25">
      <c r="A587" s="9"/>
      <c r="B587" s="9"/>
      <c r="C587" s="9"/>
      <c r="D587" s="9"/>
      <c r="E587" s="9"/>
      <c r="F587" s="10"/>
      <c r="G587" s="10"/>
      <c r="H587" s="9"/>
      <c r="I587" s="9"/>
      <c r="J587" s="9"/>
      <c r="K587" s="9"/>
      <c r="L587" s="9"/>
      <c r="M587" s="9"/>
      <c r="N587" s="9"/>
      <c r="O587" s="10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</row>
    <row r="588" ht="18" customHeight="1" spans="1:67" x14ac:dyDescent="0.25">
      <c r="A588" s="9"/>
      <c r="B588" s="9"/>
      <c r="C588" s="9"/>
      <c r="D588" s="9"/>
      <c r="E588" s="9"/>
      <c r="F588" s="10"/>
      <c r="G588" s="10"/>
      <c r="H588" s="9"/>
      <c r="I588" s="9"/>
      <c r="J588" s="9"/>
      <c r="K588" s="9"/>
      <c r="L588" s="9"/>
      <c r="M588" s="9"/>
      <c r="N588" s="9"/>
      <c r="O588" s="10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</row>
    <row r="589" ht="18" customHeight="1" spans="1:67" x14ac:dyDescent="0.25">
      <c r="A589" s="9"/>
      <c r="B589" s="9"/>
      <c r="C589" s="9"/>
      <c r="D589" s="9"/>
      <c r="E589" s="9"/>
      <c r="F589" s="10"/>
      <c r="G589" s="10"/>
      <c r="H589" s="9"/>
      <c r="I589" s="9"/>
      <c r="J589" s="9"/>
      <c r="K589" s="9"/>
      <c r="L589" s="9"/>
      <c r="M589" s="9"/>
      <c r="N589" s="9"/>
      <c r="O589" s="10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</row>
    <row r="590" ht="18" customHeight="1" spans="1:67" x14ac:dyDescent="0.25">
      <c r="A590" s="9"/>
      <c r="B590" s="9"/>
      <c r="C590" s="9"/>
      <c r="D590" s="9"/>
      <c r="E590" s="9"/>
      <c r="F590" s="10"/>
      <c r="G590" s="10"/>
      <c r="H590" s="9"/>
      <c r="I590" s="9"/>
      <c r="J590" s="9"/>
      <c r="K590" s="9"/>
      <c r="L590" s="9"/>
      <c r="M590" s="9"/>
      <c r="N590" s="9"/>
      <c r="O590" s="10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</row>
    <row r="591" ht="18" customHeight="1" spans="1:67" x14ac:dyDescent="0.25">
      <c r="A591" s="9"/>
      <c r="B591" s="9"/>
      <c r="C591" s="9"/>
      <c r="D591" s="9"/>
      <c r="E591" s="9"/>
      <c r="F591" s="10"/>
      <c r="G591" s="10"/>
      <c r="H591" s="9"/>
      <c r="I591" s="9"/>
      <c r="J591" s="9"/>
      <c r="K591" s="9"/>
      <c r="L591" s="9"/>
      <c r="M591" s="9"/>
      <c r="N591" s="9"/>
      <c r="O591" s="10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</row>
    <row r="592" ht="18" customHeight="1" spans="1:67" x14ac:dyDescent="0.25">
      <c r="A592" s="9"/>
      <c r="B592" s="9"/>
      <c r="C592" s="9"/>
      <c r="D592" s="9"/>
      <c r="E592" s="9"/>
      <c r="F592" s="10"/>
      <c r="G592" s="10"/>
      <c r="H592" s="9"/>
      <c r="I592" s="9"/>
      <c r="J592" s="9"/>
      <c r="K592" s="9"/>
      <c r="L592" s="9"/>
      <c r="M592" s="9"/>
      <c r="N592" s="9"/>
      <c r="O592" s="10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</row>
    <row r="593" ht="18" customHeight="1" spans="1:67" x14ac:dyDescent="0.25">
      <c r="A593" s="9"/>
      <c r="B593" s="9"/>
      <c r="C593" s="9"/>
      <c r="D593" s="9"/>
      <c r="E593" s="9"/>
      <c r="F593" s="10"/>
      <c r="G593" s="10"/>
      <c r="H593" s="9"/>
      <c r="I593" s="9"/>
      <c r="J593" s="9"/>
      <c r="K593" s="9"/>
      <c r="L593" s="9"/>
      <c r="M593" s="9"/>
      <c r="N593" s="9"/>
      <c r="O593" s="10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</row>
    <row r="594" ht="18" customHeight="1" spans="1:67" x14ac:dyDescent="0.25">
      <c r="A594" s="9"/>
      <c r="B594" s="9"/>
      <c r="C594" s="9"/>
      <c r="D594" s="9"/>
      <c r="E594" s="9"/>
      <c r="F594" s="10"/>
      <c r="G594" s="10"/>
      <c r="H594" s="9"/>
      <c r="I594" s="9"/>
      <c r="J594" s="9"/>
      <c r="K594" s="9"/>
      <c r="L594" s="9"/>
      <c r="M594" s="9"/>
      <c r="N594" s="9"/>
      <c r="O594" s="10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</row>
    <row r="595" ht="18" customHeight="1" spans="1:67" x14ac:dyDescent="0.25">
      <c r="A595" s="9"/>
      <c r="B595" s="9"/>
      <c r="C595" s="9"/>
      <c r="D595" s="9"/>
      <c r="E595" s="9"/>
      <c r="F595" s="10"/>
      <c r="G595" s="10"/>
      <c r="H595" s="9"/>
      <c r="I595" s="9"/>
      <c r="J595" s="9"/>
      <c r="K595" s="9"/>
      <c r="L595" s="9"/>
      <c r="M595" s="9"/>
      <c r="N595" s="9"/>
      <c r="O595" s="10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</row>
    <row r="596" ht="18" customHeight="1" spans="1:67" x14ac:dyDescent="0.25">
      <c r="A596" s="9"/>
      <c r="B596" s="9"/>
      <c r="C596" s="9"/>
      <c r="D596" s="9"/>
      <c r="E596" s="9"/>
      <c r="F596" s="10"/>
      <c r="G596" s="10"/>
      <c r="H596" s="9"/>
      <c r="I596" s="9"/>
      <c r="J596" s="9"/>
      <c r="K596" s="9"/>
      <c r="L596" s="9"/>
      <c r="M596" s="9"/>
      <c r="N596" s="9"/>
      <c r="O596" s="10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</row>
    <row r="597" ht="18" customHeight="1" spans="1:67" x14ac:dyDescent="0.25">
      <c r="A597" s="9"/>
      <c r="B597" s="9"/>
      <c r="C597" s="9"/>
      <c r="D597" s="9"/>
      <c r="E597" s="9"/>
      <c r="F597" s="10"/>
      <c r="G597" s="10"/>
      <c r="H597" s="9"/>
      <c r="I597" s="9"/>
      <c r="J597" s="9"/>
      <c r="K597" s="9"/>
      <c r="L597" s="9"/>
      <c r="M597" s="9"/>
      <c r="N597" s="9"/>
      <c r="O597" s="10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</row>
    <row r="598" ht="18" customHeight="1" spans="1:67" x14ac:dyDescent="0.25">
      <c r="A598" s="9"/>
      <c r="B598" s="9"/>
      <c r="C598" s="9"/>
      <c r="D598" s="9"/>
      <c r="E598" s="9"/>
      <c r="F598" s="10"/>
      <c r="G598" s="10"/>
      <c r="H598" s="9"/>
      <c r="I598" s="9"/>
      <c r="J598" s="9"/>
      <c r="K598" s="9"/>
      <c r="L598" s="9"/>
      <c r="M598" s="9"/>
      <c r="N598" s="9"/>
      <c r="O598" s="10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</row>
    <row r="599" ht="18" customHeight="1" spans="1:67" x14ac:dyDescent="0.25">
      <c r="A599" s="9"/>
      <c r="B599" s="9"/>
      <c r="C599" s="9"/>
      <c r="D599" s="9"/>
      <c r="E599" s="9"/>
      <c r="F599" s="10"/>
      <c r="G599" s="10"/>
      <c r="H599" s="9"/>
      <c r="I599" s="9"/>
      <c r="J599" s="9"/>
      <c r="K599" s="9"/>
      <c r="L599" s="9"/>
      <c r="M599" s="9"/>
      <c r="N599" s="9"/>
      <c r="O599" s="10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</row>
    <row r="600" ht="18" customHeight="1" spans="1:67" x14ac:dyDescent="0.25">
      <c r="A600" s="9"/>
      <c r="B600" s="9"/>
      <c r="C600" s="9"/>
      <c r="D600" s="9"/>
      <c r="E600" s="9"/>
      <c r="F600" s="10"/>
      <c r="G600" s="10"/>
      <c r="H600" s="9"/>
      <c r="I600" s="9"/>
      <c r="J600" s="9"/>
      <c r="K600" s="9"/>
      <c r="L600" s="9"/>
      <c r="M600" s="9"/>
      <c r="N600" s="9"/>
      <c r="O600" s="10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</row>
    <row r="601" ht="18" customHeight="1" spans="1:67" x14ac:dyDescent="0.25">
      <c r="A601" s="9"/>
      <c r="B601" s="9"/>
      <c r="C601" s="9"/>
      <c r="D601" s="9"/>
      <c r="E601" s="9"/>
      <c r="F601" s="10"/>
      <c r="G601" s="10"/>
      <c r="H601" s="9"/>
      <c r="I601" s="9"/>
      <c r="J601" s="9"/>
      <c r="K601" s="9"/>
      <c r="L601" s="9"/>
      <c r="M601" s="9"/>
      <c r="N601" s="9"/>
      <c r="O601" s="10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</row>
    <row r="602" ht="18" customHeight="1" spans="1:67" x14ac:dyDescent="0.25">
      <c r="A602" s="9"/>
      <c r="B602" s="9"/>
      <c r="C602" s="9"/>
      <c r="D602" s="9"/>
      <c r="E602" s="9"/>
      <c r="F602" s="10"/>
      <c r="G602" s="10"/>
      <c r="H602" s="9"/>
      <c r="I602" s="9"/>
      <c r="J602" s="9"/>
      <c r="K602" s="9"/>
      <c r="L602" s="9"/>
      <c r="M602" s="9"/>
      <c r="N602" s="9"/>
      <c r="O602" s="10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</row>
    <row r="603" ht="18" customHeight="1" spans="1:67" x14ac:dyDescent="0.25">
      <c r="A603" s="9"/>
      <c r="B603" s="9"/>
      <c r="C603" s="9"/>
      <c r="D603" s="9"/>
      <c r="E603" s="9"/>
      <c r="F603" s="10"/>
      <c r="G603" s="10"/>
      <c r="H603" s="9"/>
      <c r="I603" s="9"/>
      <c r="J603" s="9"/>
      <c r="K603" s="9"/>
      <c r="L603" s="9"/>
      <c r="M603" s="9"/>
      <c r="N603" s="9"/>
      <c r="O603" s="10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</row>
    <row r="604" ht="18" customHeight="1" spans="1:67" x14ac:dyDescent="0.25">
      <c r="A604" s="9"/>
      <c r="B604" s="9"/>
      <c r="C604" s="9"/>
      <c r="D604" s="9"/>
      <c r="E604" s="9"/>
      <c r="F604" s="10"/>
      <c r="G604" s="10"/>
      <c r="H604" s="9"/>
      <c r="I604" s="9"/>
      <c r="J604" s="9"/>
      <c r="K604" s="9"/>
      <c r="L604" s="9"/>
      <c r="M604" s="9"/>
      <c r="N604" s="9"/>
      <c r="O604" s="10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</row>
    <row r="605" ht="18" customHeight="1" spans="1:67" x14ac:dyDescent="0.25">
      <c r="A605" s="9"/>
      <c r="B605" s="9"/>
      <c r="C605" s="9"/>
      <c r="D605" s="9"/>
      <c r="E605" s="9"/>
      <c r="F605" s="10"/>
      <c r="G605" s="10"/>
      <c r="H605" s="9"/>
      <c r="I605" s="9"/>
      <c r="J605" s="9"/>
      <c r="K605" s="9"/>
      <c r="L605" s="9"/>
      <c r="M605" s="9"/>
      <c r="N605" s="9"/>
      <c r="O605" s="10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</row>
    <row r="606" ht="18" customHeight="1" spans="1:67" x14ac:dyDescent="0.25">
      <c r="A606" s="9"/>
      <c r="B606" s="9"/>
      <c r="C606" s="9"/>
      <c r="D606" s="9"/>
      <c r="E606" s="9"/>
      <c r="F606" s="10"/>
      <c r="G606" s="10"/>
      <c r="H606" s="9"/>
      <c r="I606" s="9"/>
      <c r="J606" s="9"/>
      <c r="K606" s="9"/>
      <c r="L606" s="9"/>
      <c r="M606" s="9"/>
      <c r="N606" s="9"/>
      <c r="O606" s="10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</row>
    <row r="607" ht="18" customHeight="1" spans="1:67" x14ac:dyDescent="0.25">
      <c r="A607" s="9"/>
      <c r="B607" s="9"/>
      <c r="C607" s="9"/>
      <c r="D607" s="9"/>
      <c r="E607" s="9"/>
      <c r="F607" s="10"/>
      <c r="G607" s="10"/>
      <c r="H607" s="9"/>
      <c r="I607" s="9"/>
      <c r="J607" s="9"/>
      <c r="K607" s="9"/>
      <c r="L607" s="9"/>
      <c r="M607" s="9"/>
      <c r="N607" s="9"/>
      <c r="O607" s="10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</row>
  </sheetData>
  <mergeCells count="382">
    <mergeCell ref="A1:C1"/>
    <mergeCell ref="D1:O1"/>
    <mergeCell ref="P1:BO1"/>
    <mergeCell ref="A7:A22"/>
    <mergeCell ref="B7:B22"/>
    <mergeCell ref="C7:C22"/>
    <mergeCell ref="D7:D22"/>
    <mergeCell ref="E7:E22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A23:A88"/>
    <mergeCell ref="B23:B28"/>
    <mergeCell ref="C23:C28"/>
    <mergeCell ref="D23:D28"/>
    <mergeCell ref="E23:E28"/>
    <mergeCell ref="F23:F24"/>
    <mergeCell ref="G23:G24"/>
    <mergeCell ref="F25:F26"/>
    <mergeCell ref="G25:G26"/>
    <mergeCell ref="F27:F28"/>
    <mergeCell ref="G27:G28"/>
    <mergeCell ref="B29:B34"/>
    <mergeCell ref="C29:C34"/>
    <mergeCell ref="D29:D34"/>
    <mergeCell ref="E29:E34"/>
    <mergeCell ref="F29:F30"/>
    <mergeCell ref="G29:G30"/>
    <mergeCell ref="F31:F32"/>
    <mergeCell ref="G31:G32"/>
    <mergeCell ref="F33:F34"/>
    <mergeCell ref="G33:G34"/>
    <mergeCell ref="B35:B46"/>
    <mergeCell ref="C35:C46"/>
    <mergeCell ref="D35:D46"/>
    <mergeCell ref="E35:E46"/>
    <mergeCell ref="F35:F36"/>
    <mergeCell ref="G35:G36"/>
    <mergeCell ref="F37:F38"/>
    <mergeCell ref="G37:G38"/>
    <mergeCell ref="F39:F40"/>
    <mergeCell ref="G39:G40"/>
    <mergeCell ref="F41:F42"/>
    <mergeCell ref="G41:G42"/>
    <mergeCell ref="F43:F44"/>
    <mergeCell ref="G43:G44"/>
    <mergeCell ref="F45:F46"/>
    <mergeCell ref="G45:G46"/>
    <mergeCell ref="B47:B64"/>
    <mergeCell ref="C47:C64"/>
    <mergeCell ref="D47:D64"/>
    <mergeCell ref="E47:E64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F59:F60"/>
    <mergeCell ref="G59:G60"/>
    <mergeCell ref="F61:F62"/>
    <mergeCell ref="G61:G62"/>
    <mergeCell ref="F63:F64"/>
    <mergeCell ref="G63:G64"/>
    <mergeCell ref="B65:B76"/>
    <mergeCell ref="C65:C76"/>
    <mergeCell ref="D65:D76"/>
    <mergeCell ref="E65:E76"/>
    <mergeCell ref="F65:F66"/>
    <mergeCell ref="G65:G66"/>
    <mergeCell ref="F67:F68"/>
    <mergeCell ref="G67:G68"/>
    <mergeCell ref="F69:F70"/>
    <mergeCell ref="G69:G70"/>
    <mergeCell ref="F71:F72"/>
    <mergeCell ref="G71:G72"/>
    <mergeCell ref="F73:F74"/>
    <mergeCell ref="G73:G74"/>
    <mergeCell ref="F75:F76"/>
    <mergeCell ref="G75:G76"/>
    <mergeCell ref="B77:B88"/>
    <mergeCell ref="C77:C88"/>
    <mergeCell ref="D77:D88"/>
    <mergeCell ref="E77:E88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A89:A108"/>
    <mergeCell ref="B89:B108"/>
    <mergeCell ref="C89:C108"/>
    <mergeCell ref="D89:D108"/>
    <mergeCell ref="E89:E10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A109:A172"/>
    <mergeCell ref="B109:B116"/>
    <mergeCell ref="C109:C116"/>
    <mergeCell ref="D109:D116"/>
    <mergeCell ref="E109:E116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B117:B124"/>
    <mergeCell ref="C117:C124"/>
    <mergeCell ref="D117:D124"/>
    <mergeCell ref="E117:E124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32"/>
    <mergeCell ref="C125:C132"/>
    <mergeCell ref="D125:D132"/>
    <mergeCell ref="E125:E132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B133:B140"/>
    <mergeCell ref="C133:C140"/>
    <mergeCell ref="D133:D140"/>
    <mergeCell ref="E133:E140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B141:B148"/>
    <mergeCell ref="C141:C148"/>
    <mergeCell ref="D141:D148"/>
    <mergeCell ref="E141:E148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B149:B156"/>
    <mergeCell ref="C149:C156"/>
    <mergeCell ref="D149:D156"/>
    <mergeCell ref="E149:E156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64"/>
    <mergeCell ref="C157:C164"/>
    <mergeCell ref="D157:D164"/>
    <mergeCell ref="E157:E164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B165:B172"/>
    <mergeCell ref="C165:C172"/>
    <mergeCell ref="D165:D172"/>
    <mergeCell ref="E165:E172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A173:A276"/>
    <mergeCell ref="B173:B206"/>
    <mergeCell ref="C173:C206"/>
    <mergeCell ref="D173:D206"/>
    <mergeCell ref="E173:E206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B207:B230"/>
    <mergeCell ref="C207:C230"/>
    <mergeCell ref="D207:D230"/>
    <mergeCell ref="E207:E230"/>
    <mergeCell ref="F207:F208"/>
    <mergeCell ref="G207:G208"/>
    <mergeCell ref="F209:F210"/>
    <mergeCell ref="G209:G210"/>
    <mergeCell ref="F211:F212"/>
    <mergeCell ref="G211:G21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B231:B234"/>
    <mergeCell ref="C231:C234"/>
    <mergeCell ref="D231:D234"/>
    <mergeCell ref="E231:E234"/>
    <mergeCell ref="F231:F232"/>
    <mergeCell ref="G231:G232"/>
    <mergeCell ref="F233:F234"/>
    <mergeCell ref="G233:G234"/>
    <mergeCell ref="B235:B242"/>
    <mergeCell ref="C235:C242"/>
    <mergeCell ref="D235:D242"/>
    <mergeCell ref="E235:E242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B243:B250"/>
    <mergeCell ref="C243:C250"/>
    <mergeCell ref="D243:D250"/>
    <mergeCell ref="E243:E250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B251:B258"/>
    <mergeCell ref="C251:C258"/>
    <mergeCell ref="D251:D258"/>
    <mergeCell ref="E251:E258"/>
    <mergeCell ref="F251:F252"/>
    <mergeCell ref="G251:G252"/>
    <mergeCell ref="F253:F254"/>
    <mergeCell ref="G253:G254"/>
    <mergeCell ref="F255:F256"/>
    <mergeCell ref="G255:G256"/>
    <mergeCell ref="F257:F258"/>
    <mergeCell ref="G257:G258"/>
    <mergeCell ref="B259:B260"/>
    <mergeCell ref="C259:C260"/>
    <mergeCell ref="D259:D260"/>
    <mergeCell ref="E259:E260"/>
    <mergeCell ref="F259:F260"/>
    <mergeCell ref="G259:G260"/>
    <mergeCell ref="B261:B262"/>
    <mergeCell ref="C261:C262"/>
    <mergeCell ref="D261:D262"/>
    <mergeCell ref="E261:E262"/>
    <mergeCell ref="F261:F262"/>
    <mergeCell ref="G261:G262"/>
    <mergeCell ref="B263:B268"/>
    <mergeCell ref="C263:C268"/>
    <mergeCell ref="D263:D268"/>
    <mergeCell ref="E263:E268"/>
    <mergeCell ref="F263:F264"/>
    <mergeCell ref="G263:G264"/>
    <mergeCell ref="F265:F266"/>
    <mergeCell ref="G265:G266"/>
    <mergeCell ref="F267:F268"/>
    <mergeCell ref="G267:G268"/>
    <mergeCell ref="B269:B276"/>
    <mergeCell ref="C269:C276"/>
    <mergeCell ref="D269:D276"/>
    <mergeCell ref="E269:E276"/>
    <mergeCell ref="F269:F270"/>
    <mergeCell ref="G269:G270"/>
    <mergeCell ref="F271:F272"/>
    <mergeCell ref="G271:G272"/>
    <mergeCell ref="F273:F274"/>
    <mergeCell ref="G273:G274"/>
    <mergeCell ref="F275:F276"/>
    <mergeCell ref="G275:G27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2026-09-17T14:34:40Z</dcterms:created>
  <dcterms:modified xsi:type="dcterms:W3CDTF">2026-09-17T14:34:40Z</dcterms:modified>
</cp:coreProperties>
</file>