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AMERICANA\Report_wincc\PM\"/>
    </mc:Choice>
  </mc:AlternateContent>
  <xr:revisionPtr revIDLastSave="0" documentId="13_ncr:1_{FC6793A8-C72B-42B2-B807-8019ABB84875}" xr6:coauthVersionLast="47" xr6:coauthVersionMax="47" xr10:uidLastSave="{00000000-0000-0000-0000-000000000000}"/>
  <bookViews>
    <workbookView xWindow="-120" yWindow="-120" windowWidth="24240" windowHeight="13020" firstSheet="1" activeTab="1" xr2:uid="{00000000-000D-0000-FFFF-FFFF00000000}"/>
  </bookViews>
  <sheets>
    <sheet name="PLAN" sheetId="1" r:id="rId1"/>
    <sheet name="Full" sheetId="14" r:id="rId2"/>
  </sheets>
  <definedNames>
    <definedName name="_xlnm.Print_Area" localSheetId="1">Full!$A$1:$BO$281</definedName>
    <definedName name="_xlnm.Print_Area" localSheetId="0">PLAN!$A$1:$O$281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O282" i="14" l="1"/>
  <c r="BN282" i="14"/>
  <c r="BM282" i="14"/>
  <c r="BL282" i="14"/>
  <c r="BK282" i="14"/>
  <c r="BJ282" i="14"/>
  <c r="BI282" i="14"/>
  <c r="BH282" i="14"/>
  <c r="BG282" i="14"/>
  <c r="BF282" i="14"/>
  <c r="BE282" i="14"/>
  <c r="BD282" i="14"/>
  <c r="BC282" i="14"/>
  <c r="BB282" i="14"/>
  <c r="BA282" i="14"/>
  <c r="AZ282" i="14"/>
  <c r="AY282" i="14"/>
  <c r="AW282" i="14"/>
  <c r="AV282" i="14"/>
  <c r="AU282" i="14"/>
  <c r="AT282" i="14"/>
  <c r="AR282" i="14"/>
  <c r="AQ282" i="14"/>
  <c r="AP282" i="14"/>
  <c r="AO282" i="14"/>
  <c r="AN282" i="14"/>
  <c r="AM282" i="14"/>
  <c r="AL282" i="14"/>
  <c r="AK282" i="14"/>
  <c r="AJ282" i="14"/>
  <c r="AI282" i="14"/>
  <c r="AH282" i="14"/>
  <c r="AG282" i="14"/>
  <c r="AF282" i="14"/>
  <c r="AE282" i="14"/>
  <c r="AD282" i="14"/>
  <c r="AC282" i="14"/>
  <c r="AB282" i="14"/>
  <c r="AA282" i="14"/>
  <c r="Z282" i="14"/>
  <c r="Y282" i="14"/>
  <c r="X282" i="14"/>
  <c r="W282" i="14"/>
  <c r="V282" i="14"/>
  <c r="U282" i="14"/>
  <c r="T282" i="14"/>
  <c r="S282" i="14"/>
  <c r="R282" i="14"/>
  <c r="Q282" i="14"/>
  <c r="P282" i="14"/>
  <c r="U283" i="14" l="1"/>
  <c r="AP283" i="14"/>
  <c r="AU283" i="14"/>
  <c r="BL283" i="14"/>
  <c r="BH283" i="14"/>
  <c r="BC283" i="14"/>
  <c r="AY283" i="14"/>
  <c r="AL283" i="14"/>
  <c r="AG283" i="14"/>
  <c r="AC283" i="14"/>
  <c r="Y283" i="14"/>
  <c r="P283" i="14"/>
</calcChain>
</file>

<file path=xl/sharedStrings.xml><?xml version="1.0" encoding="utf-8"?>
<sst xmlns="http://schemas.openxmlformats.org/spreadsheetml/2006/main" count="2068" uniqueCount="302">
  <si>
    <t>Cookies Line Preventive Maintenance Plan</t>
  </si>
  <si>
    <t>Section</t>
  </si>
  <si>
    <t>Machine no</t>
  </si>
  <si>
    <t>Machine name</t>
  </si>
  <si>
    <t>Machine Identified</t>
  </si>
  <si>
    <t>Type</t>
  </si>
  <si>
    <t>Parts</t>
  </si>
  <si>
    <t>Maintenance</t>
  </si>
  <si>
    <t>Daily</t>
  </si>
  <si>
    <t>Weekly</t>
  </si>
  <si>
    <t>Monthly</t>
  </si>
  <si>
    <t>Quarterly</t>
  </si>
  <si>
    <t>Semi annualy</t>
  </si>
  <si>
    <t>Annualy</t>
  </si>
  <si>
    <t>Freq.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</si>
  <si>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</si>
  <si>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</si>
  <si>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</si>
  <si>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</si>
  <si>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</si>
  <si>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</si>
  <si>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</si>
  <si>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</si>
  <si>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</si>
  <si>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</si>
  <si>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</si>
  <si>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</si>
  <si>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Mixer</t>
  </si>
  <si>
    <t>C1</t>
  </si>
  <si>
    <t>C1 Mixer</t>
  </si>
  <si>
    <t>Diosna</t>
  </si>
  <si>
    <t>Electric panel</t>
  </si>
  <si>
    <t>Check swiches,alarm lamp and all caple</t>
  </si>
  <si>
    <t>planed</t>
  </si>
  <si>
    <t>weekly</t>
  </si>
  <si>
    <t>0 0</t>
  </si>
  <si>
    <t>done</t>
  </si>
  <si>
    <t>Motor</t>
  </si>
  <si>
    <t>Check bearing and vibration</t>
  </si>
  <si>
    <t xml:space="preserve">Bowel gear </t>
  </si>
  <si>
    <t>Change oil of gear box</t>
  </si>
  <si>
    <t>10000 hr</t>
  </si>
  <si>
    <t xml:space="preserve">Tool bearing, Hydraulic Cylinde, tool gear&amp; Tool Drive </t>
  </si>
  <si>
    <t>Greasing</t>
  </si>
  <si>
    <t>6000 hr</t>
  </si>
  <si>
    <t>Hydraulic cylinder</t>
  </si>
  <si>
    <t>1000 hr</t>
  </si>
  <si>
    <t>Clow Bolts</t>
  </si>
  <si>
    <t>Bowel gear swiveral bearing &amp;Toll beearing</t>
  </si>
  <si>
    <t>Gripper clamping surface</t>
  </si>
  <si>
    <t>40 hr</t>
  </si>
  <si>
    <t>Forming</t>
  </si>
  <si>
    <t>C2</t>
  </si>
  <si>
    <t xml:space="preserve">Egg wash </t>
  </si>
  <si>
    <t xml:space="preserve">C2 Egg wash </t>
  </si>
  <si>
    <t>Meinke</t>
  </si>
  <si>
    <t>Clean, swiches,alarm lamp and all caple</t>
  </si>
  <si>
    <t>Gear box</t>
  </si>
  <si>
    <t>Check oil level ,sound and vibration</t>
  </si>
  <si>
    <t>Bearing</t>
  </si>
  <si>
    <t>Change bearing</t>
  </si>
  <si>
    <t>monthly</t>
  </si>
  <si>
    <t>C3</t>
  </si>
  <si>
    <t>Sprinkler unit</t>
  </si>
  <si>
    <t>C3 Sprinkler unit</t>
  </si>
  <si>
    <t>Chain and gear</t>
  </si>
  <si>
    <t>Lubricate</t>
  </si>
  <si>
    <t>C4</t>
  </si>
  <si>
    <t>Rotary shape machine</t>
  </si>
  <si>
    <t>C4 Rotary shape machine</t>
  </si>
  <si>
    <t>Buhler</t>
  </si>
  <si>
    <t>Gear &amp; Gear box</t>
  </si>
  <si>
    <t>check oil of gear box heck gearwheels and tooth racks; lubricate if require</t>
  </si>
  <si>
    <t>2000 hr</t>
  </si>
  <si>
    <t>3000 hr</t>
  </si>
  <si>
    <t>Chain</t>
  </si>
  <si>
    <t>low-clean light barriers and reflectors with compressed air, Check slippage of conveyor belts &amp; pneumatic</t>
  </si>
  <si>
    <t>120 hr</t>
  </si>
  <si>
    <t>Safety devices</t>
  </si>
  <si>
    <t xml:space="preserve"> Check functioning of safety devices 
and switches (emergency stop button)</t>
  </si>
  <si>
    <t>5000 hr</t>
  </si>
  <si>
    <t>Done</t>
  </si>
  <si>
    <t>Belt</t>
  </si>
  <si>
    <t xml:space="preserve">control &amp; adjust conveyor belt &amp; scraper </t>
  </si>
  <si>
    <t>Planed</t>
  </si>
  <si>
    <t>2month</t>
  </si>
  <si>
    <t>C5</t>
  </si>
  <si>
    <t>Vanilla ring machine</t>
  </si>
  <si>
    <t>C5 Vanilla ring machine</t>
  </si>
  <si>
    <t>Gear boxes shaft</t>
  </si>
  <si>
    <t>Check oil level</t>
  </si>
  <si>
    <t>Planel</t>
  </si>
  <si>
    <t xml:space="preserve">Change </t>
  </si>
  <si>
    <t>6000hr</t>
  </si>
  <si>
    <t>Bearing &amp; shafts</t>
  </si>
  <si>
    <t>Check bearings for looseness resp. damage (broken cage and friction) also check tension</t>
  </si>
  <si>
    <t>500 hr</t>
  </si>
  <si>
    <t>Change bearing grease, shaft seal and elastic rim gear</t>
  </si>
  <si>
    <t>10000hr</t>
  </si>
  <si>
    <t>linear guide</t>
  </si>
  <si>
    <t>Spindle And guide spindle</t>
  </si>
  <si>
    <t>Check and Greasing</t>
  </si>
  <si>
    <t>Cam discs and cam rollers</t>
  </si>
  <si>
    <t>Greasin nozzles</t>
  </si>
  <si>
    <t xml:space="preserve">planned </t>
  </si>
  <si>
    <t>Rotating parts</t>
  </si>
  <si>
    <t>Greasing rotatingg parts</t>
  </si>
  <si>
    <t>Electric</t>
  </si>
  <si>
    <t>C6</t>
  </si>
  <si>
    <t>Wire cut 1</t>
  </si>
  <si>
    <t>C6 Wire cut 1</t>
  </si>
  <si>
    <t>electric panel</t>
  </si>
  <si>
    <t>gear box</t>
  </si>
  <si>
    <t>depositor head points</t>
  </si>
  <si>
    <t>8 hr</t>
  </si>
  <si>
    <t>dough conveying mechanism</t>
  </si>
  <si>
    <t>bronze nut dough conveying mechanism</t>
  </si>
  <si>
    <t xml:space="preserve">Gears </t>
  </si>
  <si>
    <t>C7</t>
  </si>
  <si>
    <t>Wire cut 2</t>
  </si>
  <si>
    <t>C7 Wire cut 2</t>
  </si>
  <si>
    <t>Depositor head points</t>
  </si>
  <si>
    <t>Dough conveying mechanism</t>
  </si>
  <si>
    <t>Bronze nut dough conveying mechanism</t>
  </si>
  <si>
    <t>Baking</t>
  </si>
  <si>
    <t>C8</t>
  </si>
  <si>
    <t xml:space="preserve">oven </t>
  </si>
  <si>
    <t xml:space="preserve">C8 oven </t>
  </si>
  <si>
    <t>Meinke/Buhler</t>
  </si>
  <si>
    <t>Burner</t>
  </si>
  <si>
    <t>Check the burner</t>
  </si>
  <si>
    <t>Clean the Burner</t>
  </si>
  <si>
    <t>Annually</t>
  </si>
  <si>
    <t>Bearing and rotating parts</t>
  </si>
  <si>
    <t>Grease all bearing and rotating Parts</t>
  </si>
  <si>
    <t>Montly</t>
  </si>
  <si>
    <t>Rollers</t>
  </si>
  <si>
    <t>Check the bearing of all rollers</t>
  </si>
  <si>
    <t>chain</t>
  </si>
  <si>
    <t>Greasing the chain</t>
  </si>
  <si>
    <t>Blowers</t>
  </si>
  <si>
    <t>Check vibration</t>
  </si>
  <si>
    <t>Steel belt</t>
  </si>
  <si>
    <t>Check rivits</t>
  </si>
  <si>
    <t>Conveyor</t>
  </si>
  <si>
    <t>C9</t>
  </si>
  <si>
    <t>Wire mesh conveyor</t>
  </si>
  <si>
    <t>C9 Wire mesh conveyor</t>
  </si>
  <si>
    <t>Check the bearing of all rollers, belt</t>
  </si>
  <si>
    <t>C10</t>
  </si>
  <si>
    <t>Conveyor1</t>
  </si>
  <si>
    <t>C10 Conveyor1</t>
  </si>
  <si>
    <t>Local</t>
  </si>
  <si>
    <t>clean, swiches,alarm lamp and all caple</t>
  </si>
  <si>
    <t>check oil level ,sound and vibration</t>
  </si>
  <si>
    <t>change oil of gear box</t>
  </si>
  <si>
    <t>Rollers &amp; belt</t>
  </si>
  <si>
    <t>check the bearing of all rollers &amp; Belt</t>
  </si>
  <si>
    <t>C11</t>
  </si>
  <si>
    <t>Conveyor2</t>
  </si>
  <si>
    <t>C11 Conveyor2</t>
  </si>
  <si>
    <t>C12</t>
  </si>
  <si>
    <t>Conveyor3</t>
  </si>
  <si>
    <t>C12 Conveyor3</t>
  </si>
  <si>
    <t>C13</t>
  </si>
  <si>
    <t>Conveyor4</t>
  </si>
  <si>
    <t>C13 Conveyor4</t>
  </si>
  <si>
    <t>C14</t>
  </si>
  <si>
    <t>Conveyor5</t>
  </si>
  <si>
    <t>C14 Conveyor5</t>
  </si>
  <si>
    <t>C15</t>
  </si>
  <si>
    <t>Conveyor6</t>
  </si>
  <si>
    <t>C15 Conveyor6</t>
  </si>
  <si>
    <t>C16</t>
  </si>
  <si>
    <t>Conveyor7</t>
  </si>
  <si>
    <t>C16 Conveyor7</t>
  </si>
  <si>
    <t>Packaging</t>
  </si>
  <si>
    <t>C17</t>
  </si>
  <si>
    <t>Flow pack mashine1</t>
  </si>
  <si>
    <t>C17 Flow pack mashine1</t>
  </si>
  <si>
    <t>cavana 01</t>
  </si>
  <si>
    <t>clean, swiches,alarm lamp and all caple &amp; fans</t>
  </si>
  <si>
    <t>3 month</t>
  </si>
  <si>
    <t>grease all bearing and rotating Parts</t>
  </si>
  <si>
    <t>lungtidunal sealing unit</t>
  </si>
  <si>
    <t>grease sealng wheels and bevel gear</t>
  </si>
  <si>
    <t>300 hr</t>
  </si>
  <si>
    <t>Flab folder</t>
  </si>
  <si>
    <t>lubricate bevel gear</t>
  </si>
  <si>
    <t>300 HR</t>
  </si>
  <si>
    <t>lubricate  flab folder</t>
  </si>
  <si>
    <t>Check PIV Oil</t>
  </si>
  <si>
    <t>Check oil</t>
  </si>
  <si>
    <t>Spur gears of jaws</t>
  </si>
  <si>
    <t>greasing the chain</t>
  </si>
  <si>
    <t>500 HR</t>
  </si>
  <si>
    <t>Discharge unit</t>
  </si>
  <si>
    <t>grease roller</t>
  </si>
  <si>
    <t>200 hr</t>
  </si>
  <si>
    <t xml:space="preserve">Pusher &amp; Feeding chain </t>
  </si>
  <si>
    <t>lubricate the chain</t>
  </si>
  <si>
    <t xml:space="preserve">Cam &amp; Transimision Duel adjustment &amp;  internal gear </t>
  </si>
  <si>
    <t>greasing</t>
  </si>
  <si>
    <t>Height adjustment screw</t>
  </si>
  <si>
    <t>Pneumatic cercuit</t>
  </si>
  <si>
    <t xml:space="preserve">check air leakage </t>
  </si>
  <si>
    <t>check hose and filter and regulator</t>
  </si>
  <si>
    <t>Exit conveyors</t>
  </si>
  <si>
    <t>Check the conveyors</t>
  </si>
  <si>
    <t xml:space="preserve">Planed </t>
  </si>
  <si>
    <t>Jaws</t>
  </si>
  <si>
    <t>check jaws and sealing</t>
  </si>
  <si>
    <t>C18</t>
  </si>
  <si>
    <t>Flow pack mashine2</t>
  </si>
  <si>
    <t>C18 Flow pack mashine2</t>
  </si>
  <si>
    <t>Cavana05</t>
  </si>
  <si>
    <t>Pusher &amp; Transmition and feeding chain</t>
  </si>
  <si>
    <t xml:space="preserve">Reduction unitl sealing shafet </t>
  </si>
  <si>
    <t>Oil</t>
  </si>
  <si>
    <t>10,000 hr</t>
  </si>
  <si>
    <t>Bearing supports</t>
  </si>
  <si>
    <t>Sealing wheel</t>
  </si>
  <si>
    <t>Cylindrical and bevel gears</t>
  </si>
  <si>
    <t>Spur gear</t>
  </si>
  <si>
    <t xml:space="preserve">Check air leakage </t>
  </si>
  <si>
    <t>Check hose and filter and regulator</t>
  </si>
  <si>
    <t>Jaws &amp; belt</t>
  </si>
  <si>
    <t>Check jaws and sealing &amp;belts</t>
  </si>
  <si>
    <t>C19</t>
  </si>
  <si>
    <t>Tape machine</t>
  </si>
  <si>
    <t>C19 Tape machine</t>
  </si>
  <si>
    <t>Shur</t>
  </si>
  <si>
    <t>Moving parts</t>
  </si>
  <si>
    <t>Greasing cam</t>
  </si>
  <si>
    <t>piping valves, Gaskets</t>
  </si>
  <si>
    <t xml:space="preserve">Check leakage </t>
  </si>
  <si>
    <t>C20</t>
  </si>
  <si>
    <t>Conveyor8</t>
  </si>
  <si>
    <t>C20 Conveyor8</t>
  </si>
  <si>
    <t>C21</t>
  </si>
  <si>
    <t>Conveyor9</t>
  </si>
  <si>
    <t>C21 Conveyor9</t>
  </si>
  <si>
    <t>C22</t>
  </si>
  <si>
    <t>Conveyor10</t>
  </si>
  <si>
    <t>C22 Conveyor10</t>
  </si>
  <si>
    <t>C23</t>
  </si>
  <si>
    <t>Metal detector</t>
  </si>
  <si>
    <t>C23 Metal detector</t>
  </si>
  <si>
    <t>Loma system</t>
  </si>
  <si>
    <t>C24</t>
  </si>
  <si>
    <t>Check weir</t>
  </si>
  <si>
    <t>C24 Check weir</t>
  </si>
  <si>
    <t>C25</t>
  </si>
  <si>
    <t>Carton Sealer</t>
  </si>
  <si>
    <t>C25 Carton Sealer</t>
  </si>
  <si>
    <t>siat</t>
  </si>
  <si>
    <t>lubricate</t>
  </si>
  <si>
    <t>quarterly</t>
  </si>
  <si>
    <t>Blade clreaning  &amp; roller shaft&amp;cutters</t>
  </si>
  <si>
    <t>C26</t>
  </si>
  <si>
    <t xml:space="preserve">Conveyor </t>
  </si>
  <si>
    <t xml:space="preserve">C26 Conveyor </t>
  </si>
  <si>
    <t>Zultec</t>
  </si>
  <si>
    <t xml:space="preserve">           Approved by Engineering Lead</t>
  </si>
  <si>
    <t>Maintenance form No:1                 issue 01-01-2018   Rev.9</t>
  </si>
  <si>
    <t>Cookies Line Preventive Maintenance Plan 2026</t>
  </si>
  <si>
    <t>Engineering Head</t>
  </si>
  <si>
    <t>Factory Head</t>
  </si>
  <si>
    <t>2--8</t>
  </si>
  <si>
    <t>9--15</t>
  </si>
  <si>
    <t>16--22</t>
  </si>
  <si>
    <t>23--29</t>
  </si>
  <si>
    <t>30--5</t>
  </si>
  <si>
    <t>6--12</t>
  </si>
  <si>
    <t>13--19</t>
  </si>
  <si>
    <t>20--26</t>
  </si>
  <si>
    <t>27--5</t>
  </si>
  <si>
    <t>27--2</t>
  </si>
  <si>
    <t>3--9</t>
  </si>
  <si>
    <t>10--16</t>
  </si>
  <si>
    <t>17--23</t>
  </si>
  <si>
    <t>24--30</t>
  </si>
  <si>
    <t>1--7</t>
  </si>
  <si>
    <t>8--14</t>
  </si>
  <si>
    <t>15--21</t>
  </si>
  <si>
    <t>22--28</t>
  </si>
  <si>
    <t>29--4</t>
  </si>
  <si>
    <t>5--11</t>
  </si>
  <si>
    <t>12--18</t>
  </si>
  <si>
    <t>19--25</t>
  </si>
  <si>
    <t>26--2</t>
  </si>
  <si>
    <t>31--6</t>
  </si>
  <si>
    <t>7--13</t>
  </si>
  <si>
    <t>14--20</t>
  </si>
  <si>
    <t>21--27</t>
  </si>
  <si>
    <t>28--3</t>
  </si>
  <si>
    <t>4--10</t>
  </si>
  <si>
    <t>11--17</t>
  </si>
  <si>
    <t>18--24</t>
  </si>
  <si>
    <t>25--1</t>
  </si>
  <si>
    <t>27--3</t>
  </si>
  <si>
    <t>25--30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</si>
</sst>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26"/>
      <color theme="1"/>
      <name val="Aptos Narrow"/>
      <family val="2"/>
      <charset val="178"/>
      <scheme val="minor"/>
    </font>
    <font>
      <sz val="18"/>
      <color theme="1"/>
      <name val="Aptos Narrow"/>
      <family val="2"/>
      <charset val="178"/>
      <scheme val="minor"/>
    </font>
    <font>
      <sz val="22"/>
      <color theme="1"/>
      <name val="Aptos Narrow"/>
      <family val="2"/>
      <charset val="178"/>
      <scheme val="minor"/>
    </font>
    <font>
      <b/>
      <sz val="16"/>
      <color theme="1"/>
      <name val="Aptos Narrow"/>
      <family val="2"/>
      <scheme val="minor"/>
    </font>
    <font>
      <sz val="28"/>
      <color theme="1"/>
      <name val="Aptos Narrow"/>
      <family val="2"/>
      <charset val="178"/>
      <scheme val="minor"/>
    </font>
    <font>
      <sz val="16"/>
      <color theme="1"/>
      <name val="Aptos Narrow"/>
      <family val="2"/>
      <charset val="178"/>
      <scheme val="minor"/>
    </font>
    <font>
      <sz val="16"/>
      <color rgb="FF92D050"/>
      <name val="Aptos Narrow"/>
      <family val="2"/>
      <charset val="178"/>
      <scheme val="minor"/>
    </font>
    <font>
      <sz val="22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72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</cellStyleXfs>
  <cellXfs count="72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7" fillId="9" borderId="1" xfId="0" applyFont="1" applyFill="1" applyBorder="1"/>
    <xf numFmtId="0" fontId="7" fillId="10" borderId="1" xfId="0" applyFont="1" applyFill="1" applyBorder="1" applyAlignment="1">
      <alignment horizontal="center" vertical="center"/>
    </xf>
    <xf numFmtId="0" fontId="7" fillId="0" borderId="1" xfId="0" applyFont="1" applyBorder="1"/>
    <xf numFmtId="0" fontId="7" fillId="11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wrapText="1"/>
    </xf>
    <xf numFmtId="0" fontId="7" fillId="10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7" fillId="8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vertical="center"/>
    </xf>
    <xf numFmtId="0" fontId="7" fillId="0" borderId="6" xfId="0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0" fillId="2" borderId="5" xfId="1" applyNumberFormat="1" applyFont="1" applyBorder="1" applyAlignment="1">
      <alignment horizontal="center" vertical="center"/>
    </xf>
    <xf numFmtId="0" fontId="8" fillId="13" borderId="16" xfId="0" applyFont="1" applyFill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4" fillId="4" borderId="1" xfId="3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5" borderId="1" xfId="4" applyFont="1" applyBorder="1" applyAlignment="1">
      <alignment horizontal="center" vertical="center" textRotation="90" wrapText="1"/>
    </xf>
    <xf numFmtId="0" fontId="4" fillId="4" borderId="1" xfId="3" applyFont="1" applyBorder="1" applyAlignment="1">
      <alignment horizontal="center" vertical="center" wrapText="1"/>
    </xf>
    <xf numFmtId="0" fontId="0" fillId="12" borderId="7" xfId="0" applyFill="1" applyBorder="1" applyAlignment="1">
      <alignment horizontal="center"/>
    </xf>
    <xf numFmtId="0" fontId="0" fillId="12" borderId="8" xfId="0" applyFill="1" applyBorder="1" applyAlignment="1">
      <alignment horizontal="center"/>
    </xf>
    <xf numFmtId="0" fontId="0" fillId="12" borderId="9" xfId="0" applyFill="1" applyBorder="1" applyAlignment="1">
      <alignment horizontal="center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4" borderId="3" xfId="3" applyFont="1" applyBorder="1" applyAlignment="1">
      <alignment horizontal="center" vertical="center" wrapText="1"/>
    </xf>
    <xf numFmtId="0" fontId="4" fillId="4" borderId="4" xfId="3" applyFont="1" applyBorder="1" applyAlignment="1">
      <alignment horizontal="center" vertical="center" wrapText="1"/>
    </xf>
    <xf numFmtId="0" fontId="4" fillId="4" borderId="5" xfId="3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3" fillId="6" borderId="2" xfId="5" applyFont="1" applyBorder="1" applyAlignment="1">
      <alignment horizontal="center" vertical="center"/>
    </xf>
    <xf numFmtId="0" fontId="3" fillId="6" borderId="1" xfId="5" applyFont="1" applyBorder="1" applyAlignment="1">
      <alignment horizontal="center" vertical="center"/>
    </xf>
    <xf numFmtId="0" fontId="5" fillId="6" borderId="1" xfId="5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6" borderId="1" xfId="5" applyFont="1" applyBorder="1" applyAlignment="1">
      <alignment horizontal="center" vertical="center"/>
    </xf>
    <xf numFmtId="0" fontId="1" fillId="13" borderId="1" xfId="5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9" fillId="3" borderId="1" xfId="2" applyFont="1" applyBorder="1" applyAlignment="1">
      <alignment horizontal="center" vertical="center"/>
    </xf>
    <xf numFmtId="0" fontId="9" fillId="6" borderId="1" xfId="5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10" xfId="0" applyFont="1" applyBorder="1" applyAlignment="1">
      <alignment horizontal="left" vertical="center"/>
    </xf>
    <xf numFmtId="0" fontId="12" fillId="0" borderId="11" xfId="0" applyFont="1" applyBorder="1" applyAlignment="1">
      <alignment horizontal="left" vertical="center"/>
    </xf>
    <xf numFmtId="0" fontId="12" fillId="0" borderId="13" xfId="0" applyFont="1" applyBorder="1" applyAlignment="1">
      <alignment horizontal="left" vertical="center"/>
    </xf>
    <xf numFmtId="0" fontId="12" fillId="0" borderId="14" xfId="0" applyFont="1" applyBorder="1" applyAlignment="1">
      <alignment horizontal="left" vertical="center"/>
    </xf>
    <xf numFmtId="0" fontId="12" fillId="0" borderId="12" xfId="0" applyFont="1" applyBorder="1" applyAlignment="1">
      <alignment horizontal="left" vertical="center"/>
    </xf>
    <xf numFmtId="0" fontId="12" fillId="0" borderId="15" xfId="0" applyFont="1" applyBorder="1" applyAlignment="1">
      <alignment horizontal="left" vertical="center"/>
    </xf>
    <xf numFmtId="0" fontId="12" fillId="0" borderId="10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</cellXfs>
  <cellStyles count="6">
    <cellStyle name="20% - Accent1" xfId="1" builtinId="30"/>
    <cellStyle name="20% - Accent5" xfId="3" builtinId="46"/>
    <cellStyle name="40% - Accent1" xfId="2" builtinId="31"/>
    <cellStyle name="40% - Accent5" xfId="4" builtinId="47"/>
    <cellStyle name="40% - Accent6" xfId="5" builtinId="51"/>
    <cellStyle name="Normal" xfId="0" builtinId="0"/>
  </cellStyles>
  <dxfs count="1777"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theme="9" tint="-0.499984740745262"/>
        </patternFill>
      </fill>
    </dxf>
    <dxf>
      <fill>
        <patternFill>
          <bgColor rgb="FF00206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C00000"/>
        </patternFill>
      </fill>
    </dxf>
    <dxf>
      <fill>
        <patternFill>
          <bgColor rgb="FF00206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35859</xdr:colOff>
      <xdr:row>0</xdr:row>
      <xdr:rowOff>179294</xdr:rowOff>
    </xdr:from>
    <xdr:to>
      <xdr:col>2</xdr:col>
      <xdr:colOff>995897</xdr:colOff>
      <xdr:row>0</xdr:row>
      <xdr:rowOff>2062971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D3D0906-CD23-4B0E-A9B7-1B74E4C84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5859" y="179294"/>
          <a:ext cx="3527978" cy="66338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35858</xdr:colOff>
      <xdr:row>0</xdr:row>
      <xdr:rowOff>179294</xdr:rowOff>
    </xdr:from>
    <xdr:to>
      <xdr:col>4</xdr:col>
      <xdr:colOff>853439</xdr:colOff>
      <xdr:row>0</xdr:row>
      <xdr:rowOff>2062971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59AAFA3-9EA0-46DC-846E-DD3FB89455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5858" y="179294"/>
          <a:ext cx="8346141" cy="188367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81"/>
  <sheetViews>
    <sheetView view="pageBreakPreview" topLeftCell="A252" zoomScale="60" zoomScaleNormal="40" workbookViewId="0">
      <selection activeCell="A280" sqref="A280:E281"/>
    </sheetView>
  </sheetViews>
  <sheetFormatPr defaultRowHeight="14.25"/>
  <cols>
    <col min="1" max="1" width="19.75" bestFit="1" customWidth="1"/>
    <col min="2" max="2" width="17.625" bestFit="1" customWidth="1"/>
    <col min="3" max="3" width="29.25" bestFit="1" customWidth="1"/>
    <col min="4" max="4" width="42.75" bestFit="1" customWidth="1"/>
    <col min="5" max="5" width="27.625" customWidth="1"/>
    <col min="6" max="6" width="80.625" bestFit="1" customWidth="1"/>
    <col min="7" max="7" width="78.25" customWidth="1"/>
    <col min="8" max="8" width="12.5" customWidth="1"/>
    <col min="9" max="9" width="13.375" customWidth="1"/>
    <col min="10" max="10" width="17" bestFit="1" customWidth="1"/>
    <col min="11" max="11" width="13" bestFit="1" customWidth="1"/>
    <col min="12" max="12" width="13.5" bestFit="1" customWidth="1"/>
    <col min="13" max="13" width="16.125" bestFit="1" customWidth="1"/>
    <col min="14" max="14" width="13.375" bestFit="1" customWidth="1"/>
    <col min="15" max="15" width="11.75" customWidth="1"/>
  </cols>
  <sheetData>
    <row r="1" spans="1:15" ht="172.15" customHeight="1" thickBot="1">
      <c r="A1" s="51" t="s">
        <v>0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</row>
    <row r="2" spans="1:15" ht="25.5" customHeight="1">
      <c r="A2" s="49" t="s">
        <v>1</v>
      </c>
      <c r="B2" s="52" t="s">
        <v>2</v>
      </c>
      <c r="C2" s="52" t="s">
        <v>3</v>
      </c>
      <c r="D2" s="52" t="s">
        <v>4</v>
      </c>
      <c r="E2" s="52" t="s">
        <v>5</v>
      </c>
      <c r="F2" s="52" t="s">
        <v>6</v>
      </c>
      <c r="G2" s="52" t="s">
        <v>7</v>
      </c>
      <c r="H2" s="49"/>
      <c r="I2" s="49" t="s">
        <v>8</v>
      </c>
      <c r="J2" s="48" t="s">
        <v>9</v>
      </c>
      <c r="K2" s="48" t="s">
        <v>10</v>
      </c>
      <c r="L2" s="48" t="s">
        <v>11</v>
      </c>
      <c r="M2" s="48" t="s">
        <v>12</v>
      </c>
      <c r="N2" s="48" t="s">
        <v>13</v>
      </c>
      <c r="O2" s="50" t="s">
        <v>14</v>
      </c>
    </row>
    <row r="3" spans="1:15" ht="25.15" customHeight="1">
      <c r="A3" s="49"/>
      <c r="B3" s="52"/>
      <c r="C3" s="52"/>
      <c r="D3" s="52"/>
      <c r="E3" s="52"/>
      <c r="F3" s="52"/>
      <c r="G3" s="52"/>
      <c r="H3" s="49"/>
      <c r="I3" s="49"/>
      <c r="J3" s="49"/>
      <c r="K3" s="49"/>
      <c r="L3" s="49"/>
      <c r="M3" s="49"/>
      <c r="N3" s="49"/>
      <c r="O3" s="50"/>
    </row>
    <row r="4" spans="1:15" ht="25.5" customHeight="1">
      <c r="A4" s="49"/>
      <c r="B4" s="52"/>
      <c r="C4" s="52"/>
      <c r="D4" s="52"/>
      <c r="E4" s="52"/>
      <c r="F4" s="52"/>
      <c r="G4" s="52"/>
      <c r="H4" s="49"/>
      <c r="I4" s="49"/>
      <c r="J4" s="49"/>
      <c r="K4" s="49"/>
      <c r="L4" s="49"/>
      <c r="M4" s="49"/>
      <c r="N4" s="49"/>
      <c r="O4" s="50"/>
    </row>
    <row r="5" spans="1:15" ht="21" customHeight="1">
      <c r="A5" s="34" t="s">
        <v>27</v>
      </c>
      <c r="B5" s="35" t="s">
        <v>28</v>
      </c>
      <c r="C5" s="35" t="s">
        <v>27</v>
      </c>
      <c r="D5" s="35" t="s">
        <v>29</v>
      </c>
      <c r="E5" s="33" t="s">
        <v>30</v>
      </c>
      <c r="F5" s="33" t="s">
        <v>31</v>
      </c>
      <c r="G5" s="33" t="s">
        <v>32</v>
      </c>
      <c r="H5" s="1" t="s">
        <v>33</v>
      </c>
      <c r="I5" s="1"/>
      <c r="J5" s="2"/>
      <c r="K5" s="1"/>
      <c r="L5" s="1"/>
      <c r="M5" s="1"/>
      <c r="N5" s="1"/>
      <c r="O5" s="1" t="s">
        <v>34</v>
      </c>
    </row>
    <row r="6" spans="1:15" ht="21" customHeight="1">
      <c r="A6" s="34"/>
      <c r="B6" s="35"/>
      <c r="C6" s="35"/>
      <c r="D6" s="35" t="s">
        <v>35</v>
      </c>
      <c r="E6" s="33"/>
      <c r="F6" s="33"/>
      <c r="G6" s="33"/>
      <c r="H6" s="1" t="s">
        <v>36</v>
      </c>
      <c r="I6" s="1"/>
      <c r="J6" s="1"/>
      <c r="K6" s="1"/>
      <c r="L6" s="1"/>
      <c r="M6" s="1"/>
      <c r="N6" s="1"/>
      <c r="O6" s="1"/>
    </row>
    <row r="7" spans="1:15" ht="21" customHeight="1">
      <c r="A7" s="34"/>
      <c r="B7" s="35"/>
      <c r="C7" s="35"/>
      <c r="D7" s="35" t="s">
        <v>35</v>
      </c>
      <c r="E7" s="33"/>
      <c r="F7" s="33" t="s">
        <v>37</v>
      </c>
      <c r="G7" s="33" t="s">
        <v>38</v>
      </c>
      <c r="H7" s="1" t="s">
        <v>33</v>
      </c>
      <c r="I7" s="1"/>
      <c r="J7" s="2"/>
      <c r="K7" s="1"/>
      <c r="L7" s="1"/>
      <c r="M7" s="1"/>
      <c r="N7" s="1"/>
      <c r="O7" s="1" t="s">
        <v>34</v>
      </c>
    </row>
    <row r="8" spans="1:15" ht="21" customHeight="1">
      <c r="A8" s="34"/>
      <c r="B8" s="35"/>
      <c r="C8" s="35"/>
      <c r="D8" s="35" t="s">
        <v>35</v>
      </c>
      <c r="E8" s="33"/>
      <c r="F8" s="33"/>
      <c r="G8" s="33"/>
      <c r="H8" s="1" t="s">
        <v>36</v>
      </c>
      <c r="I8" s="1"/>
      <c r="J8" s="1"/>
      <c r="K8" s="1"/>
      <c r="L8" s="1"/>
      <c r="M8" s="1"/>
      <c r="N8" s="1"/>
      <c r="O8" s="1"/>
    </row>
    <row r="9" spans="1:15" ht="21" customHeight="1">
      <c r="A9" s="34"/>
      <c r="B9" s="35"/>
      <c r="C9" s="35"/>
      <c r="D9" s="35" t="s">
        <v>35</v>
      </c>
      <c r="E9" s="33"/>
      <c r="F9" s="33" t="s">
        <v>39</v>
      </c>
      <c r="G9" s="33" t="s">
        <v>40</v>
      </c>
      <c r="H9" s="1" t="s">
        <v>33</v>
      </c>
      <c r="I9" s="1"/>
      <c r="J9" s="1"/>
      <c r="K9" s="1"/>
      <c r="L9" s="1"/>
      <c r="M9" s="1"/>
      <c r="N9" s="3"/>
      <c r="O9" s="1" t="s">
        <v>41</v>
      </c>
    </row>
    <row r="10" spans="1:15" ht="21" customHeight="1">
      <c r="A10" s="34"/>
      <c r="B10" s="35"/>
      <c r="C10" s="35"/>
      <c r="D10" s="35" t="s">
        <v>35</v>
      </c>
      <c r="E10" s="33"/>
      <c r="F10" s="33"/>
      <c r="G10" s="33"/>
      <c r="H10" s="1" t="s">
        <v>36</v>
      </c>
      <c r="I10" s="1"/>
      <c r="J10" s="1"/>
      <c r="K10" s="1"/>
      <c r="L10" s="1"/>
      <c r="M10" s="1"/>
      <c r="N10" s="1"/>
      <c r="O10" s="1"/>
    </row>
    <row r="11" spans="1:15" ht="35.450000000000003" customHeight="1">
      <c r="A11" s="34"/>
      <c r="B11" s="35"/>
      <c r="C11" s="35"/>
      <c r="D11" s="35" t="s">
        <v>35</v>
      </c>
      <c r="E11" s="33"/>
      <c r="F11" s="44" t="s">
        <v>42</v>
      </c>
      <c r="G11" s="33" t="s">
        <v>43</v>
      </c>
      <c r="H11" s="1" t="s">
        <v>33</v>
      </c>
      <c r="I11" s="1"/>
      <c r="J11" s="1"/>
      <c r="K11" s="1"/>
      <c r="L11" s="1"/>
      <c r="M11" s="4"/>
      <c r="N11" s="1"/>
      <c r="O11" s="1" t="s">
        <v>44</v>
      </c>
    </row>
    <row r="12" spans="1:15" ht="35.450000000000003" customHeight="1">
      <c r="A12" s="34"/>
      <c r="B12" s="35"/>
      <c r="C12" s="35"/>
      <c r="D12" s="35" t="s">
        <v>35</v>
      </c>
      <c r="E12" s="33"/>
      <c r="F12" s="44"/>
      <c r="G12" s="33"/>
      <c r="H12" s="1" t="s">
        <v>36</v>
      </c>
      <c r="I12" s="1"/>
      <c r="J12" s="1"/>
      <c r="K12" s="1"/>
      <c r="L12" s="1"/>
      <c r="M12" s="1"/>
      <c r="N12" s="1"/>
      <c r="O12" s="1"/>
    </row>
    <row r="13" spans="1:15" ht="21" customHeight="1">
      <c r="A13" s="34"/>
      <c r="B13" s="35"/>
      <c r="C13" s="35"/>
      <c r="D13" s="35" t="s">
        <v>35</v>
      </c>
      <c r="E13" s="33"/>
      <c r="F13" s="33" t="s">
        <v>45</v>
      </c>
      <c r="G13" s="33" t="s">
        <v>43</v>
      </c>
      <c r="H13" s="1" t="s">
        <v>33</v>
      </c>
      <c r="I13" s="1"/>
      <c r="J13" s="1"/>
      <c r="K13" s="5"/>
      <c r="L13" s="1"/>
      <c r="M13" s="1"/>
      <c r="N13" s="1"/>
      <c r="O13" s="1" t="s">
        <v>46</v>
      </c>
    </row>
    <row r="14" spans="1:15" ht="21" customHeight="1">
      <c r="A14" s="34"/>
      <c r="B14" s="35"/>
      <c r="C14" s="35"/>
      <c r="D14" s="35" t="s">
        <v>35</v>
      </c>
      <c r="E14" s="33"/>
      <c r="F14" s="33"/>
      <c r="G14" s="33"/>
      <c r="H14" s="1" t="s">
        <v>36</v>
      </c>
      <c r="I14" s="1"/>
      <c r="J14" s="1"/>
      <c r="K14" s="1"/>
      <c r="L14" s="1"/>
      <c r="M14" s="1"/>
      <c r="N14" s="1"/>
      <c r="O14" s="1"/>
    </row>
    <row r="15" spans="1:15" ht="21" customHeight="1">
      <c r="A15" s="34"/>
      <c r="B15" s="35"/>
      <c r="C15" s="35"/>
      <c r="D15" s="35" t="s">
        <v>35</v>
      </c>
      <c r="E15" s="33"/>
      <c r="F15" s="33" t="s">
        <v>47</v>
      </c>
      <c r="G15" s="33" t="s">
        <v>43</v>
      </c>
      <c r="H15" s="1" t="s">
        <v>33</v>
      </c>
      <c r="I15" s="1"/>
      <c r="J15" s="1"/>
      <c r="K15" s="5"/>
      <c r="L15" s="1"/>
      <c r="M15" s="1"/>
      <c r="N15" s="1"/>
      <c r="O15" s="1" t="s">
        <v>46</v>
      </c>
    </row>
    <row r="16" spans="1:15" ht="21" customHeight="1">
      <c r="A16" s="34"/>
      <c r="B16" s="35"/>
      <c r="C16" s="35"/>
      <c r="D16" s="35" t="s">
        <v>35</v>
      </c>
      <c r="E16" s="33"/>
      <c r="F16" s="33"/>
      <c r="G16" s="33"/>
      <c r="H16" s="1" t="s">
        <v>36</v>
      </c>
      <c r="I16" s="1"/>
      <c r="J16" s="1"/>
      <c r="K16" s="1"/>
      <c r="L16" s="1"/>
      <c r="M16" s="1"/>
      <c r="N16" s="1"/>
      <c r="O16" s="1"/>
    </row>
    <row r="17" spans="1:15" ht="21" customHeight="1">
      <c r="A17" s="34"/>
      <c r="B17" s="35"/>
      <c r="C17" s="35"/>
      <c r="D17" s="35" t="s">
        <v>35</v>
      </c>
      <c r="E17" s="33"/>
      <c r="F17" s="33" t="s">
        <v>48</v>
      </c>
      <c r="G17" s="33" t="s">
        <v>43</v>
      </c>
      <c r="H17" s="1" t="s">
        <v>33</v>
      </c>
      <c r="I17" s="1"/>
      <c r="J17" s="1"/>
      <c r="K17" s="5"/>
      <c r="L17" s="1"/>
      <c r="M17" s="1"/>
      <c r="N17" s="1"/>
      <c r="O17" s="1" t="s">
        <v>46</v>
      </c>
    </row>
    <row r="18" spans="1:15" ht="21" customHeight="1">
      <c r="A18" s="34"/>
      <c r="B18" s="35"/>
      <c r="C18" s="35"/>
      <c r="D18" s="35" t="s">
        <v>35</v>
      </c>
      <c r="E18" s="33"/>
      <c r="F18" s="33"/>
      <c r="G18" s="33"/>
      <c r="H18" s="1" t="s">
        <v>36</v>
      </c>
      <c r="I18" s="1"/>
      <c r="J18" s="1"/>
      <c r="K18" s="1"/>
      <c r="L18" s="1"/>
      <c r="M18" s="1"/>
      <c r="N18" s="1"/>
      <c r="O18" s="1"/>
    </row>
    <row r="19" spans="1:15" ht="21" customHeight="1">
      <c r="A19" s="34"/>
      <c r="B19" s="35"/>
      <c r="C19" s="35"/>
      <c r="D19" s="35" t="s">
        <v>35</v>
      </c>
      <c r="E19" s="33"/>
      <c r="F19" s="33" t="s">
        <v>49</v>
      </c>
      <c r="G19" s="33" t="s">
        <v>43</v>
      </c>
      <c r="H19" s="1" t="s">
        <v>33</v>
      </c>
      <c r="I19" s="1"/>
      <c r="J19" s="2"/>
      <c r="K19" s="1"/>
      <c r="L19" s="1"/>
      <c r="M19" s="1"/>
      <c r="N19" s="1"/>
      <c r="O19" s="1" t="s">
        <v>50</v>
      </c>
    </row>
    <row r="20" spans="1:15" ht="21" customHeight="1">
      <c r="A20" s="34"/>
      <c r="B20" s="35"/>
      <c r="C20" s="35"/>
      <c r="D20" s="35" t="s">
        <v>35</v>
      </c>
      <c r="E20" s="33"/>
      <c r="F20" s="33"/>
      <c r="G20" s="33"/>
      <c r="H20" s="1" t="s">
        <v>36</v>
      </c>
      <c r="I20" s="1"/>
      <c r="J20" s="1"/>
      <c r="K20" s="1"/>
      <c r="L20" s="1"/>
      <c r="M20" s="1"/>
      <c r="N20" s="1"/>
      <c r="O20" s="1"/>
    </row>
    <row r="21" spans="1:15" ht="21" customHeight="1">
      <c r="A21" s="34" t="s">
        <v>51</v>
      </c>
      <c r="B21" s="35" t="s">
        <v>52</v>
      </c>
      <c r="C21" s="35" t="s">
        <v>53</v>
      </c>
      <c r="D21" s="35" t="s">
        <v>54</v>
      </c>
      <c r="E21" s="33" t="s">
        <v>55</v>
      </c>
      <c r="F21" s="33" t="s">
        <v>31</v>
      </c>
      <c r="G21" s="33" t="s">
        <v>56</v>
      </c>
      <c r="H21" s="1" t="s">
        <v>33</v>
      </c>
      <c r="I21" s="1"/>
      <c r="J21" s="2"/>
      <c r="K21" s="1"/>
      <c r="L21" s="1"/>
      <c r="M21" s="1"/>
      <c r="N21" s="1"/>
      <c r="O21" s="1" t="s">
        <v>34</v>
      </c>
    </row>
    <row r="22" spans="1:15" ht="21" customHeight="1">
      <c r="A22" s="34"/>
      <c r="B22" s="35"/>
      <c r="C22" s="35"/>
      <c r="D22" s="35" t="s">
        <v>35</v>
      </c>
      <c r="E22" s="33"/>
      <c r="F22" s="33"/>
      <c r="G22" s="33"/>
      <c r="H22" s="1" t="s">
        <v>36</v>
      </c>
      <c r="I22" s="1"/>
      <c r="J22" s="1"/>
      <c r="K22" s="1"/>
      <c r="L22" s="1"/>
      <c r="M22" s="1"/>
      <c r="N22" s="1"/>
      <c r="O22" s="1"/>
    </row>
    <row r="23" spans="1:15" ht="21" customHeight="1">
      <c r="A23" s="34"/>
      <c r="B23" s="35"/>
      <c r="C23" s="35"/>
      <c r="D23" s="35" t="s">
        <v>35</v>
      </c>
      <c r="E23" s="33"/>
      <c r="F23" s="33" t="s">
        <v>57</v>
      </c>
      <c r="G23" s="33" t="s">
        <v>58</v>
      </c>
      <c r="H23" s="1" t="s">
        <v>33</v>
      </c>
      <c r="I23" s="1"/>
      <c r="J23" s="1"/>
      <c r="K23" s="1"/>
      <c r="L23" s="1"/>
      <c r="M23" s="1"/>
      <c r="N23" s="3"/>
      <c r="O23" s="1" t="s">
        <v>41</v>
      </c>
    </row>
    <row r="24" spans="1:15" ht="21" customHeight="1">
      <c r="A24" s="34"/>
      <c r="B24" s="35"/>
      <c r="C24" s="35"/>
      <c r="D24" s="35" t="s">
        <v>35</v>
      </c>
      <c r="E24" s="33"/>
      <c r="F24" s="33"/>
      <c r="G24" s="33"/>
      <c r="H24" s="1" t="s">
        <v>36</v>
      </c>
      <c r="I24" s="1"/>
      <c r="J24" s="1"/>
      <c r="K24" s="1"/>
      <c r="L24" s="1"/>
      <c r="M24" s="1"/>
      <c r="N24" s="1"/>
      <c r="O24" s="1"/>
    </row>
    <row r="25" spans="1:15" ht="21" customHeight="1">
      <c r="A25" s="34"/>
      <c r="B25" s="35"/>
      <c r="C25" s="35"/>
      <c r="D25" s="35" t="s">
        <v>35</v>
      </c>
      <c r="E25" s="33"/>
      <c r="F25" s="33" t="s">
        <v>59</v>
      </c>
      <c r="G25" s="33" t="s">
        <v>60</v>
      </c>
      <c r="H25" s="1" t="s">
        <v>33</v>
      </c>
      <c r="I25" s="1"/>
      <c r="J25" s="1"/>
      <c r="K25" s="5"/>
      <c r="L25" s="1"/>
      <c r="M25" s="1"/>
      <c r="N25" s="1"/>
      <c r="O25" s="1" t="s">
        <v>61</v>
      </c>
    </row>
    <row r="26" spans="1:15" ht="21" customHeight="1">
      <c r="A26" s="34"/>
      <c r="B26" s="35"/>
      <c r="C26" s="35"/>
      <c r="D26" s="35" t="s">
        <v>35</v>
      </c>
      <c r="E26" s="33"/>
      <c r="F26" s="33"/>
      <c r="G26" s="33"/>
      <c r="H26" s="1" t="s">
        <v>36</v>
      </c>
      <c r="I26" s="1"/>
      <c r="J26" s="1"/>
      <c r="K26" s="1"/>
      <c r="L26" s="1"/>
      <c r="M26" s="1"/>
      <c r="N26" s="1"/>
      <c r="O26" s="1"/>
    </row>
    <row r="27" spans="1:15" ht="21" customHeight="1">
      <c r="A27" s="34"/>
      <c r="B27" s="35" t="s">
        <v>62</v>
      </c>
      <c r="C27" s="35" t="s">
        <v>63</v>
      </c>
      <c r="D27" s="35" t="s">
        <v>64</v>
      </c>
      <c r="E27" s="33" t="s">
        <v>55</v>
      </c>
      <c r="F27" s="33" t="s">
        <v>31</v>
      </c>
      <c r="G27" s="33" t="s">
        <v>56</v>
      </c>
      <c r="H27" s="1" t="s">
        <v>33</v>
      </c>
      <c r="I27" s="1"/>
      <c r="J27" s="2"/>
      <c r="K27" s="1"/>
      <c r="L27" s="1"/>
      <c r="M27" s="1"/>
      <c r="N27" s="1"/>
      <c r="O27" s="1" t="s">
        <v>34</v>
      </c>
    </row>
    <row r="28" spans="1:15" ht="21" customHeight="1">
      <c r="A28" s="34"/>
      <c r="B28" s="35"/>
      <c r="C28" s="35"/>
      <c r="D28" s="35" t="s">
        <v>35</v>
      </c>
      <c r="E28" s="33"/>
      <c r="F28" s="33"/>
      <c r="G28" s="33"/>
      <c r="H28" s="1" t="s">
        <v>36</v>
      </c>
      <c r="I28" s="1"/>
      <c r="J28" s="1"/>
      <c r="K28" s="1"/>
      <c r="L28" s="1"/>
      <c r="M28" s="1"/>
      <c r="N28" s="1"/>
      <c r="O28" s="1"/>
    </row>
    <row r="29" spans="1:15" ht="21" customHeight="1">
      <c r="A29" s="34"/>
      <c r="B29" s="35"/>
      <c r="C29" s="35"/>
      <c r="D29" s="35" t="s">
        <v>35</v>
      </c>
      <c r="E29" s="33"/>
      <c r="F29" s="33" t="s">
        <v>57</v>
      </c>
      <c r="G29" s="33" t="s">
        <v>58</v>
      </c>
      <c r="H29" s="1" t="s">
        <v>33</v>
      </c>
      <c r="I29" s="1"/>
      <c r="J29" s="1"/>
      <c r="K29" s="1"/>
      <c r="L29" s="1"/>
      <c r="M29" s="1"/>
      <c r="N29" s="1"/>
      <c r="O29" s="1" t="s">
        <v>41</v>
      </c>
    </row>
    <row r="30" spans="1:15" ht="21" customHeight="1">
      <c r="A30" s="34"/>
      <c r="B30" s="35"/>
      <c r="C30" s="35"/>
      <c r="D30" s="35" t="s">
        <v>35</v>
      </c>
      <c r="E30" s="33"/>
      <c r="F30" s="33"/>
      <c r="G30" s="33"/>
      <c r="H30" s="1" t="s">
        <v>36</v>
      </c>
      <c r="I30" s="1"/>
      <c r="J30" s="1"/>
      <c r="K30" s="1"/>
      <c r="L30" s="1"/>
      <c r="M30" s="1"/>
      <c r="N30" s="1"/>
      <c r="O30" s="1"/>
    </row>
    <row r="31" spans="1:15" ht="21" customHeight="1">
      <c r="A31" s="34"/>
      <c r="B31" s="35"/>
      <c r="C31" s="35"/>
      <c r="D31" s="35" t="s">
        <v>35</v>
      </c>
      <c r="E31" s="33"/>
      <c r="F31" s="33" t="s">
        <v>65</v>
      </c>
      <c r="G31" s="33" t="s">
        <v>66</v>
      </c>
      <c r="H31" s="1" t="s">
        <v>33</v>
      </c>
      <c r="I31" s="1"/>
      <c r="J31" s="1"/>
      <c r="K31" s="5"/>
      <c r="L31" s="1"/>
      <c r="M31" s="1"/>
      <c r="N31" s="1"/>
      <c r="O31" s="1" t="s">
        <v>61</v>
      </c>
    </row>
    <row r="32" spans="1:15" ht="21" customHeight="1">
      <c r="A32" s="34"/>
      <c r="B32" s="35"/>
      <c r="C32" s="35"/>
      <c r="D32" s="35" t="s">
        <v>35</v>
      </c>
      <c r="E32" s="33"/>
      <c r="F32" s="33"/>
      <c r="G32" s="33"/>
      <c r="H32" s="1" t="s">
        <v>36</v>
      </c>
      <c r="I32" s="1"/>
      <c r="J32" s="1"/>
      <c r="K32" s="1"/>
      <c r="L32" s="1"/>
      <c r="M32" s="1"/>
      <c r="N32" s="1"/>
      <c r="O32" s="1"/>
    </row>
    <row r="33" spans="1:15" ht="21" customHeight="1">
      <c r="A33" s="34"/>
      <c r="B33" s="35" t="s">
        <v>67</v>
      </c>
      <c r="C33" s="35" t="s">
        <v>68</v>
      </c>
      <c r="D33" s="35" t="s">
        <v>69</v>
      </c>
      <c r="E33" s="33" t="s">
        <v>70</v>
      </c>
      <c r="F33" s="33" t="s">
        <v>31</v>
      </c>
      <c r="G33" s="33" t="s">
        <v>56</v>
      </c>
      <c r="H33" s="1" t="s">
        <v>33</v>
      </c>
      <c r="I33" s="6"/>
      <c r="J33" s="2"/>
      <c r="K33" s="6"/>
      <c r="L33" s="6"/>
      <c r="M33" s="6"/>
      <c r="N33" s="6"/>
      <c r="O33" s="1" t="s">
        <v>34</v>
      </c>
    </row>
    <row r="34" spans="1:15" ht="21" customHeight="1">
      <c r="A34" s="34"/>
      <c r="B34" s="35"/>
      <c r="C34" s="35"/>
      <c r="D34" s="35" t="s">
        <v>35</v>
      </c>
      <c r="E34" s="33"/>
      <c r="F34" s="33"/>
      <c r="G34" s="33"/>
      <c r="H34" s="1" t="s">
        <v>36</v>
      </c>
      <c r="I34" s="6"/>
      <c r="J34" s="6"/>
      <c r="K34" s="6"/>
      <c r="L34" s="6"/>
      <c r="M34" s="6"/>
      <c r="N34" s="6"/>
      <c r="O34" s="1"/>
    </row>
    <row r="35" spans="1:15" ht="21" customHeight="1">
      <c r="A35" s="34"/>
      <c r="B35" s="35"/>
      <c r="C35" s="35"/>
      <c r="D35" s="35" t="s">
        <v>35</v>
      </c>
      <c r="E35" s="33"/>
      <c r="F35" s="39" t="s">
        <v>71</v>
      </c>
      <c r="G35" s="46" t="s">
        <v>72</v>
      </c>
      <c r="H35" s="1" t="s">
        <v>33</v>
      </c>
      <c r="I35" s="1"/>
      <c r="J35" s="1"/>
      <c r="K35" s="1"/>
      <c r="L35" s="7"/>
      <c r="M35" s="1"/>
      <c r="N35" s="1"/>
      <c r="O35" s="1" t="s">
        <v>73</v>
      </c>
    </row>
    <row r="36" spans="1:15" ht="21" customHeight="1">
      <c r="A36" s="34"/>
      <c r="B36" s="35"/>
      <c r="C36" s="35"/>
      <c r="D36" s="35"/>
      <c r="E36" s="33"/>
      <c r="F36" s="45"/>
      <c r="G36" s="47"/>
      <c r="H36" s="1" t="s">
        <v>36</v>
      </c>
      <c r="I36" s="1"/>
      <c r="J36" s="1"/>
      <c r="K36" s="1"/>
      <c r="L36" s="1"/>
      <c r="M36" s="1"/>
      <c r="N36" s="1"/>
      <c r="O36" s="1" t="s">
        <v>74</v>
      </c>
    </row>
    <row r="37" spans="1:15" ht="21" customHeight="1">
      <c r="A37" s="34"/>
      <c r="B37" s="35"/>
      <c r="C37" s="35"/>
      <c r="D37" s="35"/>
      <c r="E37" s="33"/>
      <c r="F37" s="45"/>
      <c r="G37" s="39" t="s">
        <v>40</v>
      </c>
      <c r="H37" s="1" t="s">
        <v>33</v>
      </c>
      <c r="I37" s="1"/>
      <c r="J37" s="1"/>
      <c r="K37" s="1"/>
      <c r="L37" s="1"/>
      <c r="M37" s="1"/>
      <c r="N37" s="3"/>
      <c r="O37" s="1" t="s">
        <v>41</v>
      </c>
    </row>
    <row r="38" spans="1:15" ht="21" customHeight="1">
      <c r="A38" s="34"/>
      <c r="B38" s="35"/>
      <c r="C38" s="35"/>
      <c r="D38" s="35" t="s">
        <v>35</v>
      </c>
      <c r="E38" s="33"/>
      <c r="F38" s="40"/>
      <c r="G38" s="40"/>
      <c r="H38" s="1" t="s">
        <v>36</v>
      </c>
      <c r="I38" s="1"/>
      <c r="J38" s="1"/>
      <c r="K38" s="1"/>
      <c r="L38" s="1"/>
      <c r="M38" s="1"/>
      <c r="N38" s="1"/>
      <c r="O38" s="1"/>
    </row>
    <row r="39" spans="1:15" ht="42.6" customHeight="1">
      <c r="A39" s="34"/>
      <c r="B39" s="35"/>
      <c r="C39" s="35"/>
      <c r="D39" s="35" t="s">
        <v>35</v>
      </c>
      <c r="E39" s="33"/>
      <c r="F39" s="33" t="s">
        <v>75</v>
      </c>
      <c r="G39" s="44" t="s">
        <v>76</v>
      </c>
      <c r="H39" s="1" t="s">
        <v>33</v>
      </c>
      <c r="I39" s="1"/>
      <c r="J39" s="1"/>
      <c r="K39" s="5"/>
      <c r="L39" s="1"/>
      <c r="M39" s="1"/>
      <c r="N39" s="1"/>
      <c r="O39" s="1" t="s">
        <v>77</v>
      </c>
    </row>
    <row r="40" spans="1:15" ht="42.6" customHeight="1">
      <c r="A40" s="34"/>
      <c r="B40" s="35"/>
      <c r="C40" s="35"/>
      <c r="D40" s="35" t="s">
        <v>35</v>
      </c>
      <c r="E40" s="33"/>
      <c r="F40" s="33"/>
      <c r="G40" s="33"/>
      <c r="H40" s="1" t="s">
        <v>36</v>
      </c>
      <c r="I40" s="1"/>
      <c r="J40" s="1"/>
      <c r="K40" s="1"/>
      <c r="L40" s="1"/>
      <c r="M40" s="1"/>
      <c r="N40" s="1"/>
      <c r="O40" s="1"/>
    </row>
    <row r="41" spans="1:15" ht="31.9" customHeight="1">
      <c r="A41" s="34"/>
      <c r="B41" s="35"/>
      <c r="C41" s="35"/>
      <c r="D41" s="35" t="s">
        <v>35</v>
      </c>
      <c r="E41" s="33"/>
      <c r="F41" s="33" t="s">
        <v>78</v>
      </c>
      <c r="G41" s="44" t="s">
        <v>79</v>
      </c>
      <c r="H41" s="1" t="s">
        <v>33</v>
      </c>
      <c r="I41" s="1"/>
      <c r="J41" s="1"/>
      <c r="K41" s="1"/>
      <c r="L41" s="1"/>
      <c r="M41" s="4"/>
      <c r="N41" s="1"/>
      <c r="O41" s="1" t="s">
        <v>80</v>
      </c>
    </row>
    <row r="42" spans="1:15" ht="21" customHeight="1">
      <c r="A42" s="34"/>
      <c r="B42" s="35"/>
      <c r="C42" s="35"/>
      <c r="D42" s="35" t="s">
        <v>35</v>
      </c>
      <c r="E42" s="33"/>
      <c r="F42" s="33"/>
      <c r="G42" s="33"/>
      <c r="H42" s="1" t="s">
        <v>81</v>
      </c>
      <c r="I42" s="1"/>
      <c r="J42" s="1"/>
      <c r="K42" s="1"/>
      <c r="L42" s="1"/>
      <c r="M42" s="1"/>
      <c r="N42" s="1"/>
      <c r="O42" s="1"/>
    </row>
    <row r="43" spans="1:15" ht="21" customHeight="1">
      <c r="A43" s="34"/>
      <c r="B43" s="35"/>
      <c r="C43" s="35"/>
      <c r="D43" s="35" t="s">
        <v>35</v>
      </c>
      <c r="E43" s="33"/>
      <c r="F43" s="33" t="s">
        <v>82</v>
      </c>
      <c r="G43" s="33" t="s">
        <v>83</v>
      </c>
      <c r="H43" s="1" t="s">
        <v>84</v>
      </c>
      <c r="I43" s="1"/>
      <c r="J43" s="1"/>
      <c r="K43" s="5"/>
      <c r="L43" s="1"/>
      <c r="M43" s="1"/>
      <c r="N43" s="1"/>
      <c r="O43" s="1" t="s">
        <v>85</v>
      </c>
    </row>
    <row r="44" spans="1:15" ht="21" customHeight="1">
      <c r="A44" s="34"/>
      <c r="B44" s="35"/>
      <c r="C44" s="35"/>
      <c r="D44" s="35" t="s">
        <v>35</v>
      </c>
      <c r="E44" s="33"/>
      <c r="F44" s="33"/>
      <c r="G44" s="33"/>
      <c r="H44" s="1" t="s">
        <v>36</v>
      </c>
      <c r="I44" s="1"/>
      <c r="J44" s="1"/>
      <c r="K44" s="1"/>
      <c r="L44" s="1"/>
      <c r="M44" s="1"/>
      <c r="N44" s="1"/>
      <c r="O44" s="1"/>
    </row>
    <row r="45" spans="1:15" ht="21" customHeight="1">
      <c r="A45" s="34"/>
      <c r="B45" s="35" t="s">
        <v>86</v>
      </c>
      <c r="C45" s="35" t="s">
        <v>87</v>
      </c>
      <c r="D45" s="35" t="s">
        <v>88</v>
      </c>
      <c r="E45" s="33" t="s">
        <v>70</v>
      </c>
      <c r="F45" s="33" t="s">
        <v>31</v>
      </c>
      <c r="G45" s="33" t="s">
        <v>56</v>
      </c>
      <c r="H45" s="1" t="s">
        <v>33</v>
      </c>
      <c r="I45" s="6"/>
      <c r="J45" s="2"/>
      <c r="K45" s="6"/>
      <c r="L45" s="6"/>
      <c r="M45" s="6"/>
      <c r="N45" s="6"/>
      <c r="O45" s="1" t="s">
        <v>34</v>
      </c>
    </row>
    <row r="46" spans="1:15" ht="21" customHeight="1">
      <c r="A46" s="34"/>
      <c r="B46" s="35"/>
      <c r="C46" s="35"/>
      <c r="D46" s="35" t="s">
        <v>35</v>
      </c>
      <c r="E46" s="33"/>
      <c r="F46" s="33"/>
      <c r="G46" s="33"/>
      <c r="H46" s="1" t="s">
        <v>36</v>
      </c>
      <c r="I46" s="6"/>
      <c r="J46" s="6"/>
      <c r="K46" s="6"/>
      <c r="L46" s="6"/>
      <c r="M46" s="6"/>
      <c r="N46" s="6"/>
      <c r="O46" s="1"/>
    </row>
    <row r="47" spans="1:15" ht="21" customHeight="1">
      <c r="A47" s="34"/>
      <c r="B47" s="35"/>
      <c r="C47" s="35"/>
      <c r="D47" s="35" t="s">
        <v>35</v>
      </c>
      <c r="E47" s="33"/>
      <c r="F47" s="33" t="s">
        <v>89</v>
      </c>
      <c r="G47" s="33" t="s">
        <v>90</v>
      </c>
      <c r="H47" s="1" t="s">
        <v>91</v>
      </c>
      <c r="I47" s="6"/>
      <c r="J47" s="6"/>
      <c r="K47" s="6"/>
      <c r="L47" s="7"/>
      <c r="M47" s="6"/>
      <c r="N47" s="6"/>
      <c r="O47" s="1" t="s">
        <v>73</v>
      </c>
    </row>
    <row r="48" spans="1:15" ht="21" customHeight="1">
      <c r="A48" s="34"/>
      <c r="B48" s="35"/>
      <c r="C48" s="35"/>
      <c r="D48" s="35" t="s">
        <v>35</v>
      </c>
      <c r="E48" s="33"/>
      <c r="F48" s="33"/>
      <c r="G48" s="33"/>
      <c r="H48" s="1" t="s">
        <v>36</v>
      </c>
      <c r="I48" s="6"/>
      <c r="J48" s="6"/>
      <c r="K48" s="6"/>
      <c r="L48" s="6"/>
      <c r="M48" s="6"/>
      <c r="N48" s="6"/>
      <c r="O48" s="1"/>
    </row>
    <row r="49" spans="1:15" ht="21" customHeight="1">
      <c r="A49" s="34"/>
      <c r="B49" s="35"/>
      <c r="C49" s="35"/>
      <c r="D49" s="35" t="s">
        <v>35</v>
      </c>
      <c r="E49" s="33"/>
      <c r="F49" s="33"/>
      <c r="G49" s="33" t="s">
        <v>92</v>
      </c>
      <c r="H49" s="1" t="s">
        <v>33</v>
      </c>
      <c r="I49" s="6"/>
      <c r="J49" s="6"/>
      <c r="K49" s="6"/>
      <c r="L49" s="6"/>
      <c r="M49" s="6"/>
      <c r="N49" s="3"/>
      <c r="O49" s="1" t="s">
        <v>93</v>
      </c>
    </row>
    <row r="50" spans="1:15" ht="21" customHeight="1">
      <c r="A50" s="34"/>
      <c r="B50" s="35"/>
      <c r="C50" s="35"/>
      <c r="D50" s="35" t="s">
        <v>35</v>
      </c>
      <c r="E50" s="33"/>
      <c r="F50" s="33"/>
      <c r="G50" s="33"/>
      <c r="H50" s="1" t="s">
        <v>36</v>
      </c>
      <c r="I50" s="6"/>
      <c r="J50" s="6"/>
      <c r="K50" s="6"/>
      <c r="L50" s="6"/>
      <c r="M50" s="6"/>
      <c r="N50" s="6"/>
      <c r="O50" s="1"/>
    </row>
    <row r="51" spans="1:15" s="11" customFormat="1" ht="30.6" customHeight="1">
      <c r="A51" s="34"/>
      <c r="B51" s="35"/>
      <c r="C51" s="35"/>
      <c r="D51" s="35" t="s">
        <v>35</v>
      </c>
      <c r="E51" s="33"/>
      <c r="F51" s="44" t="s">
        <v>94</v>
      </c>
      <c r="G51" s="44" t="s">
        <v>95</v>
      </c>
      <c r="H51" s="8" t="s">
        <v>91</v>
      </c>
      <c r="I51" s="9"/>
      <c r="J51" s="9"/>
      <c r="K51" s="10"/>
      <c r="L51" s="9"/>
      <c r="M51" s="9"/>
      <c r="N51" s="9"/>
      <c r="O51" s="8" t="s">
        <v>96</v>
      </c>
    </row>
    <row r="52" spans="1:15" s="11" customFormat="1" ht="30.6" customHeight="1">
      <c r="A52" s="34"/>
      <c r="B52" s="35"/>
      <c r="C52" s="35"/>
      <c r="D52" s="35" t="s">
        <v>35</v>
      </c>
      <c r="E52" s="33"/>
      <c r="F52" s="44"/>
      <c r="G52" s="44"/>
      <c r="H52" s="8" t="s">
        <v>36</v>
      </c>
      <c r="I52" s="9"/>
      <c r="J52" s="9"/>
      <c r="K52" s="9"/>
      <c r="L52" s="9"/>
      <c r="M52" s="9"/>
      <c r="N52" s="9"/>
      <c r="O52" s="8"/>
    </row>
    <row r="53" spans="1:15" s="11" customFormat="1" ht="30.6" customHeight="1">
      <c r="A53" s="34"/>
      <c r="B53" s="35"/>
      <c r="C53" s="35"/>
      <c r="D53" s="35" t="s">
        <v>35</v>
      </c>
      <c r="E53" s="33"/>
      <c r="F53" s="44"/>
      <c r="G53" s="44" t="s">
        <v>97</v>
      </c>
      <c r="H53" s="8" t="s">
        <v>33</v>
      </c>
      <c r="I53" s="9"/>
      <c r="J53" s="9"/>
      <c r="K53" s="9"/>
      <c r="L53" s="9"/>
      <c r="M53" s="9"/>
      <c r="N53" s="12"/>
      <c r="O53" s="8" t="s">
        <v>98</v>
      </c>
    </row>
    <row r="54" spans="1:15" s="11" customFormat="1" ht="30.6" customHeight="1">
      <c r="A54" s="34"/>
      <c r="B54" s="35"/>
      <c r="C54" s="35"/>
      <c r="D54" s="35" t="s">
        <v>35</v>
      </c>
      <c r="E54" s="33"/>
      <c r="F54" s="44"/>
      <c r="G54" s="44"/>
      <c r="H54" s="8" t="s">
        <v>36</v>
      </c>
      <c r="I54" s="9"/>
      <c r="J54" s="9"/>
      <c r="K54" s="9"/>
      <c r="L54" s="9"/>
      <c r="M54" s="9"/>
      <c r="N54" s="9"/>
      <c r="O54" s="8"/>
    </row>
    <row r="55" spans="1:15" ht="21" customHeight="1">
      <c r="A55" s="34"/>
      <c r="B55" s="35"/>
      <c r="C55" s="35"/>
      <c r="D55" s="35" t="s">
        <v>35</v>
      </c>
      <c r="E55" s="33"/>
      <c r="F55" s="33" t="s">
        <v>99</v>
      </c>
      <c r="G55" s="33" t="s">
        <v>43</v>
      </c>
      <c r="H55" s="1" t="s">
        <v>33</v>
      </c>
      <c r="I55" s="6"/>
      <c r="J55" s="2"/>
      <c r="K55" s="6"/>
      <c r="L55" s="6"/>
      <c r="M55" s="6"/>
      <c r="N55" s="6"/>
      <c r="O55" s="1" t="s">
        <v>77</v>
      </c>
    </row>
    <row r="56" spans="1:15" ht="21" customHeight="1">
      <c r="A56" s="34"/>
      <c r="B56" s="35"/>
      <c r="C56" s="35"/>
      <c r="D56" s="35" t="s">
        <v>35</v>
      </c>
      <c r="E56" s="33"/>
      <c r="F56" s="33"/>
      <c r="G56" s="33"/>
      <c r="H56" s="1" t="s">
        <v>36</v>
      </c>
      <c r="I56" s="6"/>
      <c r="J56" s="6"/>
      <c r="K56" s="6"/>
      <c r="L56" s="6"/>
      <c r="M56" s="6"/>
      <c r="N56" s="6"/>
      <c r="O56" s="1"/>
    </row>
    <row r="57" spans="1:15" ht="21" customHeight="1">
      <c r="A57" s="34"/>
      <c r="B57" s="35"/>
      <c r="C57" s="35"/>
      <c r="D57" s="35" t="s">
        <v>35</v>
      </c>
      <c r="E57" s="33"/>
      <c r="F57" s="33" t="s">
        <v>100</v>
      </c>
      <c r="G57" s="33" t="s">
        <v>101</v>
      </c>
      <c r="H57" s="1" t="s">
        <v>33</v>
      </c>
      <c r="I57" s="6"/>
      <c r="J57" s="2"/>
      <c r="K57" s="6"/>
      <c r="L57" s="6"/>
      <c r="M57" s="6"/>
      <c r="N57" s="6"/>
      <c r="O57" s="1" t="s">
        <v>77</v>
      </c>
    </row>
    <row r="58" spans="1:15" ht="21" customHeight="1">
      <c r="A58" s="34"/>
      <c r="B58" s="35"/>
      <c r="C58" s="35"/>
      <c r="D58" s="35" t="s">
        <v>35</v>
      </c>
      <c r="E58" s="33"/>
      <c r="F58" s="33"/>
      <c r="G58" s="33"/>
      <c r="H58" s="1" t="s">
        <v>36</v>
      </c>
      <c r="I58" s="6"/>
      <c r="J58" s="6"/>
      <c r="K58" s="6"/>
      <c r="L58" s="6"/>
      <c r="M58" s="6"/>
      <c r="N58" s="6"/>
      <c r="O58" s="1"/>
    </row>
    <row r="59" spans="1:15" ht="21" customHeight="1">
      <c r="A59" s="34"/>
      <c r="B59" s="35"/>
      <c r="C59" s="35"/>
      <c r="D59" s="35" t="s">
        <v>35</v>
      </c>
      <c r="E59" s="33"/>
      <c r="F59" s="33" t="s">
        <v>102</v>
      </c>
      <c r="G59" s="33" t="s">
        <v>43</v>
      </c>
      <c r="H59" s="1" t="s">
        <v>33</v>
      </c>
      <c r="I59" s="6"/>
      <c r="J59" s="2"/>
      <c r="K59" s="6"/>
      <c r="L59" s="6"/>
      <c r="M59" s="6"/>
      <c r="N59" s="6"/>
      <c r="O59" s="1" t="s">
        <v>77</v>
      </c>
    </row>
    <row r="60" spans="1:15" ht="21" customHeight="1">
      <c r="A60" s="34"/>
      <c r="B60" s="35"/>
      <c r="C60" s="35"/>
      <c r="D60" s="35" t="s">
        <v>35</v>
      </c>
      <c r="E60" s="33"/>
      <c r="F60" s="33"/>
      <c r="G60" s="33"/>
      <c r="H60" s="1" t="s">
        <v>36</v>
      </c>
      <c r="I60" s="6"/>
      <c r="J60" s="6"/>
      <c r="K60" s="6"/>
      <c r="L60" s="6"/>
      <c r="M60" s="6"/>
      <c r="N60" s="6"/>
      <c r="O60" s="1"/>
    </row>
    <row r="61" spans="1:15" ht="21" customHeight="1">
      <c r="A61" s="34"/>
      <c r="B61" s="35"/>
      <c r="C61" s="35"/>
      <c r="D61" s="35" t="s">
        <v>35</v>
      </c>
      <c r="E61" s="33"/>
      <c r="F61" s="33" t="s">
        <v>59</v>
      </c>
      <c r="G61" s="33" t="s">
        <v>103</v>
      </c>
      <c r="H61" s="1" t="s">
        <v>104</v>
      </c>
      <c r="I61" s="6"/>
      <c r="J61" s="2"/>
      <c r="K61" s="6"/>
      <c r="L61" s="6"/>
      <c r="M61" s="6"/>
      <c r="N61" s="6"/>
      <c r="O61" s="1" t="s">
        <v>34</v>
      </c>
    </row>
    <row r="62" spans="1:15" ht="21" customHeight="1">
      <c r="A62" s="34"/>
      <c r="B62" s="35"/>
      <c r="C62" s="35"/>
      <c r="D62" s="35" t="s">
        <v>35</v>
      </c>
      <c r="E62" s="33"/>
      <c r="F62" s="33"/>
      <c r="G62" s="33"/>
      <c r="H62" s="1" t="s">
        <v>36</v>
      </c>
      <c r="I62" s="6"/>
      <c r="J62" s="6"/>
      <c r="K62" s="6"/>
      <c r="L62" s="6"/>
      <c r="M62" s="6"/>
      <c r="N62" s="6"/>
      <c r="O62" s="1"/>
    </row>
    <row r="63" spans="1:15" ht="21" customHeight="1">
      <c r="A63" s="34"/>
      <c r="B63" s="35"/>
      <c r="C63" s="35"/>
      <c r="D63" s="35" t="s">
        <v>35</v>
      </c>
      <c r="E63" s="33"/>
      <c r="F63" s="33" t="s">
        <v>105</v>
      </c>
      <c r="G63" s="33" t="s">
        <v>106</v>
      </c>
      <c r="H63" s="1" t="s">
        <v>104</v>
      </c>
      <c r="I63" s="6"/>
      <c r="J63" s="2"/>
      <c r="K63" s="6"/>
      <c r="L63" s="6"/>
      <c r="M63" s="6"/>
      <c r="N63" s="6"/>
      <c r="O63" s="1" t="s">
        <v>34</v>
      </c>
    </row>
    <row r="64" spans="1:15" ht="21" customHeight="1">
      <c r="A64" s="34"/>
      <c r="B64" s="35"/>
      <c r="C64" s="35"/>
      <c r="D64" s="35" t="s">
        <v>35</v>
      </c>
      <c r="E64" s="33"/>
      <c r="F64" s="33"/>
      <c r="G64" s="33"/>
      <c r="H64" s="1" t="s">
        <v>36</v>
      </c>
      <c r="I64" s="6"/>
      <c r="J64" s="6"/>
      <c r="K64" s="6"/>
      <c r="L64" s="6"/>
      <c r="M64" s="6"/>
      <c r="N64" s="6"/>
      <c r="O64" s="1"/>
    </row>
    <row r="65" spans="1:15" ht="28.9" customHeight="1">
      <c r="A65" s="34"/>
      <c r="B65" s="35"/>
      <c r="C65" s="35"/>
      <c r="D65" s="35" t="s">
        <v>35</v>
      </c>
      <c r="E65" s="33"/>
      <c r="F65" s="33" t="s">
        <v>107</v>
      </c>
      <c r="G65" s="44" t="s">
        <v>79</v>
      </c>
      <c r="H65" s="1" t="s">
        <v>33</v>
      </c>
      <c r="I65" s="6"/>
      <c r="J65" s="6"/>
      <c r="K65" s="6"/>
      <c r="L65" s="6"/>
      <c r="M65" s="4"/>
      <c r="N65" s="6"/>
      <c r="O65" s="1" t="s">
        <v>80</v>
      </c>
    </row>
    <row r="66" spans="1:15" ht="28.9" customHeight="1">
      <c r="A66" s="34"/>
      <c r="B66" s="35"/>
      <c r="C66" s="35"/>
      <c r="D66" s="35" t="s">
        <v>35</v>
      </c>
      <c r="E66" s="33"/>
      <c r="F66" s="33"/>
      <c r="G66" s="33"/>
      <c r="H66" s="1" t="s">
        <v>36</v>
      </c>
      <c r="I66" s="6"/>
      <c r="J66" s="6"/>
      <c r="K66" s="6"/>
      <c r="L66" s="6"/>
      <c r="M66" s="6"/>
      <c r="N66" s="6"/>
      <c r="O66" s="1"/>
    </row>
    <row r="67" spans="1:15" ht="21" customHeight="1">
      <c r="A67" s="34"/>
      <c r="B67" s="35" t="s">
        <v>108</v>
      </c>
      <c r="C67" s="35" t="s">
        <v>109</v>
      </c>
      <c r="D67" s="35" t="s">
        <v>110</v>
      </c>
      <c r="E67" s="33" t="s">
        <v>55</v>
      </c>
      <c r="F67" s="33" t="s">
        <v>111</v>
      </c>
      <c r="G67" s="33" t="s">
        <v>56</v>
      </c>
      <c r="H67" s="1" t="s">
        <v>33</v>
      </c>
      <c r="I67" s="1"/>
      <c r="J67" s="2"/>
      <c r="K67" s="1"/>
      <c r="L67" s="1"/>
      <c r="M67" s="1"/>
      <c r="N67" s="1"/>
      <c r="O67" s="1" t="s">
        <v>34</v>
      </c>
    </row>
    <row r="68" spans="1:15" ht="21" customHeight="1">
      <c r="A68" s="34"/>
      <c r="B68" s="35"/>
      <c r="C68" s="35"/>
      <c r="D68" s="35" t="s">
        <v>35</v>
      </c>
      <c r="E68" s="33"/>
      <c r="F68" s="33"/>
      <c r="G68" s="33"/>
      <c r="H68" s="1" t="s">
        <v>36</v>
      </c>
      <c r="I68" s="1"/>
      <c r="J68" s="1"/>
      <c r="K68" s="1"/>
      <c r="L68" s="1"/>
      <c r="M68" s="1"/>
      <c r="N68" s="1"/>
      <c r="O68" s="1"/>
    </row>
    <row r="69" spans="1:15" ht="21" customHeight="1">
      <c r="A69" s="34"/>
      <c r="B69" s="35"/>
      <c r="C69" s="35"/>
      <c r="D69" s="35" t="s">
        <v>35</v>
      </c>
      <c r="E69" s="33"/>
      <c r="F69" s="33" t="s">
        <v>112</v>
      </c>
      <c r="G69" s="33" t="s">
        <v>40</v>
      </c>
      <c r="H69" s="1" t="s">
        <v>33</v>
      </c>
      <c r="I69" s="1"/>
      <c r="J69" s="1"/>
      <c r="K69" s="1"/>
      <c r="L69" s="1"/>
      <c r="M69" s="1"/>
      <c r="N69" s="3"/>
      <c r="O69" s="1" t="s">
        <v>41</v>
      </c>
    </row>
    <row r="70" spans="1:15" ht="21" customHeight="1">
      <c r="A70" s="34"/>
      <c r="B70" s="35"/>
      <c r="C70" s="35"/>
      <c r="D70" s="35" t="s">
        <v>35</v>
      </c>
      <c r="E70" s="33"/>
      <c r="F70" s="33"/>
      <c r="G70" s="33"/>
      <c r="H70" s="1" t="s">
        <v>36</v>
      </c>
      <c r="I70" s="1"/>
      <c r="J70" s="1"/>
      <c r="K70" s="1"/>
      <c r="L70" s="1"/>
      <c r="M70" s="1"/>
      <c r="N70" s="1"/>
      <c r="O70" s="1"/>
    </row>
    <row r="71" spans="1:15" ht="21" customHeight="1">
      <c r="A71" s="34"/>
      <c r="B71" s="35"/>
      <c r="C71" s="35"/>
      <c r="D71" s="35" t="s">
        <v>35</v>
      </c>
      <c r="E71" s="33"/>
      <c r="F71" s="33" t="s">
        <v>113</v>
      </c>
      <c r="G71" s="33" t="s">
        <v>66</v>
      </c>
      <c r="H71" s="1" t="s">
        <v>33</v>
      </c>
      <c r="I71" s="1"/>
      <c r="J71" s="2"/>
      <c r="K71" s="1"/>
      <c r="L71" s="1"/>
      <c r="M71" s="1"/>
      <c r="N71" s="1"/>
      <c r="O71" s="1" t="s">
        <v>114</v>
      </c>
    </row>
    <row r="72" spans="1:15" ht="21" customHeight="1">
      <c r="A72" s="34"/>
      <c r="B72" s="35"/>
      <c r="C72" s="35"/>
      <c r="D72" s="35" t="s">
        <v>35</v>
      </c>
      <c r="E72" s="33"/>
      <c r="F72" s="33"/>
      <c r="G72" s="33"/>
      <c r="H72" s="1" t="s">
        <v>36</v>
      </c>
      <c r="I72" s="1"/>
      <c r="J72" s="1"/>
      <c r="K72" s="1"/>
      <c r="L72" s="1"/>
      <c r="M72" s="1"/>
      <c r="N72" s="1"/>
      <c r="O72" s="1"/>
    </row>
    <row r="73" spans="1:15" ht="21" customHeight="1">
      <c r="A73" s="34"/>
      <c r="B73" s="35"/>
      <c r="C73" s="35"/>
      <c r="D73" s="35" t="s">
        <v>35</v>
      </c>
      <c r="E73" s="33"/>
      <c r="F73" s="33" t="s">
        <v>115</v>
      </c>
      <c r="G73" s="33" t="s">
        <v>66</v>
      </c>
      <c r="H73" s="1" t="s">
        <v>33</v>
      </c>
      <c r="I73" s="1"/>
      <c r="J73" s="2"/>
      <c r="K73" s="1"/>
      <c r="L73" s="1"/>
      <c r="M73" s="1"/>
      <c r="N73" s="1"/>
      <c r="O73" s="1" t="s">
        <v>50</v>
      </c>
    </row>
    <row r="74" spans="1:15" ht="21" customHeight="1">
      <c r="A74" s="34"/>
      <c r="B74" s="35"/>
      <c r="C74" s="35"/>
      <c r="D74" s="35" t="s">
        <v>35</v>
      </c>
      <c r="E74" s="33"/>
      <c r="F74" s="33"/>
      <c r="G74" s="33"/>
      <c r="H74" s="1" t="s">
        <v>36</v>
      </c>
      <c r="I74" s="1"/>
      <c r="J74" s="1"/>
      <c r="K74" s="1"/>
      <c r="L74" s="1"/>
      <c r="M74" s="1"/>
      <c r="N74" s="1"/>
      <c r="O74" s="1"/>
    </row>
    <row r="75" spans="1:15" ht="21" customHeight="1">
      <c r="A75" s="34"/>
      <c r="B75" s="35"/>
      <c r="C75" s="35"/>
      <c r="D75" s="35" t="s">
        <v>35</v>
      </c>
      <c r="E75" s="33"/>
      <c r="F75" s="33" t="s">
        <v>116</v>
      </c>
      <c r="G75" s="33" t="s">
        <v>66</v>
      </c>
      <c r="H75" s="1" t="s">
        <v>33</v>
      </c>
      <c r="I75" s="1"/>
      <c r="J75" s="2"/>
      <c r="K75" s="1"/>
      <c r="L75" s="1"/>
      <c r="M75" s="1"/>
      <c r="N75" s="1"/>
      <c r="O75" s="1" t="s">
        <v>77</v>
      </c>
    </row>
    <row r="76" spans="1:15" ht="21" customHeight="1">
      <c r="A76" s="34"/>
      <c r="B76" s="35"/>
      <c r="C76" s="35"/>
      <c r="D76" s="35" t="s">
        <v>35</v>
      </c>
      <c r="E76" s="33"/>
      <c r="F76" s="33"/>
      <c r="G76" s="33"/>
      <c r="H76" s="1" t="s">
        <v>36</v>
      </c>
      <c r="I76" s="1"/>
      <c r="J76" s="1"/>
      <c r="K76" s="1"/>
      <c r="L76" s="1"/>
      <c r="M76" s="1"/>
      <c r="N76" s="1"/>
      <c r="O76" s="1"/>
    </row>
    <row r="77" spans="1:15" ht="21" customHeight="1">
      <c r="A77" s="34"/>
      <c r="B77" s="35"/>
      <c r="C77" s="35"/>
      <c r="D77" s="35" t="s">
        <v>35</v>
      </c>
      <c r="E77" s="33"/>
      <c r="F77" s="33" t="s">
        <v>117</v>
      </c>
      <c r="G77" s="33" t="s">
        <v>66</v>
      </c>
      <c r="H77" s="1" t="s">
        <v>33</v>
      </c>
      <c r="I77" s="1"/>
      <c r="J77" s="2"/>
      <c r="K77" s="1"/>
      <c r="L77" s="1"/>
      <c r="M77" s="1"/>
      <c r="N77" s="1"/>
      <c r="O77" s="1" t="s">
        <v>34</v>
      </c>
    </row>
    <row r="78" spans="1:15" ht="21" customHeight="1">
      <c r="A78" s="34"/>
      <c r="B78" s="35"/>
      <c r="C78" s="35"/>
      <c r="D78" s="35" t="s">
        <v>35</v>
      </c>
      <c r="E78" s="33"/>
      <c r="F78" s="33"/>
      <c r="G78" s="33"/>
      <c r="H78" s="1" t="s">
        <v>36</v>
      </c>
      <c r="I78" s="1"/>
      <c r="J78" s="1"/>
      <c r="K78" s="1"/>
      <c r="L78" s="1"/>
      <c r="M78" s="1"/>
      <c r="N78" s="1"/>
      <c r="O78" s="1"/>
    </row>
    <row r="79" spans="1:15" ht="21" customHeight="1">
      <c r="A79" s="34"/>
      <c r="B79" s="35" t="s">
        <v>118</v>
      </c>
      <c r="C79" s="35" t="s">
        <v>119</v>
      </c>
      <c r="D79" s="35" t="s">
        <v>120</v>
      </c>
      <c r="E79" s="33" t="s">
        <v>55</v>
      </c>
      <c r="F79" s="33" t="s">
        <v>31</v>
      </c>
      <c r="G79" s="33" t="s">
        <v>56</v>
      </c>
      <c r="H79" s="1" t="s">
        <v>33</v>
      </c>
      <c r="I79" s="1"/>
      <c r="J79" s="2"/>
      <c r="K79" s="1"/>
      <c r="L79" s="1"/>
      <c r="M79" s="1"/>
      <c r="N79" s="1"/>
      <c r="O79" s="1" t="s">
        <v>34</v>
      </c>
    </row>
    <row r="80" spans="1:15" ht="21" customHeight="1">
      <c r="A80" s="34"/>
      <c r="B80" s="35"/>
      <c r="C80" s="35"/>
      <c r="D80" s="35" t="s">
        <v>35</v>
      </c>
      <c r="E80" s="33"/>
      <c r="F80" s="33"/>
      <c r="G80" s="33"/>
      <c r="H80" s="1" t="s">
        <v>36</v>
      </c>
      <c r="I80" s="1"/>
      <c r="J80" s="1"/>
      <c r="K80" s="1"/>
      <c r="L80" s="1"/>
      <c r="M80" s="1"/>
      <c r="N80" s="1"/>
      <c r="O80" s="1"/>
    </row>
    <row r="81" spans="1:15" ht="21" customHeight="1">
      <c r="A81" s="34"/>
      <c r="B81" s="35"/>
      <c r="C81" s="35"/>
      <c r="D81" s="35" t="s">
        <v>35</v>
      </c>
      <c r="E81" s="33"/>
      <c r="F81" s="33" t="s">
        <v>57</v>
      </c>
      <c r="G81" s="33" t="s">
        <v>40</v>
      </c>
      <c r="H81" s="1" t="s">
        <v>33</v>
      </c>
      <c r="I81" s="1"/>
      <c r="J81" s="1"/>
      <c r="K81" s="1"/>
      <c r="L81" s="1"/>
      <c r="M81" s="1"/>
      <c r="N81" s="3"/>
      <c r="O81" s="1" t="s">
        <v>41</v>
      </c>
    </row>
    <row r="82" spans="1:15" ht="21" customHeight="1">
      <c r="A82" s="34"/>
      <c r="B82" s="35"/>
      <c r="C82" s="35"/>
      <c r="D82" s="35" t="s">
        <v>35</v>
      </c>
      <c r="E82" s="33"/>
      <c r="F82" s="33"/>
      <c r="G82" s="33"/>
      <c r="H82" s="1" t="s">
        <v>36</v>
      </c>
      <c r="I82" s="1"/>
      <c r="J82" s="1"/>
      <c r="K82" s="1"/>
      <c r="L82" s="1"/>
      <c r="M82" s="1"/>
      <c r="N82" s="1"/>
      <c r="O82" s="1"/>
    </row>
    <row r="83" spans="1:15" ht="21" customHeight="1">
      <c r="A83" s="34"/>
      <c r="B83" s="35"/>
      <c r="C83" s="35"/>
      <c r="D83" s="35" t="s">
        <v>35</v>
      </c>
      <c r="E83" s="33"/>
      <c r="F83" s="33" t="s">
        <v>121</v>
      </c>
      <c r="G83" s="33" t="s">
        <v>66</v>
      </c>
      <c r="H83" s="1" t="s">
        <v>33</v>
      </c>
      <c r="I83" s="1"/>
      <c r="J83" s="2"/>
      <c r="K83" s="1"/>
      <c r="L83" s="1"/>
      <c r="M83" s="1"/>
      <c r="N83" s="1"/>
      <c r="O83" s="1" t="s">
        <v>114</v>
      </c>
    </row>
    <row r="84" spans="1:15" ht="21" customHeight="1">
      <c r="A84" s="34"/>
      <c r="B84" s="35"/>
      <c r="C84" s="35"/>
      <c r="D84" s="35" t="s">
        <v>35</v>
      </c>
      <c r="E84" s="33"/>
      <c r="F84" s="33"/>
      <c r="G84" s="33"/>
      <c r="H84" s="1" t="s">
        <v>36</v>
      </c>
      <c r="I84" s="1"/>
      <c r="J84" s="1"/>
      <c r="K84" s="1"/>
      <c r="L84" s="1"/>
      <c r="M84" s="1"/>
      <c r="N84" s="1"/>
      <c r="O84" s="1"/>
    </row>
    <row r="85" spans="1:15" ht="21" customHeight="1">
      <c r="A85" s="34"/>
      <c r="B85" s="35"/>
      <c r="C85" s="35"/>
      <c r="D85" s="35" t="s">
        <v>35</v>
      </c>
      <c r="E85" s="33"/>
      <c r="F85" s="33" t="s">
        <v>122</v>
      </c>
      <c r="G85" s="33" t="s">
        <v>66</v>
      </c>
      <c r="H85" s="1" t="s">
        <v>33</v>
      </c>
      <c r="I85" s="1"/>
      <c r="J85" s="2"/>
      <c r="K85" s="1"/>
      <c r="L85" s="1"/>
      <c r="M85" s="1"/>
      <c r="N85" s="1"/>
      <c r="O85" s="1" t="s">
        <v>50</v>
      </c>
    </row>
    <row r="86" spans="1:15" ht="21" customHeight="1">
      <c r="A86" s="34"/>
      <c r="B86" s="35"/>
      <c r="C86" s="35"/>
      <c r="D86" s="35" t="s">
        <v>35</v>
      </c>
      <c r="E86" s="33"/>
      <c r="F86" s="33"/>
      <c r="G86" s="33"/>
      <c r="H86" s="1" t="s">
        <v>36</v>
      </c>
      <c r="I86" s="1"/>
      <c r="J86" s="1"/>
      <c r="K86" s="1"/>
      <c r="L86" s="1"/>
      <c r="M86" s="1"/>
      <c r="N86" s="1"/>
      <c r="O86" s="1"/>
    </row>
    <row r="87" spans="1:15" ht="21" customHeight="1">
      <c r="A87" s="34"/>
      <c r="B87" s="35"/>
      <c r="C87" s="35"/>
      <c r="D87" s="35" t="s">
        <v>35</v>
      </c>
      <c r="E87" s="33"/>
      <c r="F87" s="33" t="s">
        <v>123</v>
      </c>
      <c r="G87" s="33" t="s">
        <v>66</v>
      </c>
      <c r="H87" s="1" t="s">
        <v>33</v>
      </c>
      <c r="I87" s="1"/>
      <c r="J87" s="2"/>
      <c r="K87" s="1"/>
      <c r="L87" s="1"/>
      <c r="M87" s="1"/>
      <c r="N87" s="1"/>
      <c r="O87" s="1" t="s">
        <v>77</v>
      </c>
    </row>
    <row r="88" spans="1:15" ht="21" customHeight="1">
      <c r="A88" s="34"/>
      <c r="B88" s="35"/>
      <c r="C88" s="35"/>
      <c r="D88" s="35" t="s">
        <v>35</v>
      </c>
      <c r="E88" s="33"/>
      <c r="F88" s="33"/>
      <c r="G88" s="33"/>
      <c r="H88" s="1" t="s">
        <v>36</v>
      </c>
      <c r="I88" s="1"/>
      <c r="J88" s="1"/>
      <c r="K88" s="1"/>
      <c r="L88" s="1"/>
      <c r="M88" s="1"/>
      <c r="N88" s="1"/>
      <c r="O88" s="1"/>
    </row>
    <row r="89" spans="1:15" ht="21" customHeight="1">
      <c r="A89" s="34"/>
      <c r="B89" s="35"/>
      <c r="C89" s="35"/>
      <c r="D89" s="35" t="s">
        <v>35</v>
      </c>
      <c r="E89" s="33"/>
      <c r="F89" s="33" t="s">
        <v>117</v>
      </c>
      <c r="G89" s="33" t="s">
        <v>66</v>
      </c>
      <c r="H89" s="1" t="s">
        <v>33</v>
      </c>
      <c r="I89" s="1"/>
      <c r="J89" s="2"/>
      <c r="K89" s="1"/>
      <c r="L89" s="1"/>
      <c r="M89" s="1"/>
      <c r="N89" s="1"/>
      <c r="O89" s="1" t="s">
        <v>34</v>
      </c>
    </row>
    <row r="90" spans="1:15" ht="21" customHeight="1">
      <c r="A90" s="34"/>
      <c r="B90" s="35"/>
      <c r="C90" s="35"/>
      <c r="D90" s="35" t="s">
        <v>35</v>
      </c>
      <c r="E90" s="33"/>
      <c r="F90" s="33"/>
      <c r="G90" s="33"/>
      <c r="H90" s="1" t="s">
        <v>36</v>
      </c>
      <c r="I90" s="1"/>
      <c r="J90" s="1"/>
      <c r="K90" s="1"/>
      <c r="L90" s="1"/>
      <c r="M90" s="1"/>
      <c r="N90" s="1"/>
      <c r="O90" s="1"/>
    </row>
    <row r="91" spans="1:15" ht="21" customHeight="1">
      <c r="A91" s="34" t="s">
        <v>124</v>
      </c>
      <c r="B91" s="35" t="s">
        <v>125</v>
      </c>
      <c r="C91" s="35" t="s">
        <v>126</v>
      </c>
      <c r="D91" s="35" t="s">
        <v>127</v>
      </c>
      <c r="E91" s="33" t="s">
        <v>128</v>
      </c>
      <c r="F91" s="33" t="s">
        <v>31</v>
      </c>
      <c r="G91" s="33" t="s">
        <v>56</v>
      </c>
      <c r="H91" s="1" t="s">
        <v>33</v>
      </c>
      <c r="I91" s="1"/>
      <c r="J91" s="2"/>
      <c r="K91" s="1"/>
      <c r="L91" s="1"/>
      <c r="M91" s="1"/>
      <c r="N91" s="1"/>
      <c r="O91" s="1" t="s">
        <v>34</v>
      </c>
    </row>
    <row r="92" spans="1:15" ht="21" customHeight="1">
      <c r="A92" s="34"/>
      <c r="B92" s="35"/>
      <c r="C92" s="35"/>
      <c r="D92" s="35" t="s">
        <v>35</v>
      </c>
      <c r="E92" s="33"/>
      <c r="F92" s="33"/>
      <c r="G92" s="33"/>
      <c r="H92" s="1" t="s">
        <v>36</v>
      </c>
      <c r="I92" s="1"/>
      <c r="J92" s="1"/>
      <c r="K92" s="1"/>
      <c r="L92" s="1"/>
      <c r="M92" s="1"/>
      <c r="N92" s="1"/>
      <c r="O92" s="1"/>
    </row>
    <row r="93" spans="1:15" ht="21" customHeight="1">
      <c r="A93" s="34"/>
      <c r="B93" s="35"/>
      <c r="C93" s="35"/>
      <c r="D93" s="35" t="s">
        <v>35</v>
      </c>
      <c r="E93" s="33"/>
      <c r="F93" s="33" t="s">
        <v>129</v>
      </c>
      <c r="G93" s="33" t="s">
        <v>130</v>
      </c>
      <c r="H93" s="1" t="s">
        <v>33</v>
      </c>
      <c r="I93" s="1"/>
      <c r="J93" s="1"/>
      <c r="K93" s="5"/>
      <c r="L93" s="1"/>
      <c r="M93" s="1"/>
      <c r="N93" s="1"/>
      <c r="O93" s="1" t="s">
        <v>61</v>
      </c>
    </row>
    <row r="94" spans="1:15" ht="21" customHeight="1">
      <c r="A94" s="34"/>
      <c r="B94" s="35"/>
      <c r="C94" s="35"/>
      <c r="D94" s="35" t="s">
        <v>35</v>
      </c>
      <c r="E94" s="33"/>
      <c r="F94" s="33"/>
      <c r="G94" s="33"/>
      <c r="H94" s="1" t="s">
        <v>36</v>
      </c>
      <c r="I94" s="1"/>
      <c r="J94" s="1"/>
      <c r="K94" s="1"/>
      <c r="L94" s="1"/>
      <c r="M94" s="1"/>
      <c r="N94" s="1"/>
      <c r="O94" s="1"/>
    </row>
    <row r="95" spans="1:15" ht="21" customHeight="1">
      <c r="A95" s="34"/>
      <c r="B95" s="35"/>
      <c r="C95" s="35"/>
      <c r="D95" s="35"/>
      <c r="E95" s="33"/>
      <c r="F95" s="39" t="s">
        <v>129</v>
      </c>
      <c r="G95" s="39" t="s">
        <v>131</v>
      </c>
      <c r="H95" s="1" t="s">
        <v>33</v>
      </c>
      <c r="I95" s="1"/>
      <c r="J95" s="1"/>
      <c r="K95" s="1"/>
      <c r="L95" s="1"/>
      <c r="M95" s="1"/>
      <c r="N95" s="3"/>
      <c r="O95" s="1" t="s">
        <v>132</v>
      </c>
    </row>
    <row r="96" spans="1:15" ht="21" customHeight="1">
      <c r="A96" s="34"/>
      <c r="B96" s="35"/>
      <c r="C96" s="35"/>
      <c r="D96" s="35"/>
      <c r="E96" s="33"/>
      <c r="F96" s="40"/>
      <c r="G96" s="40"/>
      <c r="H96" s="1" t="s">
        <v>36</v>
      </c>
      <c r="I96" s="1"/>
      <c r="J96" s="1"/>
      <c r="K96" s="1"/>
      <c r="L96" s="1"/>
      <c r="M96" s="1"/>
      <c r="N96" s="1"/>
      <c r="O96" s="1"/>
    </row>
    <row r="97" spans="1:15" ht="21" customHeight="1">
      <c r="A97" s="34"/>
      <c r="B97" s="35"/>
      <c r="C97" s="35"/>
      <c r="D97" s="35" t="s">
        <v>35</v>
      </c>
      <c r="E97" s="33"/>
      <c r="F97" s="33" t="s">
        <v>57</v>
      </c>
      <c r="G97" s="33" t="s">
        <v>58</v>
      </c>
      <c r="H97" s="1" t="s">
        <v>33</v>
      </c>
      <c r="I97" s="1"/>
      <c r="J97" s="1"/>
      <c r="K97" s="1"/>
      <c r="L97" s="7"/>
      <c r="M97" s="1"/>
      <c r="N97" s="1"/>
      <c r="O97" s="13" t="s">
        <v>73</v>
      </c>
    </row>
    <row r="98" spans="1:15" ht="21" customHeight="1">
      <c r="A98" s="34"/>
      <c r="B98" s="35"/>
      <c r="C98" s="35"/>
      <c r="D98" s="35" t="s">
        <v>35</v>
      </c>
      <c r="E98" s="33"/>
      <c r="F98" s="33"/>
      <c r="G98" s="33"/>
      <c r="H98" s="1" t="s">
        <v>36</v>
      </c>
      <c r="I98" s="1"/>
      <c r="J98" s="1"/>
      <c r="K98" s="1"/>
      <c r="L98" s="1"/>
      <c r="M98" s="1"/>
      <c r="N98" s="1"/>
      <c r="O98" s="13"/>
    </row>
    <row r="99" spans="1:15" ht="21" customHeight="1">
      <c r="A99" s="34"/>
      <c r="B99" s="35"/>
      <c r="C99" s="35"/>
      <c r="D99" s="35" t="s">
        <v>35</v>
      </c>
      <c r="E99" s="33"/>
      <c r="F99" s="33"/>
      <c r="G99" s="33" t="s">
        <v>40</v>
      </c>
      <c r="H99" s="1" t="s">
        <v>33</v>
      </c>
      <c r="I99" s="1"/>
      <c r="J99" s="1"/>
      <c r="K99" s="1"/>
      <c r="L99" s="1"/>
      <c r="M99" s="1"/>
      <c r="N99" s="3"/>
      <c r="O99" s="1" t="s">
        <v>41</v>
      </c>
    </row>
    <row r="100" spans="1:15" ht="21" customHeight="1">
      <c r="A100" s="34"/>
      <c r="B100" s="35"/>
      <c r="C100" s="35"/>
      <c r="D100" s="35" t="s">
        <v>35</v>
      </c>
      <c r="E100" s="33"/>
      <c r="F100" s="33"/>
      <c r="G100" s="33"/>
      <c r="H100" s="1" t="s">
        <v>36</v>
      </c>
      <c r="I100" s="1"/>
      <c r="J100" s="1"/>
      <c r="K100" s="1"/>
      <c r="L100" s="1"/>
      <c r="M100" s="1"/>
      <c r="N100" s="1"/>
      <c r="O100" s="1"/>
    </row>
    <row r="101" spans="1:15" ht="21" customHeight="1">
      <c r="A101" s="34"/>
      <c r="B101" s="35"/>
      <c r="C101" s="35"/>
      <c r="D101" s="35" t="s">
        <v>35</v>
      </c>
      <c r="E101" s="33"/>
      <c r="F101" s="33" t="s">
        <v>133</v>
      </c>
      <c r="G101" s="33" t="s">
        <v>134</v>
      </c>
      <c r="H101" s="1" t="s">
        <v>33</v>
      </c>
      <c r="I101" s="1"/>
      <c r="J101" s="1"/>
      <c r="K101" s="1"/>
      <c r="L101" s="1"/>
      <c r="M101" s="1"/>
      <c r="N101" s="1"/>
      <c r="O101" s="1" t="s">
        <v>135</v>
      </c>
    </row>
    <row r="102" spans="1:15" ht="21" customHeight="1">
      <c r="A102" s="34"/>
      <c r="B102" s="35"/>
      <c r="C102" s="35"/>
      <c r="D102" s="35" t="s">
        <v>35</v>
      </c>
      <c r="E102" s="33"/>
      <c r="F102" s="33"/>
      <c r="G102" s="33"/>
      <c r="H102" s="1" t="s">
        <v>36</v>
      </c>
      <c r="I102" s="1"/>
      <c r="J102" s="1"/>
      <c r="K102" s="1"/>
      <c r="L102" s="1"/>
      <c r="M102" s="1"/>
      <c r="N102" s="1"/>
      <c r="O102" s="1"/>
    </row>
    <row r="103" spans="1:15" ht="21" customHeight="1">
      <c r="A103" s="34"/>
      <c r="B103" s="35"/>
      <c r="C103" s="35"/>
      <c r="D103" s="35" t="s">
        <v>35</v>
      </c>
      <c r="E103" s="33"/>
      <c r="F103" s="33" t="s">
        <v>136</v>
      </c>
      <c r="G103" s="33" t="s">
        <v>137</v>
      </c>
      <c r="H103" s="1" t="s">
        <v>33</v>
      </c>
      <c r="I103" s="1"/>
      <c r="J103" s="1"/>
      <c r="K103" s="5"/>
      <c r="L103" s="1"/>
      <c r="M103" s="1"/>
      <c r="N103" s="1"/>
      <c r="O103" s="1" t="s">
        <v>61</v>
      </c>
    </row>
    <row r="104" spans="1:15" ht="21" customHeight="1">
      <c r="A104" s="34"/>
      <c r="B104" s="35"/>
      <c r="C104" s="35"/>
      <c r="D104" s="35" t="s">
        <v>35</v>
      </c>
      <c r="E104" s="33"/>
      <c r="F104" s="33"/>
      <c r="G104" s="33"/>
      <c r="H104" s="1" t="s">
        <v>36</v>
      </c>
      <c r="I104" s="1"/>
      <c r="J104" s="1"/>
      <c r="K104" s="1"/>
      <c r="L104" s="1"/>
      <c r="M104" s="1"/>
      <c r="N104" s="1"/>
      <c r="O104" s="1"/>
    </row>
    <row r="105" spans="1:15" ht="21" customHeight="1">
      <c r="A105" s="34"/>
      <c r="B105" s="35"/>
      <c r="C105" s="35"/>
      <c r="D105" s="35" t="s">
        <v>35</v>
      </c>
      <c r="E105" s="33"/>
      <c r="F105" s="33" t="s">
        <v>138</v>
      </c>
      <c r="G105" s="33" t="s">
        <v>139</v>
      </c>
      <c r="H105" s="1" t="s">
        <v>33</v>
      </c>
      <c r="I105" s="1"/>
      <c r="J105" s="1"/>
      <c r="K105" s="5"/>
      <c r="L105" s="1"/>
      <c r="M105" s="1"/>
      <c r="N105" s="1"/>
      <c r="O105" s="1" t="s">
        <v>61</v>
      </c>
    </row>
    <row r="106" spans="1:15" ht="21" customHeight="1">
      <c r="A106" s="34"/>
      <c r="B106" s="35"/>
      <c r="C106" s="35"/>
      <c r="D106" s="35" t="s">
        <v>35</v>
      </c>
      <c r="E106" s="33"/>
      <c r="F106" s="33"/>
      <c r="G106" s="33"/>
      <c r="H106" s="1" t="s">
        <v>36</v>
      </c>
      <c r="I106" s="1"/>
      <c r="J106" s="1"/>
      <c r="K106" s="1"/>
      <c r="L106" s="1"/>
      <c r="M106" s="1"/>
      <c r="N106" s="1"/>
      <c r="O106" s="1"/>
    </row>
    <row r="107" spans="1:15" ht="21" customHeight="1">
      <c r="A107" s="34"/>
      <c r="B107" s="35"/>
      <c r="C107" s="35"/>
      <c r="D107" s="35" t="s">
        <v>35</v>
      </c>
      <c r="E107" s="33"/>
      <c r="F107" s="33" t="s">
        <v>140</v>
      </c>
      <c r="G107" s="33" t="s">
        <v>141</v>
      </c>
      <c r="H107" s="1" t="s">
        <v>33</v>
      </c>
      <c r="I107" s="1"/>
      <c r="J107" s="2"/>
      <c r="K107" s="1"/>
      <c r="L107" s="1"/>
      <c r="M107" s="1"/>
      <c r="N107" s="1"/>
      <c r="O107" s="1" t="s">
        <v>34</v>
      </c>
    </row>
    <row r="108" spans="1:15" ht="21" customHeight="1">
      <c r="A108" s="34"/>
      <c r="B108" s="35"/>
      <c r="C108" s="35"/>
      <c r="D108" s="35" t="s">
        <v>35</v>
      </c>
      <c r="E108" s="33"/>
      <c r="F108" s="33"/>
      <c r="G108" s="33"/>
      <c r="H108" s="1" t="s">
        <v>36</v>
      </c>
      <c r="I108" s="1"/>
      <c r="J108" s="1"/>
      <c r="K108" s="1"/>
      <c r="L108" s="1"/>
      <c r="M108" s="1"/>
      <c r="N108" s="1"/>
      <c r="O108" s="1"/>
    </row>
    <row r="109" spans="1:15" ht="21" customHeight="1">
      <c r="A109" s="34"/>
      <c r="B109" s="35"/>
      <c r="C109" s="35"/>
      <c r="D109" s="35" t="s">
        <v>35</v>
      </c>
      <c r="E109" s="33"/>
      <c r="F109" s="33" t="s">
        <v>142</v>
      </c>
      <c r="G109" s="33" t="s">
        <v>143</v>
      </c>
      <c r="H109" s="1" t="s">
        <v>33</v>
      </c>
      <c r="I109" s="1"/>
      <c r="J109" s="2"/>
      <c r="K109" s="1"/>
      <c r="L109" s="1"/>
      <c r="M109" s="1"/>
      <c r="N109" s="1"/>
      <c r="O109" s="1" t="s">
        <v>34</v>
      </c>
    </row>
    <row r="110" spans="1:15" ht="21" customHeight="1">
      <c r="A110" s="34"/>
      <c r="B110" s="35"/>
      <c r="C110" s="35"/>
      <c r="D110" s="35" t="s">
        <v>35</v>
      </c>
      <c r="E110" s="33"/>
      <c r="F110" s="33"/>
      <c r="G110" s="33"/>
      <c r="H110" s="1" t="s">
        <v>36</v>
      </c>
      <c r="I110" s="1"/>
      <c r="J110" s="1"/>
      <c r="K110" s="1"/>
      <c r="L110" s="1"/>
      <c r="M110" s="1"/>
      <c r="N110" s="1"/>
      <c r="O110" s="1"/>
    </row>
    <row r="111" spans="1:15" ht="21" customHeight="1">
      <c r="A111" s="34" t="s">
        <v>144</v>
      </c>
      <c r="B111" s="35" t="s">
        <v>145</v>
      </c>
      <c r="C111" s="35" t="s">
        <v>146</v>
      </c>
      <c r="D111" s="35" t="s">
        <v>147</v>
      </c>
      <c r="E111" s="33" t="s">
        <v>128</v>
      </c>
      <c r="F111" s="33" t="s">
        <v>31</v>
      </c>
      <c r="G111" s="33" t="s">
        <v>56</v>
      </c>
      <c r="H111" s="1" t="s">
        <v>33</v>
      </c>
      <c r="I111" s="1"/>
      <c r="J111" s="2"/>
      <c r="K111" s="1"/>
      <c r="L111" s="1"/>
      <c r="M111" s="1"/>
      <c r="N111" s="1"/>
      <c r="O111" s="1" t="s">
        <v>34</v>
      </c>
    </row>
    <row r="112" spans="1:15" ht="21" customHeight="1">
      <c r="A112" s="34"/>
      <c r="B112" s="35"/>
      <c r="C112" s="35"/>
      <c r="D112" s="35" t="s">
        <v>35</v>
      </c>
      <c r="E112" s="33"/>
      <c r="F112" s="33"/>
      <c r="G112" s="33"/>
      <c r="H112" s="1" t="s">
        <v>36</v>
      </c>
      <c r="I112" s="1"/>
      <c r="J112" s="1"/>
      <c r="K112" s="1"/>
      <c r="L112" s="1"/>
      <c r="M112" s="1"/>
      <c r="N112" s="1"/>
      <c r="O112" s="1"/>
    </row>
    <row r="113" spans="1:15" ht="21" customHeight="1">
      <c r="A113" s="34"/>
      <c r="B113" s="35"/>
      <c r="C113" s="35"/>
      <c r="D113" s="35" t="s">
        <v>35</v>
      </c>
      <c r="E113" s="33"/>
      <c r="F113" s="33" t="s">
        <v>57</v>
      </c>
      <c r="G113" s="33" t="s">
        <v>58</v>
      </c>
      <c r="H113" s="1" t="s">
        <v>33</v>
      </c>
      <c r="I113" s="1"/>
      <c r="J113" s="1"/>
      <c r="K113" s="1"/>
      <c r="L113" s="7"/>
      <c r="M113" s="1"/>
      <c r="N113" s="1"/>
      <c r="O113" s="1" t="s">
        <v>73</v>
      </c>
    </row>
    <row r="114" spans="1:15" ht="21" customHeight="1">
      <c r="A114" s="34"/>
      <c r="B114" s="35"/>
      <c r="C114" s="35"/>
      <c r="D114" s="35" t="s">
        <v>35</v>
      </c>
      <c r="E114" s="33"/>
      <c r="F114" s="33"/>
      <c r="G114" s="33"/>
      <c r="H114" s="1" t="s">
        <v>36</v>
      </c>
      <c r="I114" s="1"/>
      <c r="J114" s="1"/>
      <c r="K114" s="1"/>
      <c r="L114" s="1"/>
      <c r="M114" s="1"/>
      <c r="N114" s="1"/>
      <c r="O114" s="1"/>
    </row>
    <row r="115" spans="1:15" ht="21" customHeight="1">
      <c r="A115" s="34"/>
      <c r="B115" s="35"/>
      <c r="C115" s="35"/>
      <c r="D115" s="35" t="s">
        <v>35</v>
      </c>
      <c r="E115" s="33"/>
      <c r="F115" s="33"/>
      <c r="G115" s="33" t="s">
        <v>40</v>
      </c>
      <c r="H115" s="1" t="s">
        <v>33</v>
      </c>
      <c r="I115" s="1"/>
      <c r="J115" s="1"/>
      <c r="K115" s="1"/>
      <c r="L115" s="1"/>
      <c r="M115" s="1"/>
      <c r="N115" s="3"/>
      <c r="O115" s="1" t="s">
        <v>41</v>
      </c>
    </row>
    <row r="116" spans="1:15" ht="21" customHeight="1">
      <c r="A116" s="34"/>
      <c r="B116" s="35"/>
      <c r="C116" s="35"/>
      <c r="D116" s="35" t="s">
        <v>35</v>
      </c>
      <c r="E116" s="33"/>
      <c r="F116" s="33"/>
      <c r="G116" s="33"/>
      <c r="H116" s="1" t="s">
        <v>36</v>
      </c>
      <c r="I116" s="1"/>
      <c r="J116" s="1"/>
      <c r="K116" s="1"/>
      <c r="L116" s="1"/>
      <c r="M116" s="1"/>
      <c r="N116" s="1"/>
      <c r="O116" s="1"/>
    </row>
    <row r="117" spans="1:15" ht="21" customHeight="1">
      <c r="A117" s="34"/>
      <c r="B117" s="35"/>
      <c r="C117" s="35"/>
      <c r="D117" s="35" t="s">
        <v>35</v>
      </c>
      <c r="E117" s="33"/>
      <c r="F117" s="33" t="s">
        <v>136</v>
      </c>
      <c r="G117" s="33" t="s">
        <v>148</v>
      </c>
      <c r="H117" s="1" t="s">
        <v>33</v>
      </c>
      <c r="I117" s="1"/>
      <c r="J117" s="1"/>
      <c r="K117" s="5"/>
      <c r="L117" s="1"/>
      <c r="M117" s="1"/>
      <c r="N117" s="1"/>
      <c r="O117" s="1" t="s">
        <v>61</v>
      </c>
    </row>
    <row r="118" spans="1:15" ht="21" customHeight="1">
      <c r="A118" s="34"/>
      <c r="B118" s="35"/>
      <c r="C118" s="35"/>
      <c r="D118" s="35" t="s">
        <v>35</v>
      </c>
      <c r="E118" s="33"/>
      <c r="F118" s="33"/>
      <c r="G118" s="33"/>
      <c r="H118" s="1" t="s">
        <v>36</v>
      </c>
      <c r="I118" s="1"/>
      <c r="J118" s="1"/>
      <c r="K118" s="1"/>
      <c r="L118" s="1"/>
      <c r="M118" s="1"/>
      <c r="N118" s="1"/>
      <c r="O118" s="1"/>
    </row>
    <row r="119" spans="1:15" ht="21" customHeight="1">
      <c r="A119" s="34"/>
      <c r="B119" s="35" t="s">
        <v>149</v>
      </c>
      <c r="C119" s="35" t="s">
        <v>150</v>
      </c>
      <c r="D119" s="35" t="s">
        <v>151</v>
      </c>
      <c r="E119" s="33" t="s">
        <v>152</v>
      </c>
      <c r="F119" s="33" t="s">
        <v>31</v>
      </c>
      <c r="G119" s="33" t="s">
        <v>153</v>
      </c>
      <c r="H119" s="1" t="s">
        <v>33</v>
      </c>
      <c r="I119" s="1"/>
      <c r="J119" s="2"/>
      <c r="K119" s="1"/>
      <c r="L119" s="1"/>
      <c r="M119" s="1"/>
      <c r="N119" s="1"/>
      <c r="O119" s="1" t="s">
        <v>34</v>
      </c>
    </row>
    <row r="120" spans="1:15" ht="21" customHeight="1">
      <c r="A120" s="34"/>
      <c r="B120" s="35"/>
      <c r="C120" s="35"/>
      <c r="D120" s="35" t="s">
        <v>35</v>
      </c>
      <c r="E120" s="33"/>
      <c r="F120" s="33"/>
      <c r="G120" s="33"/>
      <c r="H120" s="1" t="s">
        <v>36</v>
      </c>
      <c r="I120" s="1"/>
      <c r="J120" s="1"/>
      <c r="K120" s="1"/>
      <c r="L120" s="1"/>
      <c r="M120" s="1"/>
      <c r="N120" s="1"/>
      <c r="O120" s="1"/>
    </row>
    <row r="121" spans="1:15" ht="21" customHeight="1">
      <c r="A121" s="34"/>
      <c r="B121" s="35"/>
      <c r="C121" s="35"/>
      <c r="D121" s="35" t="s">
        <v>35</v>
      </c>
      <c r="E121" s="33"/>
      <c r="F121" s="33" t="s">
        <v>57</v>
      </c>
      <c r="G121" s="33" t="s">
        <v>154</v>
      </c>
      <c r="H121" s="1" t="s">
        <v>33</v>
      </c>
      <c r="I121" s="1"/>
      <c r="J121" s="1"/>
      <c r="K121" s="1"/>
      <c r="L121" s="7"/>
      <c r="M121" s="1"/>
      <c r="N121" s="1"/>
      <c r="O121" s="1" t="s">
        <v>73</v>
      </c>
    </row>
    <row r="122" spans="1:15" ht="21" customHeight="1">
      <c r="A122" s="34"/>
      <c r="B122" s="35"/>
      <c r="C122" s="35"/>
      <c r="D122" s="35" t="s">
        <v>35</v>
      </c>
      <c r="E122" s="33"/>
      <c r="F122" s="33"/>
      <c r="G122" s="33"/>
      <c r="H122" s="1" t="s">
        <v>36</v>
      </c>
      <c r="I122" s="1"/>
      <c r="J122" s="1"/>
      <c r="K122" s="1"/>
      <c r="L122" s="1"/>
      <c r="M122" s="1"/>
      <c r="N122" s="1"/>
      <c r="O122" s="1"/>
    </row>
    <row r="123" spans="1:15" ht="21" customHeight="1">
      <c r="A123" s="34"/>
      <c r="B123" s="35"/>
      <c r="C123" s="35"/>
      <c r="D123" s="35" t="s">
        <v>35</v>
      </c>
      <c r="E123" s="33"/>
      <c r="F123" s="33"/>
      <c r="G123" s="33" t="s">
        <v>155</v>
      </c>
      <c r="H123" s="1" t="s">
        <v>33</v>
      </c>
      <c r="I123" s="1"/>
      <c r="J123" s="1"/>
      <c r="K123" s="1"/>
      <c r="L123" s="1"/>
      <c r="M123" s="1"/>
      <c r="N123" s="3"/>
      <c r="O123" s="1" t="s">
        <v>41</v>
      </c>
    </row>
    <row r="124" spans="1:15" ht="21" customHeight="1">
      <c r="A124" s="34"/>
      <c r="B124" s="35"/>
      <c r="C124" s="35"/>
      <c r="D124" s="35" t="s">
        <v>35</v>
      </c>
      <c r="E124" s="33"/>
      <c r="F124" s="33"/>
      <c r="G124" s="33"/>
      <c r="H124" s="1" t="s">
        <v>36</v>
      </c>
      <c r="I124" s="1"/>
      <c r="J124" s="1"/>
      <c r="K124" s="1"/>
      <c r="L124" s="1"/>
      <c r="M124" s="1"/>
      <c r="N124" s="1"/>
      <c r="O124" s="1"/>
    </row>
    <row r="125" spans="1:15" ht="21" customHeight="1">
      <c r="A125" s="34"/>
      <c r="B125" s="35"/>
      <c r="C125" s="35"/>
      <c r="D125" s="35" t="s">
        <v>35</v>
      </c>
      <c r="E125" s="33"/>
      <c r="F125" s="33" t="s">
        <v>156</v>
      </c>
      <c r="G125" s="33" t="s">
        <v>157</v>
      </c>
      <c r="H125" s="1" t="s">
        <v>33</v>
      </c>
      <c r="I125" s="1"/>
      <c r="J125" s="1"/>
      <c r="K125" s="5"/>
      <c r="L125" s="1"/>
      <c r="M125" s="1"/>
      <c r="N125" s="1"/>
      <c r="O125" s="1" t="s">
        <v>46</v>
      </c>
    </row>
    <row r="126" spans="1:15" ht="21" customHeight="1">
      <c r="A126" s="34"/>
      <c r="B126" s="35"/>
      <c r="C126" s="35"/>
      <c r="D126" s="35" t="s">
        <v>35</v>
      </c>
      <c r="E126" s="33"/>
      <c r="F126" s="33"/>
      <c r="G126" s="33"/>
      <c r="H126" s="1" t="s">
        <v>36</v>
      </c>
      <c r="I126" s="1"/>
      <c r="J126" s="1"/>
      <c r="K126" s="1"/>
      <c r="L126" s="1"/>
      <c r="M126" s="1"/>
      <c r="N126" s="1"/>
      <c r="O126" s="1"/>
    </row>
    <row r="127" spans="1:15" ht="21" customHeight="1">
      <c r="A127" s="34"/>
      <c r="B127" s="35" t="s">
        <v>158</v>
      </c>
      <c r="C127" s="35" t="s">
        <v>159</v>
      </c>
      <c r="D127" s="35" t="s">
        <v>160</v>
      </c>
      <c r="E127" s="33" t="s">
        <v>152</v>
      </c>
      <c r="F127" s="33" t="s">
        <v>31</v>
      </c>
      <c r="G127" s="33" t="s">
        <v>153</v>
      </c>
      <c r="H127" s="1" t="s">
        <v>33</v>
      </c>
      <c r="I127" s="1"/>
      <c r="J127" s="2"/>
      <c r="K127" s="1"/>
      <c r="L127" s="1"/>
      <c r="M127" s="1"/>
      <c r="N127" s="1"/>
      <c r="O127" s="1" t="s">
        <v>34</v>
      </c>
    </row>
    <row r="128" spans="1:15" ht="21" customHeight="1">
      <c r="A128" s="34"/>
      <c r="B128" s="35"/>
      <c r="C128" s="35"/>
      <c r="D128" s="35" t="s">
        <v>35</v>
      </c>
      <c r="E128" s="33"/>
      <c r="F128" s="33"/>
      <c r="G128" s="33"/>
      <c r="H128" s="1" t="s">
        <v>36</v>
      </c>
      <c r="I128" s="1"/>
      <c r="J128" s="1"/>
      <c r="K128" s="1"/>
      <c r="L128" s="1"/>
      <c r="M128" s="1"/>
      <c r="N128" s="1"/>
      <c r="O128" s="1"/>
    </row>
    <row r="129" spans="1:15" ht="21" customHeight="1">
      <c r="A129" s="34"/>
      <c r="B129" s="35"/>
      <c r="C129" s="35"/>
      <c r="D129" s="35" t="s">
        <v>35</v>
      </c>
      <c r="E129" s="33"/>
      <c r="F129" s="33" t="s">
        <v>57</v>
      </c>
      <c r="G129" s="33" t="s">
        <v>154</v>
      </c>
      <c r="H129" s="1" t="s">
        <v>33</v>
      </c>
      <c r="I129" s="1"/>
      <c r="J129" s="1"/>
      <c r="K129" s="1"/>
      <c r="L129" s="7"/>
      <c r="M129" s="1"/>
      <c r="N129" s="1"/>
      <c r="O129" s="1" t="s">
        <v>73</v>
      </c>
    </row>
    <row r="130" spans="1:15" ht="21" customHeight="1">
      <c r="A130" s="34"/>
      <c r="B130" s="35"/>
      <c r="C130" s="35"/>
      <c r="D130" s="35" t="s">
        <v>35</v>
      </c>
      <c r="E130" s="33"/>
      <c r="F130" s="33"/>
      <c r="G130" s="33"/>
      <c r="H130" s="1" t="s">
        <v>36</v>
      </c>
      <c r="I130" s="1"/>
      <c r="J130" s="1"/>
      <c r="K130" s="1"/>
      <c r="L130" s="1"/>
      <c r="M130" s="1"/>
      <c r="N130" s="1"/>
      <c r="O130" s="1"/>
    </row>
    <row r="131" spans="1:15" ht="21" customHeight="1">
      <c r="A131" s="34"/>
      <c r="B131" s="35"/>
      <c r="C131" s="35"/>
      <c r="D131" s="35" t="s">
        <v>35</v>
      </c>
      <c r="E131" s="33"/>
      <c r="F131" s="33"/>
      <c r="G131" s="33" t="s">
        <v>155</v>
      </c>
      <c r="H131" s="1" t="s">
        <v>33</v>
      </c>
      <c r="I131" s="1"/>
      <c r="J131" s="1"/>
      <c r="K131" s="1"/>
      <c r="L131" s="1"/>
      <c r="M131" s="1"/>
      <c r="N131" s="3"/>
      <c r="O131" s="1" t="s">
        <v>41</v>
      </c>
    </row>
    <row r="132" spans="1:15" ht="21" customHeight="1">
      <c r="A132" s="34"/>
      <c r="B132" s="35"/>
      <c r="C132" s="35"/>
      <c r="D132" s="35" t="s">
        <v>35</v>
      </c>
      <c r="E132" s="33"/>
      <c r="F132" s="33"/>
      <c r="G132" s="33"/>
      <c r="H132" s="1" t="s">
        <v>36</v>
      </c>
      <c r="I132" s="1"/>
      <c r="J132" s="1"/>
      <c r="K132" s="1"/>
      <c r="L132" s="1"/>
      <c r="M132" s="1"/>
      <c r="N132" s="1"/>
      <c r="O132" s="1"/>
    </row>
    <row r="133" spans="1:15" ht="21" customHeight="1">
      <c r="A133" s="34"/>
      <c r="B133" s="35"/>
      <c r="C133" s="35"/>
      <c r="D133" s="35" t="s">
        <v>35</v>
      </c>
      <c r="E133" s="33"/>
      <c r="F133" s="33" t="s">
        <v>156</v>
      </c>
      <c r="G133" s="33" t="s">
        <v>157</v>
      </c>
      <c r="H133" s="1" t="s">
        <v>33</v>
      </c>
      <c r="I133" s="1"/>
      <c r="J133" s="1"/>
      <c r="K133" s="5"/>
      <c r="L133" s="1"/>
      <c r="M133" s="1"/>
      <c r="N133" s="1"/>
      <c r="O133" s="1" t="s">
        <v>46</v>
      </c>
    </row>
    <row r="134" spans="1:15" ht="21" customHeight="1">
      <c r="A134" s="34"/>
      <c r="B134" s="35"/>
      <c r="C134" s="35"/>
      <c r="D134" s="35" t="s">
        <v>35</v>
      </c>
      <c r="E134" s="33"/>
      <c r="F134" s="33"/>
      <c r="G134" s="33"/>
      <c r="H134" s="1" t="s">
        <v>36</v>
      </c>
      <c r="I134" s="1"/>
      <c r="J134" s="1"/>
      <c r="K134" s="1"/>
      <c r="L134" s="1"/>
      <c r="M134" s="1"/>
      <c r="N134" s="1"/>
      <c r="O134" s="1"/>
    </row>
    <row r="135" spans="1:15" ht="21" customHeight="1">
      <c r="A135" s="34"/>
      <c r="B135" s="35" t="s">
        <v>161</v>
      </c>
      <c r="C135" s="35" t="s">
        <v>162</v>
      </c>
      <c r="D135" s="35" t="s">
        <v>163</v>
      </c>
      <c r="E135" s="33" t="s">
        <v>152</v>
      </c>
      <c r="F135" s="33" t="s">
        <v>31</v>
      </c>
      <c r="G135" s="33" t="s">
        <v>153</v>
      </c>
      <c r="H135" s="1" t="s">
        <v>33</v>
      </c>
      <c r="I135" s="1"/>
      <c r="J135" s="2"/>
      <c r="K135" s="1"/>
      <c r="L135" s="1"/>
      <c r="M135" s="1"/>
      <c r="N135" s="1"/>
      <c r="O135" s="1" t="s">
        <v>34</v>
      </c>
    </row>
    <row r="136" spans="1:15" ht="21" customHeight="1">
      <c r="A136" s="34"/>
      <c r="B136" s="35"/>
      <c r="C136" s="35"/>
      <c r="D136" s="35" t="s">
        <v>35</v>
      </c>
      <c r="E136" s="33"/>
      <c r="F136" s="33"/>
      <c r="G136" s="33"/>
      <c r="H136" s="1" t="s">
        <v>36</v>
      </c>
      <c r="I136" s="1"/>
      <c r="J136" s="1"/>
      <c r="K136" s="1"/>
      <c r="L136" s="1"/>
      <c r="M136" s="1"/>
      <c r="N136" s="1"/>
      <c r="O136" s="1"/>
    </row>
    <row r="137" spans="1:15" ht="21" customHeight="1">
      <c r="A137" s="34"/>
      <c r="B137" s="35"/>
      <c r="C137" s="35"/>
      <c r="D137" s="35" t="s">
        <v>35</v>
      </c>
      <c r="E137" s="33"/>
      <c r="F137" s="33" t="s">
        <v>57</v>
      </c>
      <c r="G137" s="33" t="s">
        <v>154</v>
      </c>
      <c r="H137" s="1" t="s">
        <v>33</v>
      </c>
      <c r="I137" s="1"/>
      <c r="J137" s="1"/>
      <c r="K137" s="1"/>
      <c r="L137" s="7"/>
      <c r="M137" s="1"/>
      <c r="N137" s="1"/>
      <c r="O137" s="1" t="s">
        <v>73</v>
      </c>
    </row>
    <row r="138" spans="1:15" ht="21" customHeight="1">
      <c r="A138" s="34"/>
      <c r="B138" s="35"/>
      <c r="C138" s="35"/>
      <c r="D138" s="35" t="s">
        <v>35</v>
      </c>
      <c r="E138" s="33"/>
      <c r="F138" s="33"/>
      <c r="G138" s="33"/>
      <c r="H138" s="1" t="s">
        <v>36</v>
      </c>
      <c r="I138" s="1"/>
      <c r="J138" s="1"/>
      <c r="K138" s="1"/>
      <c r="L138" s="1"/>
      <c r="M138" s="1"/>
      <c r="N138" s="1"/>
      <c r="O138" s="1"/>
    </row>
    <row r="139" spans="1:15" ht="21" customHeight="1">
      <c r="A139" s="34"/>
      <c r="B139" s="35"/>
      <c r="C139" s="35"/>
      <c r="D139" s="35" t="s">
        <v>35</v>
      </c>
      <c r="E139" s="33"/>
      <c r="F139" s="33"/>
      <c r="G139" s="33" t="s">
        <v>155</v>
      </c>
      <c r="H139" s="1" t="s">
        <v>33</v>
      </c>
      <c r="I139" s="1"/>
      <c r="J139" s="1"/>
      <c r="K139" s="1"/>
      <c r="L139" s="1"/>
      <c r="M139" s="1"/>
      <c r="N139" s="3"/>
      <c r="O139" s="1" t="s">
        <v>41</v>
      </c>
    </row>
    <row r="140" spans="1:15" ht="21" customHeight="1">
      <c r="A140" s="34"/>
      <c r="B140" s="35"/>
      <c r="C140" s="35"/>
      <c r="D140" s="35" t="s">
        <v>35</v>
      </c>
      <c r="E140" s="33"/>
      <c r="F140" s="33"/>
      <c r="G140" s="33"/>
      <c r="H140" s="1" t="s">
        <v>36</v>
      </c>
      <c r="I140" s="1"/>
      <c r="J140" s="1"/>
      <c r="K140" s="1"/>
      <c r="L140" s="1"/>
      <c r="M140" s="1"/>
      <c r="N140" s="1"/>
      <c r="O140" s="1"/>
    </row>
    <row r="141" spans="1:15" ht="21" customHeight="1">
      <c r="A141" s="34"/>
      <c r="B141" s="35"/>
      <c r="C141" s="35"/>
      <c r="D141" s="35" t="s">
        <v>35</v>
      </c>
      <c r="E141" s="33"/>
      <c r="F141" s="33" t="s">
        <v>156</v>
      </c>
      <c r="G141" s="33" t="s">
        <v>157</v>
      </c>
      <c r="H141" s="1" t="s">
        <v>33</v>
      </c>
      <c r="I141" s="1"/>
      <c r="J141" s="1"/>
      <c r="K141" s="5"/>
      <c r="L141" s="1"/>
      <c r="M141" s="1"/>
      <c r="N141" s="1"/>
      <c r="O141" s="1" t="s">
        <v>46</v>
      </c>
    </row>
    <row r="142" spans="1:15" ht="21" customHeight="1">
      <c r="A142" s="34"/>
      <c r="B142" s="35"/>
      <c r="C142" s="35"/>
      <c r="D142" s="35" t="s">
        <v>35</v>
      </c>
      <c r="E142" s="33"/>
      <c r="F142" s="33"/>
      <c r="G142" s="33"/>
      <c r="H142" s="1" t="s">
        <v>36</v>
      </c>
      <c r="I142" s="1"/>
      <c r="J142" s="1"/>
      <c r="K142" s="1"/>
      <c r="L142" s="1"/>
      <c r="M142" s="1"/>
      <c r="N142" s="1"/>
      <c r="O142" s="1"/>
    </row>
    <row r="143" spans="1:15" ht="21" customHeight="1">
      <c r="A143" s="34"/>
      <c r="B143" s="35" t="s">
        <v>164</v>
      </c>
      <c r="C143" s="35" t="s">
        <v>165</v>
      </c>
      <c r="D143" s="35" t="s">
        <v>166</v>
      </c>
      <c r="E143" s="33" t="s">
        <v>152</v>
      </c>
      <c r="F143" s="33" t="s">
        <v>31</v>
      </c>
      <c r="G143" s="33" t="s">
        <v>153</v>
      </c>
      <c r="H143" s="1" t="s">
        <v>33</v>
      </c>
      <c r="I143" s="1"/>
      <c r="J143" s="2"/>
      <c r="K143" s="1"/>
      <c r="L143" s="1"/>
      <c r="M143" s="1"/>
      <c r="N143" s="1"/>
      <c r="O143" s="1" t="s">
        <v>34</v>
      </c>
    </row>
    <row r="144" spans="1:15" ht="21" customHeight="1">
      <c r="A144" s="34"/>
      <c r="B144" s="35"/>
      <c r="C144" s="35"/>
      <c r="D144" s="35" t="s">
        <v>35</v>
      </c>
      <c r="E144" s="33"/>
      <c r="F144" s="33"/>
      <c r="G144" s="33"/>
      <c r="H144" s="1" t="s">
        <v>36</v>
      </c>
      <c r="I144" s="1"/>
      <c r="J144" s="1"/>
      <c r="K144" s="1"/>
      <c r="L144" s="1"/>
      <c r="M144" s="1"/>
      <c r="N144" s="1"/>
      <c r="O144" s="1"/>
    </row>
    <row r="145" spans="1:15" ht="21" customHeight="1">
      <c r="A145" s="34"/>
      <c r="B145" s="35"/>
      <c r="C145" s="35"/>
      <c r="D145" s="35" t="s">
        <v>35</v>
      </c>
      <c r="E145" s="33"/>
      <c r="F145" s="33" t="s">
        <v>57</v>
      </c>
      <c r="G145" s="33" t="s">
        <v>154</v>
      </c>
      <c r="H145" s="1" t="s">
        <v>33</v>
      </c>
      <c r="I145" s="1"/>
      <c r="J145" s="1"/>
      <c r="K145" s="1"/>
      <c r="L145" s="7"/>
      <c r="M145" s="1"/>
      <c r="N145" s="1"/>
      <c r="O145" s="1" t="s">
        <v>73</v>
      </c>
    </row>
    <row r="146" spans="1:15" ht="21" customHeight="1">
      <c r="A146" s="34"/>
      <c r="B146" s="35"/>
      <c r="C146" s="35"/>
      <c r="D146" s="35" t="s">
        <v>35</v>
      </c>
      <c r="E146" s="33"/>
      <c r="F146" s="33"/>
      <c r="G146" s="33"/>
      <c r="H146" s="1" t="s">
        <v>36</v>
      </c>
      <c r="I146" s="1"/>
      <c r="J146" s="1"/>
      <c r="K146" s="1"/>
      <c r="L146" s="1"/>
      <c r="M146" s="1"/>
      <c r="N146" s="1"/>
      <c r="O146" s="1"/>
    </row>
    <row r="147" spans="1:15" ht="21" customHeight="1">
      <c r="A147" s="34"/>
      <c r="B147" s="35"/>
      <c r="C147" s="35"/>
      <c r="D147" s="35" t="s">
        <v>35</v>
      </c>
      <c r="E147" s="33"/>
      <c r="F147" s="33"/>
      <c r="G147" s="33" t="s">
        <v>155</v>
      </c>
      <c r="H147" s="1" t="s">
        <v>33</v>
      </c>
      <c r="I147" s="1"/>
      <c r="J147" s="1"/>
      <c r="K147" s="1"/>
      <c r="L147" s="1"/>
      <c r="M147" s="1"/>
      <c r="N147" s="3"/>
      <c r="O147" s="1" t="s">
        <v>41</v>
      </c>
    </row>
    <row r="148" spans="1:15" ht="21" customHeight="1">
      <c r="A148" s="34"/>
      <c r="B148" s="35"/>
      <c r="C148" s="35"/>
      <c r="D148" s="35" t="s">
        <v>35</v>
      </c>
      <c r="E148" s="33"/>
      <c r="F148" s="33"/>
      <c r="G148" s="33"/>
      <c r="H148" s="1" t="s">
        <v>36</v>
      </c>
      <c r="I148" s="1"/>
      <c r="J148" s="1"/>
      <c r="K148" s="1"/>
      <c r="L148" s="1"/>
      <c r="M148" s="1"/>
      <c r="N148" s="1"/>
      <c r="O148" s="1"/>
    </row>
    <row r="149" spans="1:15" ht="21" customHeight="1">
      <c r="A149" s="34"/>
      <c r="B149" s="35"/>
      <c r="C149" s="35"/>
      <c r="D149" s="35" t="s">
        <v>35</v>
      </c>
      <c r="E149" s="33"/>
      <c r="F149" s="33" t="s">
        <v>156</v>
      </c>
      <c r="G149" s="33" t="s">
        <v>157</v>
      </c>
      <c r="H149" s="1" t="s">
        <v>33</v>
      </c>
      <c r="I149" s="1"/>
      <c r="J149" s="1"/>
      <c r="K149" s="5"/>
      <c r="L149" s="1"/>
      <c r="M149" s="1"/>
      <c r="N149" s="1"/>
      <c r="O149" s="1" t="s">
        <v>46</v>
      </c>
    </row>
    <row r="150" spans="1:15" ht="21" customHeight="1">
      <c r="A150" s="34"/>
      <c r="B150" s="35"/>
      <c r="C150" s="35"/>
      <c r="D150" s="35" t="s">
        <v>35</v>
      </c>
      <c r="E150" s="33"/>
      <c r="F150" s="33"/>
      <c r="G150" s="33"/>
      <c r="H150" s="1" t="s">
        <v>36</v>
      </c>
      <c r="I150" s="1"/>
      <c r="J150" s="1"/>
      <c r="K150" s="1"/>
      <c r="L150" s="1"/>
      <c r="M150" s="1"/>
      <c r="N150" s="1"/>
      <c r="O150" s="1"/>
    </row>
    <row r="151" spans="1:15" ht="21" customHeight="1">
      <c r="A151" s="34"/>
      <c r="B151" s="35" t="s">
        <v>167</v>
      </c>
      <c r="C151" s="35" t="s">
        <v>168</v>
      </c>
      <c r="D151" s="35" t="s">
        <v>169</v>
      </c>
      <c r="E151" s="33" t="s">
        <v>152</v>
      </c>
      <c r="F151" s="33" t="s">
        <v>31</v>
      </c>
      <c r="G151" s="33" t="s">
        <v>153</v>
      </c>
      <c r="H151" s="1" t="s">
        <v>33</v>
      </c>
      <c r="I151" s="1"/>
      <c r="J151" s="2"/>
      <c r="K151" s="1"/>
      <c r="L151" s="1"/>
      <c r="M151" s="1"/>
      <c r="N151" s="1"/>
      <c r="O151" s="1" t="s">
        <v>34</v>
      </c>
    </row>
    <row r="152" spans="1:15" ht="21" customHeight="1">
      <c r="A152" s="34"/>
      <c r="B152" s="35"/>
      <c r="C152" s="35"/>
      <c r="D152" s="35" t="s">
        <v>35</v>
      </c>
      <c r="E152" s="33"/>
      <c r="F152" s="33"/>
      <c r="G152" s="33"/>
      <c r="H152" s="1" t="s">
        <v>36</v>
      </c>
      <c r="I152" s="1"/>
      <c r="J152" s="1"/>
      <c r="K152" s="1"/>
      <c r="L152" s="1"/>
      <c r="M152" s="1"/>
      <c r="N152" s="1"/>
      <c r="O152" s="1"/>
    </row>
    <row r="153" spans="1:15" ht="21" customHeight="1">
      <c r="A153" s="34"/>
      <c r="B153" s="35"/>
      <c r="C153" s="35"/>
      <c r="D153" s="35" t="s">
        <v>35</v>
      </c>
      <c r="E153" s="33"/>
      <c r="F153" s="33" t="s">
        <v>57</v>
      </c>
      <c r="G153" s="33" t="s">
        <v>154</v>
      </c>
      <c r="H153" s="1" t="s">
        <v>33</v>
      </c>
      <c r="I153" s="1"/>
      <c r="J153" s="1"/>
      <c r="K153" s="1"/>
      <c r="L153" s="7"/>
      <c r="M153" s="1"/>
      <c r="N153" s="1"/>
      <c r="O153" s="1" t="s">
        <v>73</v>
      </c>
    </row>
    <row r="154" spans="1:15" ht="21" customHeight="1">
      <c r="A154" s="34"/>
      <c r="B154" s="35"/>
      <c r="C154" s="35"/>
      <c r="D154" s="35" t="s">
        <v>35</v>
      </c>
      <c r="E154" s="33"/>
      <c r="F154" s="33"/>
      <c r="G154" s="33"/>
      <c r="H154" s="1" t="s">
        <v>36</v>
      </c>
      <c r="I154" s="1"/>
      <c r="J154" s="1"/>
      <c r="K154" s="1"/>
      <c r="L154" s="1"/>
      <c r="M154" s="1"/>
      <c r="N154" s="1"/>
      <c r="O154" s="1"/>
    </row>
    <row r="155" spans="1:15" ht="21" customHeight="1">
      <c r="A155" s="34"/>
      <c r="B155" s="35"/>
      <c r="C155" s="35"/>
      <c r="D155" s="35" t="s">
        <v>35</v>
      </c>
      <c r="E155" s="33"/>
      <c r="F155" s="33"/>
      <c r="G155" s="33" t="s">
        <v>155</v>
      </c>
      <c r="H155" s="1" t="s">
        <v>33</v>
      </c>
      <c r="I155" s="1"/>
      <c r="J155" s="1"/>
      <c r="K155" s="1"/>
      <c r="L155" s="1"/>
      <c r="M155" s="1"/>
      <c r="N155" s="3"/>
      <c r="O155" s="1" t="s">
        <v>41</v>
      </c>
    </row>
    <row r="156" spans="1:15" ht="21" customHeight="1">
      <c r="A156" s="34"/>
      <c r="B156" s="35"/>
      <c r="C156" s="35"/>
      <c r="D156" s="35" t="s">
        <v>35</v>
      </c>
      <c r="E156" s="33"/>
      <c r="F156" s="33"/>
      <c r="G156" s="33"/>
      <c r="H156" s="1" t="s">
        <v>36</v>
      </c>
      <c r="I156" s="1"/>
      <c r="J156" s="1"/>
      <c r="K156" s="1"/>
      <c r="L156" s="1"/>
      <c r="M156" s="1"/>
      <c r="N156" s="1"/>
      <c r="O156" s="1"/>
    </row>
    <row r="157" spans="1:15" ht="21" customHeight="1">
      <c r="A157" s="34"/>
      <c r="B157" s="35"/>
      <c r="C157" s="35"/>
      <c r="D157" s="35" t="s">
        <v>35</v>
      </c>
      <c r="E157" s="33"/>
      <c r="F157" s="33" t="s">
        <v>156</v>
      </c>
      <c r="G157" s="33" t="s">
        <v>157</v>
      </c>
      <c r="H157" s="1" t="s">
        <v>33</v>
      </c>
      <c r="I157" s="1"/>
      <c r="J157" s="1"/>
      <c r="K157" s="5"/>
      <c r="L157" s="1"/>
      <c r="M157" s="1"/>
      <c r="N157" s="1"/>
      <c r="O157" s="1" t="s">
        <v>46</v>
      </c>
    </row>
    <row r="158" spans="1:15" ht="21" customHeight="1">
      <c r="A158" s="34"/>
      <c r="B158" s="35"/>
      <c r="C158" s="35"/>
      <c r="D158" s="35" t="s">
        <v>35</v>
      </c>
      <c r="E158" s="33"/>
      <c r="F158" s="33"/>
      <c r="G158" s="33"/>
      <c r="H158" s="1" t="s">
        <v>36</v>
      </c>
      <c r="I158" s="1"/>
      <c r="J158" s="1"/>
      <c r="K158" s="1"/>
      <c r="L158" s="1"/>
      <c r="M158" s="1"/>
      <c r="N158" s="1"/>
      <c r="O158" s="1"/>
    </row>
    <row r="159" spans="1:15" ht="21" customHeight="1">
      <c r="A159" s="34"/>
      <c r="B159" s="35" t="s">
        <v>170</v>
      </c>
      <c r="C159" s="35" t="s">
        <v>171</v>
      </c>
      <c r="D159" s="35" t="s">
        <v>172</v>
      </c>
      <c r="E159" s="33" t="s">
        <v>152</v>
      </c>
      <c r="F159" s="33" t="s">
        <v>31</v>
      </c>
      <c r="G159" s="33" t="s">
        <v>153</v>
      </c>
      <c r="H159" s="1" t="s">
        <v>33</v>
      </c>
      <c r="I159" s="1"/>
      <c r="J159" s="2"/>
      <c r="K159" s="1"/>
      <c r="L159" s="1"/>
      <c r="M159" s="1"/>
      <c r="N159" s="1"/>
      <c r="O159" s="1" t="s">
        <v>34</v>
      </c>
    </row>
    <row r="160" spans="1:15" ht="21" customHeight="1">
      <c r="A160" s="34"/>
      <c r="B160" s="35"/>
      <c r="C160" s="35"/>
      <c r="D160" s="35" t="s">
        <v>35</v>
      </c>
      <c r="E160" s="33"/>
      <c r="F160" s="33"/>
      <c r="G160" s="33"/>
      <c r="H160" s="1" t="s">
        <v>36</v>
      </c>
      <c r="I160" s="1"/>
      <c r="J160" s="1"/>
      <c r="K160" s="1"/>
      <c r="L160" s="1"/>
      <c r="M160" s="1"/>
      <c r="N160" s="1"/>
      <c r="O160" s="1"/>
    </row>
    <row r="161" spans="1:15" ht="21" customHeight="1">
      <c r="A161" s="34"/>
      <c r="B161" s="35"/>
      <c r="C161" s="35"/>
      <c r="D161" s="35" t="s">
        <v>35</v>
      </c>
      <c r="E161" s="33"/>
      <c r="F161" s="33" t="s">
        <v>57</v>
      </c>
      <c r="G161" s="33" t="s">
        <v>154</v>
      </c>
      <c r="H161" s="1" t="s">
        <v>33</v>
      </c>
      <c r="I161" s="1"/>
      <c r="J161" s="1"/>
      <c r="K161" s="1"/>
      <c r="L161" s="7"/>
      <c r="M161" s="1"/>
      <c r="N161" s="1"/>
      <c r="O161" s="1" t="s">
        <v>73</v>
      </c>
    </row>
    <row r="162" spans="1:15" ht="21" customHeight="1">
      <c r="A162" s="34"/>
      <c r="B162" s="35"/>
      <c r="C162" s="35"/>
      <c r="D162" s="35" t="s">
        <v>35</v>
      </c>
      <c r="E162" s="33"/>
      <c r="F162" s="33"/>
      <c r="G162" s="33"/>
      <c r="H162" s="1" t="s">
        <v>36</v>
      </c>
      <c r="I162" s="1"/>
      <c r="J162" s="1"/>
      <c r="K162" s="1"/>
      <c r="L162" s="1"/>
      <c r="M162" s="1"/>
      <c r="N162" s="1"/>
      <c r="O162" s="1"/>
    </row>
    <row r="163" spans="1:15" ht="21" customHeight="1">
      <c r="A163" s="34"/>
      <c r="B163" s="35"/>
      <c r="C163" s="35"/>
      <c r="D163" s="35" t="s">
        <v>35</v>
      </c>
      <c r="E163" s="33"/>
      <c r="F163" s="33"/>
      <c r="G163" s="33" t="s">
        <v>155</v>
      </c>
      <c r="H163" s="1" t="s">
        <v>33</v>
      </c>
      <c r="I163" s="1"/>
      <c r="J163" s="1"/>
      <c r="K163" s="1"/>
      <c r="L163" s="1"/>
      <c r="M163" s="1"/>
      <c r="N163" s="3"/>
      <c r="O163" s="1" t="s">
        <v>41</v>
      </c>
    </row>
    <row r="164" spans="1:15" ht="21" customHeight="1">
      <c r="A164" s="34"/>
      <c r="B164" s="35"/>
      <c r="C164" s="35"/>
      <c r="D164" s="35" t="s">
        <v>35</v>
      </c>
      <c r="E164" s="33"/>
      <c r="F164" s="33"/>
      <c r="G164" s="33"/>
      <c r="H164" s="1" t="s">
        <v>36</v>
      </c>
      <c r="I164" s="1"/>
      <c r="J164" s="1"/>
      <c r="K164" s="1"/>
      <c r="L164" s="1"/>
      <c r="M164" s="1"/>
      <c r="N164" s="1"/>
      <c r="O164" s="1"/>
    </row>
    <row r="165" spans="1:15" ht="21" customHeight="1">
      <c r="A165" s="34"/>
      <c r="B165" s="35"/>
      <c r="C165" s="35"/>
      <c r="D165" s="35" t="s">
        <v>35</v>
      </c>
      <c r="E165" s="33"/>
      <c r="F165" s="33" t="s">
        <v>156</v>
      </c>
      <c r="G165" s="33" t="s">
        <v>157</v>
      </c>
      <c r="H165" s="1" t="s">
        <v>33</v>
      </c>
      <c r="I165" s="1"/>
      <c r="J165" s="1"/>
      <c r="K165" s="5"/>
      <c r="L165" s="1"/>
      <c r="M165" s="1"/>
      <c r="N165" s="1"/>
      <c r="O165" s="1" t="s">
        <v>46</v>
      </c>
    </row>
    <row r="166" spans="1:15" ht="21" customHeight="1">
      <c r="A166" s="34"/>
      <c r="B166" s="35"/>
      <c r="C166" s="35"/>
      <c r="D166" s="35" t="s">
        <v>35</v>
      </c>
      <c r="E166" s="33"/>
      <c r="F166" s="33"/>
      <c r="G166" s="33"/>
      <c r="H166" s="1" t="s">
        <v>36</v>
      </c>
      <c r="I166" s="1"/>
      <c r="J166" s="1"/>
      <c r="K166" s="1"/>
      <c r="L166" s="1"/>
      <c r="M166" s="1"/>
      <c r="N166" s="1"/>
      <c r="O166" s="1"/>
    </row>
    <row r="167" spans="1:15" ht="21" customHeight="1">
      <c r="A167" s="34"/>
      <c r="B167" s="35" t="s">
        <v>173</v>
      </c>
      <c r="C167" s="35" t="s">
        <v>174</v>
      </c>
      <c r="D167" s="35" t="s">
        <v>175</v>
      </c>
      <c r="E167" s="33" t="s">
        <v>152</v>
      </c>
      <c r="F167" s="33" t="s">
        <v>31</v>
      </c>
      <c r="G167" s="33" t="s">
        <v>153</v>
      </c>
      <c r="H167" s="1" t="s">
        <v>33</v>
      </c>
      <c r="I167" s="1"/>
      <c r="J167" s="2"/>
      <c r="K167" s="1"/>
      <c r="L167" s="1"/>
      <c r="M167" s="1"/>
      <c r="N167" s="1"/>
      <c r="O167" s="1" t="s">
        <v>34</v>
      </c>
    </row>
    <row r="168" spans="1:15" ht="21" customHeight="1">
      <c r="A168" s="34"/>
      <c r="B168" s="35"/>
      <c r="C168" s="35"/>
      <c r="D168" s="35" t="s">
        <v>35</v>
      </c>
      <c r="E168" s="33"/>
      <c r="F168" s="33"/>
      <c r="G168" s="33"/>
      <c r="H168" s="1" t="s">
        <v>36</v>
      </c>
      <c r="I168" s="1"/>
      <c r="J168" s="1"/>
      <c r="K168" s="1"/>
      <c r="L168" s="1"/>
      <c r="M168" s="1"/>
      <c r="N168" s="1"/>
      <c r="O168" s="1"/>
    </row>
    <row r="169" spans="1:15" ht="21" customHeight="1">
      <c r="A169" s="34"/>
      <c r="B169" s="35"/>
      <c r="C169" s="35"/>
      <c r="D169" s="35" t="s">
        <v>35</v>
      </c>
      <c r="E169" s="33"/>
      <c r="F169" s="33" t="s">
        <v>57</v>
      </c>
      <c r="G169" s="33" t="s">
        <v>154</v>
      </c>
      <c r="H169" s="1" t="s">
        <v>33</v>
      </c>
      <c r="I169" s="1"/>
      <c r="J169" s="1"/>
      <c r="K169" s="1"/>
      <c r="L169" s="7"/>
      <c r="M169" s="1"/>
      <c r="N169" s="1"/>
      <c r="O169" s="1" t="s">
        <v>73</v>
      </c>
    </row>
    <row r="170" spans="1:15" ht="21" customHeight="1">
      <c r="A170" s="34"/>
      <c r="B170" s="35"/>
      <c r="C170" s="35"/>
      <c r="D170" s="35" t="s">
        <v>35</v>
      </c>
      <c r="E170" s="33"/>
      <c r="F170" s="33"/>
      <c r="G170" s="33"/>
      <c r="H170" s="1" t="s">
        <v>36</v>
      </c>
      <c r="I170" s="1"/>
      <c r="J170" s="1"/>
      <c r="K170" s="1"/>
      <c r="L170" s="1"/>
      <c r="M170" s="1"/>
      <c r="N170" s="1"/>
      <c r="O170" s="1"/>
    </row>
    <row r="171" spans="1:15" ht="21" customHeight="1">
      <c r="A171" s="34"/>
      <c r="B171" s="35"/>
      <c r="C171" s="35"/>
      <c r="D171" s="35" t="s">
        <v>35</v>
      </c>
      <c r="E171" s="33"/>
      <c r="F171" s="33"/>
      <c r="G171" s="33" t="s">
        <v>155</v>
      </c>
      <c r="H171" s="1" t="s">
        <v>33</v>
      </c>
      <c r="I171" s="1"/>
      <c r="J171" s="1"/>
      <c r="K171" s="1"/>
      <c r="L171" s="1"/>
      <c r="M171" s="1"/>
      <c r="N171" s="3"/>
      <c r="O171" s="1" t="s">
        <v>41</v>
      </c>
    </row>
    <row r="172" spans="1:15" ht="21" customHeight="1">
      <c r="A172" s="34"/>
      <c r="B172" s="35"/>
      <c r="C172" s="35"/>
      <c r="D172" s="35" t="s">
        <v>35</v>
      </c>
      <c r="E172" s="33"/>
      <c r="F172" s="33"/>
      <c r="G172" s="33"/>
      <c r="H172" s="1" t="s">
        <v>36</v>
      </c>
      <c r="I172" s="1"/>
      <c r="J172" s="1"/>
      <c r="K172" s="1"/>
      <c r="L172" s="1"/>
      <c r="M172" s="1"/>
      <c r="N172" s="1"/>
      <c r="O172" s="1"/>
    </row>
    <row r="173" spans="1:15" ht="21" customHeight="1">
      <c r="A173" s="34"/>
      <c r="B173" s="35"/>
      <c r="C173" s="35"/>
      <c r="D173" s="35" t="s">
        <v>35</v>
      </c>
      <c r="E173" s="33"/>
      <c r="F173" s="33" t="s">
        <v>156</v>
      </c>
      <c r="G173" s="33" t="s">
        <v>157</v>
      </c>
      <c r="H173" s="1" t="s">
        <v>33</v>
      </c>
      <c r="I173" s="1"/>
      <c r="J173" s="1"/>
      <c r="K173" s="5"/>
      <c r="L173" s="1"/>
      <c r="M173" s="1"/>
      <c r="N173" s="1"/>
      <c r="O173" s="1" t="s">
        <v>61</v>
      </c>
    </row>
    <row r="174" spans="1:15" ht="21" customHeight="1">
      <c r="A174" s="34"/>
      <c r="B174" s="35"/>
      <c r="C174" s="35"/>
      <c r="D174" s="35" t="s">
        <v>35</v>
      </c>
      <c r="E174" s="33"/>
      <c r="F174" s="33"/>
      <c r="G174" s="33"/>
      <c r="H174" s="1" t="s">
        <v>36</v>
      </c>
      <c r="I174" s="1"/>
      <c r="J174" s="1"/>
      <c r="K174" s="1"/>
      <c r="L174" s="1"/>
      <c r="M174" s="1"/>
      <c r="N174" s="1"/>
      <c r="O174" s="1"/>
    </row>
    <row r="175" spans="1:15" ht="23.45" customHeight="1">
      <c r="A175" s="34" t="s">
        <v>176</v>
      </c>
      <c r="B175" s="41" t="s">
        <v>177</v>
      </c>
      <c r="C175" s="41" t="s">
        <v>178</v>
      </c>
      <c r="D175" s="41" t="s">
        <v>179</v>
      </c>
      <c r="E175" s="33" t="s">
        <v>180</v>
      </c>
      <c r="F175" s="33" t="s">
        <v>31</v>
      </c>
      <c r="G175" s="33" t="s">
        <v>181</v>
      </c>
      <c r="H175" s="1" t="s">
        <v>33</v>
      </c>
      <c r="I175" s="1"/>
      <c r="J175" s="2"/>
      <c r="K175" s="1"/>
      <c r="L175" s="1"/>
      <c r="M175" s="1"/>
      <c r="N175" s="1"/>
      <c r="O175" s="14" t="s">
        <v>34</v>
      </c>
    </row>
    <row r="176" spans="1:15" ht="21" customHeight="1">
      <c r="A176" s="34"/>
      <c r="B176" s="42"/>
      <c r="C176" s="42"/>
      <c r="D176" s="42"/>
      <c r="E176" s="33"/>
      <c r="F176" s="33"/>
      <c r="G176" s="33"/>
      <c r="H176" s="1" t="s">
        <v>36</v>
      </c>
      <c r="I176" s="1"/>
      <c r="J176" s="1"/>
      <c r="K176" s="1"/>
      <c r="L176" s="1"/>
      <c r="M176" s="1"/>
      <c r="N176" s="1"/>
      <c r="O176" s="14"/>
    </row>
    <row r="177" spans="1:15" ht="21" customHeight="1">
      <c r="A177" s="34"/>
      <c r="B177" s="42"/>
      <c r="C177" s="42"/>
      <c r="D177" s="42"/>
      <c r="E177" s="33"/>
      <c r="F177" s="33" t="s">
        <v>57</v>
      </c>
      <c r="G177" s="33" t="s">
        <v>154</v>
      </c>
      <c r="H177" s="1" t="s">
        <v>33</v>
      </c>
      <c r="I177" s="1"/>
      <c r="J177" s="1"/>
      <c r="K177" s="1"/>
      <c r="L177" s="7"/>
      <c r="M177" s="1"/>
      <c r="N177" s="1"/>
      <c r="O177" s="14" t="s">
        <v>182</v>
      </c>
    </row>
    <row r="178" spans="1:15" ht="21" customHeight="1">
      <c r="A178" s="34"/>
      <c r="B178" s="42"/>
      <c r="C178" s="42"/>
      <c r="D178" s="42"/>
      <c r="E178" s="33"/>
      <c r="F178" s="33"/>
      <c r="G178" s="33"/>
      <c r="H178" s="1" t="s">
        <v>36</v>
      </c>
      <c r="I178" s="1"/>
      <c r="J178" s="1"/>
      <c r="K178" s="1"/>
      <c r="L178" s="1"/>
      <c r="M178" s="1"/>
      <c r="N178" s="1"/>
      <c r="O178" s="14"/>
    </row>
    <row r="179" spans="1:15" ht="21" customHeight="1">
      <c r="A179" s="34"/>
      <c r="B179" s="42"/>
      <c r="C179" s="42"/>
      <c r="D179" s="42"/>
      <c r="E179" s="33"/>
      <c r="F179" s="33"/>
      <c r="G179" s="33" t="s">
        <v>155</v>
      </c>
      <c r="H179" s="1" t="s">
        <v>33</v>
      </c>
      <c r="I179" s="1"/>
      <c r="J179" s="1"/>
      <c r="K179" s="1"/>
      <c r="L179" s="1"/>
      <c r="M179" s="1"/>
      <c r="N179" s="3"/>
      <c r="O179" s="14" t="s">
        <v>41</v>
      </c>
    </row>
    <row r="180" spans="1:15" ht="21" customHeight="1">
      <c r="A180" s="34"/>
      <c r="B180" s="42"/>
      <c r="C180" s="42"/>
      <c r="D180" s="42"/>
      <c r="E180" s="33"/>
      <c r="F180" s="33"/>
      <c r="G180" s="33"/>
      <c r="H180" s="1" t="s">
        <v>36</v>
      </c>
      <c r="I180" s="1"/>
      <c r="J180" s="1"/>
      <c r="K180" s="1"/>
      <c r="L180" s="1"/>
      <c r="M180" s="1"/>
      <c r="N180" s="1"/>
      <c r="O180" s="14"/>
    </row>
    <row r="181" spans="1:15" ht="21" customHeight="1">
      <c r="A181" s="34"/>
      <c r="B181" s="42"/>
      <c r="C181" s="42"/>
      <c r="D181" s="42"/>
      <c r="E181" s="33"/>
      <c r="F181" s="33" t="s">
        <v>133</v>
      </c>
      <c r="G181" s="33" t="s">
        <v>183</v>
      </c>
      <c r="H181" s="1" t="s">
        <v>33</v>
      </c>
      <c r="I181" s="1"/>
      <c r="J181" s="1"/>
      <c r="K181" s="5"/>
      <c r="L181" s="1"/>
      <c r="M181" s="1"/>
      <c r="N181" s="1"/>
      <c r="O181" s="14" t="s">
        <v>96</v>
      </c>
    </row>
    <row r="182" spans="1:15" ht="21" customHeight="1">
      <c r="A182" s="34"/>
      <c r="B182" s="42"/>
      <c r="C182" s="42"/>
      <c r="D182" s="42"/>
      <c r="E182" s="33"/>
      <c r="F182" s="33"/>
      <c r="G182" s="33"/>
      <c r="H182" s="1" t="s">
        <v>36</v>
      </c>
      <c r="I182" s="1"/>
      <c r="J182" s="1"/>
      <c r="K182" s="1"/>
      <c r="L182" s="1"/>
      <c r="M182" s="1"/>
      <c r="N182" s="1"/>
      <c r="O182" s="14"/>
    </row>
    <row r="183" spans="1:15" ht="21" customHeight="1">
      <c r="A183" s="34"/>
      <c r="B183" s="42"/>
      <c r="C183" s="42"/>
      <c r="D183" s="42"/>
      <c r="E183" s="33"/>
      <c r="F183" s="33" t="s">
        <v>184</v>
      </c>
      <c r="G183" s="33" t="s">
        <v>185</v>
      </c>
      <c r="H183" s="1" t="s">
        <v>33</v>
      </c>
      <c r="I183" s="1"/>
      <c r="J183" s="2"/>
      <c r="K183" s="1"/>
      <c r="L183" s="1"/>
      <c r="M183" s="1"/>
      <c r="N183" s="1"/>
      <c r="O183" s="14" t="s">
        <v>186</v>
      </c>
    </row>
    <row r="184" spans="1:15" ht="21" customHeight="1">
      <c r="A184" s="34"/>
      <c r="B184" s="42"/>
      <c r="C184" s="42"/>
      <c r="D184" s="42"/>
      <c r="E184" s="33"/>
      <c r="F184" s="33"/>
      <c r="G184" s="33"/>
      <c r="H184" s="1" t="s">
        <v>36</v>
      </c>
      <c r="I184" s="1"/>
      <c r="J184" s="1"/>
      <c r="K184" s="1"/>
      <c r="L184" s="1"/>
      <c r="M184" s="1"/>
      <c r="N184" s="1"/>
      <c r="O184" s="14"/>
    </row>
    <row r="185" spans="1:15" ht="21" customHeight="1">
      <c r="A185" s="34"/>
      <c r="B185" s="42"/>
      <c r="C185" s="42"/>
      <c r="D185" s="42"/>
      <c r="E185" s="33"/>
      <c r="F185" s="33" t="s">
        <v>187</v>
      </c>
      <c r="G185" s="33" t="s">
        <v>188</v>
      </c>
      <c r="H185" s="1" t="s">
        <v>33</v>
      </c>
      <c r="I185" s="1"/>
      <c r="J185" s="2"/>
      <c r="K185" s="1"/>
      <c r="L185" s="1"/>
      <c r="M185" s="1"/>
      <c r="N185" s="1"/>
      <c r="O185" s="14" t="s">
        <v>189</v>
      </c>
    </row>
    <row r="186" spans="1:15" ht="21" customHeight="1">
      <c r="A186" s="34"/>
      <c r="B186" s="42"/>
      <c r="C186" s="42"/>
      <c r="D186" s="42"/>
      <c r="E186" s="33"/>
      <c r="F186" s="33"/>
      <c r="G186" s="33"/>
      <c r="H186" s="1" t="s">
        <v>36</v>
      </c>
      <c r="I186" s="1"/>
      <c r="J186" s="1"/>
      <c r="K186" s="1"/>
      <c r="L186" s="1"/>
      <c r="M186" s="1"/>
      <c r="N186" s="1"/>
      <c r="O186" s="14"/>
    </row>
    <row r="187" spans="1:15" ht="21" customHeight="1">
      <c r="A187" s="34"/>
      <c r="B187" s="42"/>
      <c r="C187" s="42"/>
      <c r="D187" s="42"/>
      <c r="E187" s="33"/>
      <c r="F187" s="33"/>
      <c r="G187" s="33" t="s">
        <v>190</v>
      </c>
      <c r="H187" s="1" t="s">
        <v>33</v>
      </c>
      <c r="I187" s="1"/>
      <c r="J187" s="2"/>
      <c r="K187" s="1"/>
      <c r="L187" s="1"/>
      <c r="M187" s="1"/>
      <c r="N187" s="1"/>
      <c r="O187" s="14" t="s">
        <v>186</v>
      </c>
    </row>
    <row r="188" spans="1:15" ht="21" customHeight="1">
      <c r="A188" s="34"/>
      <c r="B188" s="42"/>
      <c r="C188" s="42"/>
      <c r="D188" s="42"/>
      <c r="E188" s="33"/>
      <c r="F188" s="33"/>
      <c r="G188" s="33"/>
      <c r="H188" s="1" t="s">
        <v>36</v>
      </c>
      <c r="I188" s="1"/>
      <c r="J188" s="1"/>
      <c r="K188" s="1"/>
      <c r="L188" s="1"/>
      <c r="M188" s="1"/>
      <c r="N188" s="1"/>
      <c r="O188" s="14"/>
    </row>
    <row r="189" spans="1:15" ht="21" customHeight="1">
      <c r="A189" s="34"/>
      <c r="B189" s="42"/>
      <c r="C189" s="42"/>
      <c r="D189" s="42"/>
      <c r="E189" s="33"/>
      <c r="F189" s="33" t="s">
        <v>191</v>
      </c>
      <c r="G189" s="33" t="s">
        <v>192</v>
      </c>
      <c r="H189" s="1" t="s">
        <v>33</v>
      </c>
      <c r="I189" s="1"/>
      <c r="J189" s="1"/>
      <c r="K189" s="1"/>
      <c r="L189" s="7"/>
      <c r="M189" s="1"/>
      <c r="N189" s="1"/>
      <c r="O189" s="14" t="s">
        <v>11</v>
      </c>
    </row>
    <row r="190" spans="1:15" ht="21" customHeight="1">
      <c r="A190" s="34"/>
      <c r="B190" s="42"/>
      <c r="C190" s="42"/>
      <c r="D190" s="42"/>
      <c r="E190" s="33"/>
      <c r="F190" s="33"/>
      <c r="G190" s="33"/>
      <c r="H190" s="1" t="s">
        <v>36</v>
      </c>
      <c r="I190" s="1"/>
      <c r="J190" s="1"/>
      <c r="K190" s="1"/>
      <c r="L190" s="1"/>
      <c r="M190" s="1"/>
      <c r="N190" s="1"/>
      <c r="O190" s="14"/>
    </row>
    <row r="191" spans="1:15" ht="21" customHeight="1">
      <c r="A191" s="34"/>
      <c r="B191" s="42"/>
      <c r="C191" s="42"/>
      <c r="D191" s="42"/>
      <c r="E191" s="33"/>
      <c r="F191" s="33" t="s">
        <v>193</v>
      </c>
      <c r="G191" s="33" t="s">
        <v>194</v>
      </c>
      <c r="H191" s="1" t="s">
        <v>33</v>
      </c>
      <c r="I191" s="1"/>
      <c r="J191" s="1"/>
      <c r="K191" s="5"/>
      <c r="L191" s="1"/>
      <c r="M191" s="1"/>
      <c r="N191" s="1"/>
      <c r="O191" s="14" t="s">
        <v>195</v>
      </c>
    </row>
    <row r="192" spans="1:15" ht="21" customHeight="1">
      <c r="A192" s="34"/>
      <c r="B192" s="42"/>
      <c r="C192" s="42"/>
      <c r="D192" s="42"/>
      <c r="E192" s="33"/>
      <c r="F192" s="33"/>
      <c r="G192" s="33"/>
      <c r="H192" s="1" t="s">
        <v>36</v>
      </c>
      <c r="I192" s="1"/>
      <c r="J192" s="1"/>
      <c r="K192" s="1"/>
      <c r="L192" s="1"/>
      <c r="M192" s="1"/>
      <c r="N192" s="1"/>
      <c r="O192" s="14"/>
    </row>
    <row r="193" spans="1:15" ht="21" customHeight="1">
      <c r="A193" s="34"/>
      <c r="B193" s="42"/>
      <c r="C193" s="42"/>
      <c r="D193" s="42"/>
      <c r="E193" s="33"/>
      <c r="F193" s="33" t="s">
        <v>196</v>
      </c>
      <c r="G193" s="33" t="s">
        <v>197</v>
      </c>
      <c r="H193" s="1" t="s">
        <v>33</v>
      </c>
      <c r="I193" s="1"/>
      <c r="J193" s="1"/>
      <c r="K193" s="1"/>
      <c r="L193" s="7"/>
      <c r="M193" s="1"/>
      <c r="N193" s="1"/>
      <c r="O193" s="14" t="s">
        <v>198</v>
      </c>
    </row>
    <row r="194" spans="1:15" ht="21" customHeight="1">
      <c r="A194" s="34"/>
      <c r="B194" s="42"/>
      <c r="C194" s="42"/>
      <c r="D194" s="42"/>
      <c r="E194" s="33"/>
      <c r="F194" s="33"/>
      <c r="G194" s="33"/>
      <c r="H194" s="1" t="s">
        <v>36</v>
      </c>
      <c r="I194" s="1"/>
      <c r="J194" s="1"/>
      <c r="K194" s="1"/>
      <c r="L194" s="1"/>
      <c r="M194" s="1"/>
      <c r="N194" s="1"/>
      <c r="O194" s="14"/>
    </row>
    <row r="195" spans="1:15" ht="21" customHeight="1">
      <c r="A195" s="34"/>
      <c r="B195" s="42"/>
      <c r="C195" s="42"/>
      <c r="D195" s="42"/>
      <c r="E195" s="33"/>
      <c r="F195" s="33" t="s">
        <v>199</v>
      </c>
      <c r="G195" s="33" t="s">
        <v>200</v>
      </c>
      <c r="H195" s="1" t="s">
        <v>33</v>
      </c>
      <c r="I195" s="1"/>
      <c r="J195" s="2"/>
      <c r="K195" s="1"/>
      <c r="L195" s="1"/>
      <c r="M195" s="1"/>
      <c r="N195" s="1"/>
      <c r="O195" s="14" t="s">
        <v>198</v>
      </c>
    </row>
    <row r="196" spans="1:15" ht="21" customHeight="1">
      <c r="A196" s="34"/>
      <c r="B196" s="42"/>
      <c r="C196" s="42"/>
      <c r="D196" s="42"/>
      <c r="E196" s="33"/>
      <c r="F196" s="33"/>
      <c r="G196" s="33"/>
      <c r="H196" s="1" t="s">
        <v>36</v>
      </c>
      <c r="I196" s="1"/>
      <c r="J196" s="1"/>
      <c r="K196" s="1"/>
      <c r="L196" s="1"/>
      <c r="M196" s="1"/>
      <c r="N196" s="1"/>
      <c r="O196" s="14"/>
    </row>
    <row r="197" spans="1:15" ht="21" customHeight="1">
      <c r="A197" s="34"/>
      <c r="B197" s="42"/>
      <c r="C197" s="42"/>
      <c r="D197" s="42"/>
      <c r="E197" s="33"/>
      <c r="F197" s="33" t="s">
        <v>201</v>
      </c>
      <c r="G197" s="33" t="s">
        <v>202</v>
      </c>
      <c r="H197" s="1" t="s">
        <v>33</v>
      </c>
      <c r="I197" s="1"/>
      <c r="J197" s="1"/>
      <c r="K197" s="5"/>
      <c r="L197" s="1"/>
      <c r="M197" s="1"/>
      <c r="N197" s="1"/>
      <c r="O197" s="14" t="s">
        <v>46</v>
      </c>
    </row>
    <row r="198" spans="1:15" ht="21" customHeight="1">
      <c r="A198" s="34"/>
      <c r="B198" s="42"/>
      <c r="C198" s="42"/>
      <c r="D198" s="42"/>
      <c r="E198" s="33"/>
      <c r="F198" s="33"/>
      <c r="G198" s="33"/>
      <c r="H198" s="1" t="s">
        <v>36</v>
      </c>
      <c r="I198" s="1"/>
      <c r="J198" s="1"/>
      <c r="K198" s="1"/>
      <c r="L198" s="1"/>
      <c r="M198" s="1"/>
      <c r="N198" s="1"/>
      <c r="O198" s="14"/>
    </row>
    <row r="199" spans="1:15" ht="21" customHeight="1">
      <c r="A199" s="34"/>
      <c r="B199" s="42"/>
      <c r="C199" s="42"/>
      <c r="D199" s="42"/>
      <c r="E199" s="33"/>
      <c r="F199" s="33" t="s">
        <v>203</v>
      </c>
      <c r="G199" s="33" t="s">
        <v>202</v>
      </c>
      <c r="H199" s="1" t="s">
        <v>33</v>
      </c>
      <c r="I199" s="1"/>
      <c r="J199" s="1"/>
      <c r="K199" s="5"/>
      <c r="L199" s="1"/>
      <c r="M199" s="1"/>
      <c r="N199" s="1"/>
      <c r="O199" s="14" t="s">
        <v>96</v>
      </c>
    </row>
    <row r="200" spans="1:15" ht="21" customHeight="1">
      <c r="A200" s="34"/>
      <c r="B200" s="42"/>
      <c r="C200" s="42"/>
      <c r="D200" s="42"/>
      <c r="E200" s="33"/>
      <c r="F200" s="33"/>
      <c r="G200" s="33"/>
      <c r="H200" s="1" t="s">
        <v>36</v>
      </c>
      <c r="I200" s="1"/>
      <c r="J200" s="1"/>
      <c r="K200" s="1"/>
      <c r="L200" s="1"/>
      <c r="M200" s="1"/>
      <c r="N200" s="1"/>
      <c r="O200" s="14"/>
    </row>
    <row r="201" spans="1:15" ht="21" customHeight="1">
      <c r="A201" s="34"/>
      <c r="B201" s="42"/>
      <c r="C201" s="42"/>
      <c r="D201" s="42"/>
      <c r="E201" s="33"/>
      <c r="F201" s="33" t="s">
        <v>204</v>
      </c>
      <c r="G201" s="33" t="s">
        <v>205</v>
      </c>
      <c r="H201" s="1" t="s">
        <v>33</v>
      </c>
      <c r="I201" s="1"/>
      <c r="J201" s="2"/>
      <c r="K201" s="1"/>
      <c r="L201" s="1"/>
      <c r="M201" s="1"/>
      <c r="N201" s="1"/>
      <c r="O201" s="14" t="s">
        <v>34</v>
      </c>
    </row>
    <row r="202" spans="1:15" ht="21" customHeight="1">
      <c r="A202" s="34"/>
      <c r="B202" s="42"/>
      <c r="C202" s="42"/>
      <c r="D202" s="42"/>
      <c r="E202" s="33"/>
      <c r="F202" s="33"/>
      <c r="G202" s="33"/>
      <c r="H202" s="1" t="s">
        <v>36</v>
      </c>
      <c r="I202" s="1"/>
      <c r="J202" s="1"/>
      <c r="K202" s="1"/>
      <c r="L202" s="1"/>
      <c r="M202" s="1"/>
      <c r="N202" s="1"/>
      <c r="O202" s="14"/>
    </row>
    <row r="203" spans="1:15" ht="21" customHeight="1">
      <c r="A203" s="34"/>
      <c r="B203" s="42"/>
      <c r="C203" s="42"/>
      <c r="D203" s="42"/>
      <c r="E203" s="33"/>
      <c r="F203" s="33"/>
      <c r="G203" s="33" t="s">
        <v>206</v>
      </c>
      <c r="H203" s="1" t="s">
        <v>33</v>
      </c>
      <c r="I203" s="1"/>
      <c r="J203" s="2"/>
      <c r="K203" s="1"/>
      <c r="L203" s="1"/>
      <c r="M203" s="1"/>
      <c r="N203" s="1"/>
      <c r="O203" s="14" t="s">
        <v>34</v>
      </c>
    </row>
    <row r="204" spans="1:15" ht="21" customHeight="1">
      <c r="A204" s="34"/>
      <c r="B204" s="42"/>
      <c r="C204" s="42"/>
      <c r="D204" s="42"/>
      <c r="E204" s="33"/>
      <c r="F204" s="33"/>
      <c r="G204" s="33"/>
      <c r="H204" s="1" t="s">
        <v>36</v>
      </c>
      <c r="I204" s="1"/>
      <c r="J204" s="1"/>
      <c r="K204" s="1"/>
      <c r="L204" s="1"/>
      <c r="M204" s="1"/>
      <c r="N204" s="1"/>
      <c r="O204" s="14"/>
    </row>
    <row r="205" spans="1:15" ht="21" customHeight="1">
      <c r="A205" s="34"/>
      <c r="B205" s="42"/>
      <c r="C205" s="42"/>
      <c r="D205" s="42"/>
      <c r="E205" s="33"/>
      <c r="F205" s="33" t="s">
        <v>207</v>
      </c>
      <c r="G205" s="33" t="s">
        <v>208</v>
      </c>
      <c r="H205" s="1" t="s">
        <v>209</v>
      </c>
      <c r="I205" s="1"/>
      <c r="J205" s="1"/>
      <c r="K205" s="1"/>
      <c r="L205" s="1"/>
      <c r="M205" s="1"/>
      <c r="N205" s="1"/>
      <c r="O205" s="14" t="s">
        <v>34</v>
      </c>
    </row>
    <row r="206" spans="1:15" ht="23.45" customHeight="1">
      <c r="A206" s="34"/>
      <c r="B206" s="42"/>
      <c r="C206" s="42"/>
      <c r="D206" s="42"/>
      <c r="E206" s="33"/>
      <c r="F206" s="33"/>
      <c r="G206" s="33"/>
      <c r="H206" s="1" t="s">
        <v>81</v>
      </c>
      <c r="I206" s="1"/>
      <c r="J206" s="1"/>
      <c r="K206" s="1"/>
      <c r="L206" s="1"/>
      <c r="M206" s="1"/>
      <c r="N206" s="1"/>
      <c r="O206" s="14"/>
    </row>
    <row r="207" spans="1:15" ht="21" customHeight="1">
      <c r="A207" s="34"/>
      <c r="B207" s="42"/>
      <c r="C207" s="42"/>
      <c r="D207" s="42"/>
      <c r="E207" s="33"/>
      <c r="F207" s="33" t="s">
        <v>210</v>
      </c>
      <c r="G207" s="33" t="s">
        <v>211</v>
      </c>
      <c r="H207" s="1" t="s">
        <v>33</v>
      </c>
      <c r="I207" s="1"/>
      <c r="J207" s="2"/>
      <c r="K207" s="1"/>
      <c r="L207" s="1"/>
      <c r="M207" s="1"/>
      <c r="N207" s="1"/>
      <c r="O207" s="14" t="s">
        <v>34</v>
      </c>
    </row>
    <row r="208" spans="1:15" ht="21" customHeight="1">
      <c r="A208" s="34"/>
      <c r="B208" s="43"/>
      <c r="C208" s="43"/>
      <c r="D208" s="43"/>
      <c r="E208" s="33"/>
      <c r="F208" s="33"/>
      <c r="G208" s="33"/>
      <c r="H208" s="1" t="s">
        <v>36</v>
      </c>
      <c r="I208" s="1"/>
      <c r="J208" s="1"/>
      <c r="K208" s="1"/>
      <c r="L208" s="1"/>
      <c r="M208" s="1"/>
      <c r="N208" s="1"/>
      <c r="O208" s="14"/>
    </row>
    <row r="209" spans="1:15" ht="21" customHeight="1">
      <c r="A209" s="34"/>
      <c r="B209" s="35" t="s">
        <v>212</v>
      </c>
      <c r="C209" s="35" t="s">
        <v>213</v>
      </c>
      <c r="D209" s="35" t="s">
        <v>214</v>
      </c>
      <c r="E209" s="33" t="s">
        <v>215</v>
      </c>
      <c r="F209" s="33" t="s">
        <v>31</v>
      </c>
      <c r="G209" s="33" t="s">
        <v>56</v>
      </c>
      <c r="H209" s="1" t="s">
        <v>33</v>
      </c>
      <c r="I209" s="1"/>
      <c r="J209" s="2"/>
      <c r="K209" s="1"/>
      <c r="L209" s="1"/>
      <c r="M209" s="1"/>
      <c r="N209" s="1"/>
      <c r="O209" s="1" t="s">
        <v>34</v>
      </c>
    </row>
    <row r="210" spans="1:15" ht="21" customHeight="1">
      <c r="A210" s="34"/>
      <c r="B210" s="35"/>
      <c r="C210" s="35"/>
      <c r="D210" s="35" t="s">
        <v>35</v>
      </c>
      <c r="E210" s="33"/>
      <c r="F210" s="33"/>
      <c r="G210" s="33"/>
      <c r="H210" s="1" t="s">
        <v>36</v>
      </c>
      <c r="I210" s="1"/>
      <c r="J210" s="1"/>
      <c r="K210" s="1"/>
      <c r="L210" s="1"/>
      <c r="M210" s="1"/>
      <c r="N210" s="1"/>
      <c r="O210" s="1"/>
    </row>
    <row r="211" spans="1:15" ht="21" customHeight="1">
      <c r="A211" s="34"/>
      <c r="B211" s="35"/>
      <c r="C211" s="35"/>
      <c r="D211" s="35" t="s">
        <v>35</v>
      </c>
      <c r="E211" s="33"/>
      <c r="F211" s="33" t="s">
        <v>216</v>
      </c>
      <c r="G211" s="33" t="s">
        <v>66</v>
      </c>
      <c r="H211" s="1" t="s">
        <v>33</v>
      </c>
      <c r="I211" s="1"/>
      <c r="J211" s="2"/>
      <c r="K211" s="1"/>
      <c r="L211" s="1"/>
      <c r="M211" s="1"/>
      <c r="N211" s="1"/>
      <c r="O211" s="1" t="s">
        <v>198</v>
      </c>
    </row>
    <row r="212" spans="1:15" ht="21" customHeight="1">
      <c r="A212" s="34"/>
      <c r="B212" s="35"/>
      <c r="C212" s="35"/>
      <c r="D212" s="35" t="s">
        <v>35</v>
      </c>
      <c r="E212" s="33"/>
      <c r="F212" s="33"/>
      <c r="G212" s="33"/>
      <c r="H212" s="1" t="s">
        <v>36</v>
      </c>
      <c r="I212" s="1"/>
      <c r="J212" s="1"/>
      <c r="K212" s="1"/>
      <c r="L212" s="1"/>
      <c r="M212" s="1"/>
      <c r="N212" s="1"/>
      <c r="O212" s="1"/>
    </row>
    <row r="213" spans="1:15" ht="21" customHeight="1">
      <c r="A213" s="34"/>
      <c r="B213" s="35"/>
      <c r="C213" s="35"/>
      <c r="D213" s="35"/>
      <c r="E213" s="33"/>
      <c r="F213" s="39" t="s">
        <v>217</v>
      </c>
      <c r="G213" s="39" t="s">
        <v>218</v>
      </c>
      <c r="H213" s="1" t="s">
        <v>33</v>
      </c>
      <c r="I213" s="1"/>
      <c r="J213" s="1"/>
      <c r="K213" s="1"/>
      <c r="L213" s="1"/>
      <c r="M213" s="1"/>
      <c r="N213" s="3"/>
      <c r="O213" s="1" t="s">
        <v>219</v>
      </c>
    </row>
    <row r="214" spans="1:15" ht="21" customHeight="1">
      <c r="A214" s="34"/>
      <c r="B214" s="35"/>
      <c r="C214" s="35"/>
      <c r="D214" s="35"/>
      <c r="E214" s="33"/>
      <c r="F214" s="40"/>
      <c r="G214" s="40"/>
      <c r="H214" s="1" t="s">
        <v>36</v>
      </c>
      <c r="I214" s="1"/>
      <c r="J214" s="1"/>
      <c r="K214" s="1"/>
      <c r="L214" s="1"/>
      <c r="M214" s="1"/>
      <c r="N214" s="1"/>
      <c r="O214" s="1"/>
    </row>
    <row r="215" spans="1:15" ht="21" customHeight="1">
      <c r="A215" s="34"/>
      <c r="B215" s="35"/>
      <c r="C215" s="35"/>
      <c r="D215" s="35" t="s">
        <v>35</v>
      </c>
      <c r="E215" s="33"/>
      <c r="F215" s="33" t="s">
        <v>220</v>
      </c>
      <c r="G215" s="33" t="s">
        <v>43</v>
      </c>
      <c r="H215" s="1" t="s">
        <v>33</v>
      </c>
      <c r="I215" s="1"/>
      <c r="J215" s="1"/>
      <c r="K215" s="5"/>
      <c r="L215" s="1"/>
      <c r="M215" s="1"/>
      <c r="N215" s="1"/>
      <c r="O215" s="1" t="s">
        <v>96</v>
      </c>
    </row>
    <row r="216" spans="1:15" ht="21" customHeight="1">
      <c r="A216" s="34"/>
      <c r="B216" s="35"/>
      <c r="C216" s="35"/>
      <c r="D216" s="35" t="s">
        <v>35</v>
      </c>
      <c r="E216" s="33"/>
      <c r="F216" s="33"/>
      <c r="G216" s="33"/>
      <c r="H216" s="1" t="s">
        <v>36</v>
      </c>
      <c r="I216" s="1"/>
      <c r="J216" s="1"/>
      <c r="K216" s="1"/>
      <c r="L216" s="1"/>
      <c r="M216" s="1"/>
      <c r="N216" s="1"/>
      <c r="O216" s="1"/>
    </row>
    <row r="217" spans="1:15" ht="21" customHeight="1">
      <c r="A217" s="34"/>
      <c r="B217" s="35"/>
      <c r="C217" s="35"/>
      <c r="D217" s="35" t="s">
        <v>35</v>
      </c>
      <c r="E217" s="33"/>
      <c r="F217" s="33" t="s">
        <v>221</v>
      </c>
      <c r="G217" s="33" t="s">
        <v>43</v>
      </c>
      <c r="H217" s="1" t="s">
        <v>33</v>
      </c>
      <c r="I217" s="1"/>
      <c r="J217" s="1"/>
      <c r="K217" s="5"/>
      <c r="L217" s="1"/>
      <c r="M217" s="1"/>
      <c r="N217" s="1"/>
      <c r="O217" s="1" t="s">
        <v>96</v>
      </c>
    </row>
    <row r="218" spans="1:15" ht="21" customHeight="1">
      <c r="A218" s="34"/>
      <c r="B218" s="35"/>
      <c r="C218" s="35"/>
      <c r="D218" s="35" t="s">
        <v>35</v>
      </c>
      <c r="E218" s="33"/>
      <c r="F218" s="33"/>
      <c r="G218" s="33"/>
      <c r="H218" s="1" t="s">
        <v>36</v>
      </c>
      <c r="I218" s="1"/>
      <c r="J218" s="1"/>
      <c r="K218" s="1"/>
      <c r="L218" s="1"/>
      <c r="M218" s="1"/>
      <c r="N218" s="1"/>
      <c r="O218" s="1"/>
    </row>
    <row r="219" spans="1:15" ht="21" customHeight="1">
      <c r="A219" s="34"/>
      <c r="B219" s="35"/>
      <c r="C219" s="35"/>
      <c r="D219" s="35" t="s">
        <v>35</v>
      </c>
      <c r="E219" s="33"/>
      <c r="F219" s="33" t="s">
        <v>187</v>
      </c>
      <c r="G219" s="33" t="s">
        <v>43</v>
      </c>
      <c r="H219" s="1" t="s">
        <v>33</v>
      </c>
      <c r="I219" s="1"/>
      <c r="J219" s="1"/>
      <c r="K219" s="5"/>
      <c r="L219" s="1"/>
      <c r="M219" s="1"/>
      <c r="N219" s="1"/>
      <c r="O219" s="1" t="s">
        <v>96</v>
      </c>
    </row>
    <row r="220" spans="1:15" ht="21" customHeight="1">
      <c r="A220" s="34"/>
      <c r="B220" s="35"/>
      <c r="C220" s="35"/>
      <c r="D220" s="35" t="s">
        <v>35</v>
      </c>
      <c r="E220" s="33"/>
      <c r="F220" s="33"/>
      <c r="G220" s="33"/>
      <c r="H220" s="1" t="s">
        <v>36</v>
      </c>
      <c r="I220" s="1"/>
      <c r="J220" s="1"/>
      <c r="K220" s="1"/>
      <c r="L220" s="1"/>
      <c r="M220" s="1"/>
      <c r="N220" s="1"/>
      <c r="O220" s="1"/>
    </row>
    <row r="221" spans="1:15" ht="21" customHeight="1">
      <c r="A221" s="34"/>
      <c r="B221" s="35"/>
      <c r="C221" s="35"/>
      <c r="D221" s="35" t="s">
        <v>35</v>
      </c>
      <c r="E221" s="33"/>
      <c r="F221" s="33" t="s">
        <v>222</v>
      </c>
      <c r="G221" s="33" t="s">
        <v>66</v>
      </c>
      <c r="H221" s="1" t="s">
        <v>33</v>
      </c>
      <c r="I221" s="1"/>
      <c r="J221" s="1"/>
      <c r="K221" s="5"/>
      <c r="L221" s="1"/>
      <c r="M221" s="1"/>
      <c r="N221" s="1"/>
      <c r="O221" s="1" t="s">
        <v>96</v>
      </c>
    </row>
    <row r="222" spans="1:15" ht="21" customHeight="1">
      <c r="A222" s="34"/>
      <c r="B222" s="35"/>
      <c r="C222" s="35"/>
      <c r="D222" s="35" t="s">
        <v>35</v>
      </c>
      <c r="E222" s="33"/>
      <c r="F222" s="33"/>
      <c r="G222" s="33"/>
      <c r="H222" s="1" t="s">
        <v>36</v>
      </c>
      <c r="I222" s="1"/>
      <c r="J222" s="1"/>
      <c r="K222" s="1"/>
      <c r="L222" s="1"/>
      <c r="M222" s="1"/>
      <c r="N222" s="1"/>
      <c r="O222" s="1"/>
    </row>
    <row r="223" spans="1:15" ht="21" customHeight="1">
      <c r="A223" s="34"/>
      <c r="B223" s="35"/>
      <c r="C223" s="35"/>
      <c r="D223" s="35" t="s">
        <v>35</v>
      </c>
      <c r="E223" s="33"/>
      <c r="F223" s="33" t="s">
        <v>203</v>
      </c>
      <c r="G223" s="33" t="s">
        <v>66</v>
      </c>
      <c r="H223" s="1" t="s">
        <v>33</v>
      </c>
      <c r="I223" s="1"/>
      <c r="J223" s="1"/>
      <c r="K223" s="5"/>
      <c r="L223" s="1"/>
      <c r="M223" s="1"/>
      <c r="N223" s="1"/>
      <c r="O223" s="1" t="s">
        <v>46</v>
      </c>
    </row>
    <row r="224" spans="1:15" ht="21" customHeight="1">
      <c r="A224" s="34"/>
      <c r="B224" s="35"/>
      <c r="C224" s="35"/>
      <c r="D224" s="35" t="s">
        <v>35</v>
      </c>
      <c r="E224" s="33"/>
      <c r="F224" s="33"/>
      <c r="G224" s="33"/>
      <c r="H224" s="1" t="s">
        <v>36</v>
      </c>
      <c r="I224" s="1"/>
      <c r="J224" s="1"/>
      <c r="K224" s="1"/>
      <c r="L224" s="1"/>
      <c r="M224" s="1"/>
      <c r="N224" s="1"/>
      <c r="O224" s="1"/>
    </row>
    <row r="225" spans="1:15" ht="21" customHeight="1">
      <c r="A225" s="34"/>
      <c r="B225" s="35"/>
      <c r="C225" s="35"/>
      <c r="D225" s="35" t="s">
        <v>35</v>
      </c>
      <c r="E225" s="33"/>
      <c r="F225" s="33" t="s">
        <v>223</v>
      </c>
      <c r="G225" s="33" t="s">
        <v>66</v>
      </c>
      <c r="H225" s="1" t="s">
        <v>33</v>
      </c>
      <c r="I225" s="1"/>
      <c r="J225" s="1"/>
      <c r="K225" s="5"/>
      <c r="L225" s="1"/>
      <c r="M225" s="1"/>
      <c r="N225" s="1"/>
      <c r="O225" s="1" t="s">
        <v>96</v>
      </c>
    </row>
    <row r="226" spans="1:15" ht="21" customHeight="1">
      <c r="A226" s="34"/>
      <c r="B226" s="35"/>
      <c r="C226" s="35"/>
      <c r="D226" s="35" t="s">
        <v>35</v>
      </c>
      <c r="E226" s="33"/>
      <c r="F226" s="33"/>
      <c r="G226" s="33"/>
      <c r="H226" s="1" t="s">
        <v>36</v>
      </c>
      <c r="I226" s="1"/>
      <c r="J226" s="1"/>
      <c r="K226" s="1"/>
      <c r="L226" s="1"/>
      <c r="M226" s="1"/>
      <c r="N226" s="1"/>
      <c r="O226" s="1"/>
    </row>
    <row r="227" spans="1:15" ht="21" customHeight="1">
      <c r="A227" s="34"/>
      <c r="B227" s="35"/>
      <c r="C227" s="35"/>
      <c r="D227" s="35" t="s">
        <v>35</v>
      </c>
      <c r="E227" s="33"/>
      <c r="F227" s="33" t="s">
        <v>204</v>
      </c>
      <c r="G227" s="33" t="s">
        <v>224</v>
      </c>
      <c r="H227" s="1" t="s">
        <v>33</v>
      </c>
      <c r="I227" s="1"/>
      <c r="J227" s="2"/>
      <c r="K227" s="1"/>
      <c r="L227" s="1"/>
      <c r="M227" s="1"/>
      <c r="N227" s="1"/>
      <c r="O227" s="1" t="s">
        <v>34</v>
      </c>
    </row>
    <row r="228" spans="1:15" ht="21" customHeight="1">
      <c r="A228" s="34"/>
      <c r="B228" s="35"/>
      <c r="C228" s="35"/>
      <c r="D228" s="35" t="s">
        <v>35</v>
      </c>
      <c r="E228" s="33"/>
      <c r="F228" s="33"/>
      <c r="G228" s="33"/>
      <c r="H228" s="1" t="s">
        <v>36</v>
      </c>
      <c r="I228" s="1"/>
      <c r="J228" s="1"/>
      <c r="K228" s="1"/>
      <c r="L228" s="1"/>
      <c r="M228" s="1"/>
      <c r="N228" s="1"/>
      <c r="O228" s="1"/>
    </row>
    <row r="229" spans="1:15" ht="21" customHeight="1">
      <c r="A229" s="34"/>
      <c r="B229" s="35"/>
      <c r="C229" s="35"/>
      <c r="D229" s="35" t="s">
        <v>35</v>
      </c>
      <c r="E229" s="33"/>
      <c r="F229" s="33"/>
      <c r="G229" s="33" t="s">
        <v>225</v>
      </c>
      <c r="H229" s="1" t="s">
        <v>33</v>
      </c>
      <c r="I229" s="1"/>
      <c r="J229" s="2"/>
      <c r="K229" s="1"/>
      <c r="L229" s="1"/>
      <c r="M229" s="1"/>
      <c r="N229" s="1"/>
      <c r="O229" s="1" t="s">
        <v>34</v>
      </c>
    </row>
    <row r="230" spans="1:15" ht="21" customHeight="1">
      <c r="A230" s="34"/>
      <c r="B230" s="35"/>
      <c r="C230" s="35"/>
      <c r="D230" s="35" t="s">
        <v>35</v>
      </c>
      <c r="E230" s="33"/>
      <c r="F230" s="33"/>
      <c r="G230" s="33"/>
      <c r="H230" s="1" t="s">
        <v>36</v>
      </c>
      <c r="I230" s="1"/>
      <c r="J230" s="1"/>
      <c r="K230" s="1"/>
      <c r="L230" s="1"/>
      <c r="M230" s="1"/>
      <c r="N230" s="1"/>
      <c r="O230" s="1"/>
    </row>
    <row r="231" spans="1:15" ht="21" customHeight="1">
      <c r="A231" s="34"/>
      <c r="B231" s="35"/>
      <c r="C231" s="35"/>
      <c r="D231" s="35" t="s">
        <v>35</v>
      </c>
      <c r="E231" s="33"/>
      <c r="F231" s="33" t="s">
        <v>226</v>
      </c>
      <c r="G231" s="33" t="s">
        <v>227</v>
      </c>
      <c r="H231" s="1" t="s">
        <v>33</v>
      </c>
      <c r="I231" s="1"/>
      <c r="J231" s="2"/>
      <c r="K231" s="1"/>
      <c r="L231" s="1"/>
      <c r="M231" s="1"/>
      <c r="N231" s="1"/>
      <c r="O231" s="1" t="s">
        <v>34</v>
      </c>
    </row>
    <row r="232" spans="1:15" ht="21" customHeight="1">
      <c r="A232" s="34"/>
      <c r="B232" s="35"/>
      <c r="C232" s="35"/>
      <c r="D232" s="35" t="s">
        <v>35</v>
      </c>
      <c r="E232" s="33"/>
      <c r="F232" s="33"/>
      <c r="G232" s="33"/>
      <c r="H232" s="1" t="s">
        <v>36</v>
      </c>
      <c r="I232" s="1"/>
      <c r="J232" s="1"/>
      <c r="K232" s="1"/>
      <c r="L232" s="1"/>
      <c r="M232" s="1"/>
      <c r="N232" s="1"/>
      <c r="O232" s="1"/>
    </row>
    <row r="233" spans="1:15" ht="21" customHeight="1">
      <c r="A233" s="34"/>
      <c r="B233" s="35" t="s">
        <v>228</v>
      </c>
      <c r="C233" s="35" t="s">
        <v>229</v>
      </c>
      <c r="D233" s="35" t="s">
        <v>230</v>
      </c>
      <c r="E233" s="33" t="s">
        <v>231</v>
      </c>
      <c r="F233" s="33" t="s">
        <v>232</v>
      </c>
      <c r="G233" s="33" t="s">
        <v>233</v>
      </c>
      <c r="H233" s="1" t="s">
        <v>33</v>
      </c>
      <c r="I233" s="1"/>
      <c r="J233" s="1"/>
      <c r="K233" s="5"/>
      <c r="L233" s="1"/>
      <c r="M233" s="1"/>
      <c r="N233" s="1"/>
      <c r="O233" s="1" t="s">
        <v>61</v>
      </c>
    </row>
    <row r="234" spans="1:15" ht="21" customHeight="1">
      <c r="A234" s="34"/>
      <c r="B234" s="35"/>
      <c r="C234" s="35"/>
      <c r="D234" s="35" t="s">
        <v>35</v>
      </c>
      <c r="E234" s="33"/>
      <c r="F234" s="33"/>
      <c r="G234" s="33"/>
      <c r="H234" s="1" t="s">
        <v>36</v>
      </c>
      <c r="I234" s="1"/>
      <c r="J234" s="1"/>
      <c r="K234" s="1"/>
      <c r="L234" s="1"/>
      <c r="M234" s="1"/>
      <c r="N234" s="1"/>
      <c r="O234" s="1"/>
    </row>
    <row r="235" spans="1:15" ht="23.45" customHeight="1">
      <c r="A235" s="34"/>
      <c r="B235" s="35"/>
      <c r="C235" s="35"/>
      <c r="D235" s="35" t="s">
        <v>35</v>
      </c>
      <c r="E235" s="33"/>
      <c r="F235" s="33" t="s">
        <v>234</v>
      </c>
      <c r="G235" s="33" t="s">
        <v>235</v>
      </c>
      <c r="H235" s="1" t="s">
        <v>33</v>
      </c>
      <c r="I235" s="6"/>
      <c r="J235" s="2"/>
      <c r="K235" s="6"/>
      <c r="L235" s="6"/>
      <c r="M235" s="6"/>
      <c r="N235" s="6"/>
      <c r="O235" s="1" t="s">
        <v>34</v>
      </c>
    </row>
    <row r="236" spans="1:15" ht="23.45" customHeight="1">
      <c r="A236" s="34"/>
      <c r="B236" s="35"/>
      <c r="C236" s="35"/>
      <c r="D236" s="35" t="s">
        <v>35</v>
      </c>
      <c r="E236" s="33"/>
      <c r="F236" s="33"/>
      <c r="G236" s="33"/>
      <c r="H236" s="1" t="s">
        <v>36</v>
      </c>
      <c r="I236" s="6"/>
      <c r="J236" s="6"/>
      <c r="K236" s="6"/>
      <c r="L236" s="6"/>
      <c r="M236" s="6"/>
      <c r="N236" s="6"/>
      <c r="O236" s="1"/>
    </row>
    <row r="237" spans="1:15" ht="23.45" customHeight="1">
      <c r="A237" s="34"/>
      <c r="B237" s="35" t="s">
        <v>236</v>
      </c>
      <c r="C237" s="35" t="s">
        <v>237</v>
      </c>
      <c r="D237" s="35" t="s">
        <v>238</v>
      </c>
      <c r="E237" s="33" t="s">
        <v>152</v>
      </c>
      <c r="F237" s="33" t="s">
        <v>31</v>
      </c>
      <c r="G237" s="33" t="s">
        <v>153</v>
      </c>
      <c r="H237" s="1" t="s">
        <v>33</v>
      </c>
      <c r="I237" s="1"/>
      <c r="J237" s="2"/>
      <c r="K237" s="1"/>
      <c r="L237" s="1"/>
      <c r="M237" s="1"/>
      <c r="N237" s="1"/>
      <c r="O237" s="1" t="s">
        <v>34</v>
      </c>
    </row>
    <row r="238" spans="1:15" ht="23.45" customHeight="1">
      <c r="A238" s="34"/>
      <c r="B238" s="35"/>
      <c r="C238" s="35"/>
      <c r="D238" s="35" t="s">
        <v>35</v>
      </c>
      <c r="E238" s="33"/>
      <c r="F238" s="33"/>
      <c r="G238" s="33"/>
      <c r="H238" s="1" t="s">
        <v>36</v>
      </c>
      <c r="I238" s="1"/>
      <c r="J238" s="1"/>
      <c r="K238" s="1"/>
      <c r="L238" s="1"/>
      <c r="M238" s="1"/>
      <c r="N238" s="1"/>
      <c r="O238" s="1"/>
    </row>
    <row r="239" spans="1:15" ht="23.45" customHeight="1">
      <c r="A239" s="34"/>
      <c r="B239" s="35"/>
      <c r="C239" s="35"/>
      <c r="D239" s="35" t="s">
        <v>35</v>
      </c>
      <c r="E239" s="33"/>
      <c r="F239" s="33" t="s">
        <v>57</v>
      </c>
      <c r="G239" s="33" t="s">
        <v>154</v>
      </c>
      <c r="H239" s="1" t="s">
        <v>33</v>
      </c>
      <c r="I239" s="1"/>
      <c r="J239" s="1"/>
      <c r="K239" s="1"/>
      <c r="L239" s="7"/>
      <c r="M239" s="1"/>
      <c r="N239" s="1"/>
      <c r="O239" s="1" t="s">
        <v>73</v>
      </c>
    </row>
    <row r="240" spans="1:15" ht="23.45" customHeight="1">
      <c r="A240" s="34"/>
      <c r="B240" s="35"/>
      <c r="C240" s="35"/>
      <c r="D240" s="35" t="s">
        <v>35</v>
      </c>
      <c r="E240" s="33"/>
      <c r="F240" s="33"/>
      <c r="G240" s="33"/>
      <c r="H240" s="1" t="s">
        <v>36</v>
      </c>
      <c r="I240" s="1"/>
      <c r="J240" s="1"/>
      <c r="K240" s="1"/>
      <c r="L240" s="1"/>
      <c r="M240" s="1"/>
      <c r="N240" s="1"/>
      <c r="O240" s="1"/>
    </row>
    <row r="241" spans="1:15" ht="23.45" customHeight="1">
      <c r="A241" s="34"/>
      <c r="B241" s="35"/>
      <c r="C241" s="35"/>
      <c r="D241" s="35" t="s">
        <v>35</v>
      </c>
      <c r="E241" s="33"/>
      <c r="F241" s="33"/>
      <c r="G241" s="33" t="s">
        <v>155</v>
      </c>
      <c r="H241" s="1" t="s">
        <v>33</v>
      </c>
      <c r="I241" s="1"/>
      <c r="J241" s="1"/>
      <c r="K241" s="1"/>
      <c r="L241" s="1"/>
      <c r="M241" s="1"/>
      <c r="N241" s="3"/>
      <c r="O241" s="1" t="s">
        <v>41</v>
      </c>
    </row>
    <row r="242" spans="1:15" ht="23.45" customHeight="1">
      <c r="A242" s="34"/>
      <c r="B242" s="35"/>
      <c r="C242" s="35"/>
      <c r="D242" s="35" t="s">
        <v>35</v>
      </c>
      <c r="E242" s="33"/>
      <c r="F242" s="33"/>
      <c r="G242" s="33"/>
      <c r="H242" s="1" t="s">
        <v>36</v>
      </c>
      <c r="I242" s="1"/>
      <c r="J242" s="1"/>
      <c r="K242" s="1"/>
      <c r="L242" s="1"/>
      <c r="M242" s="1"/>
      <c r="N242" s="1"/>
      <c r="O242" s="1"/>
    </row>
    <row r="243" spans="1:15" ht="23.45" customHeight="1">
      <c r="A243" s="34"/>
      <c r="B243" s="35"/>
      <c r="C243" s="35"/>
      <c r="D243" s="35" t="s">
        <v>35</v>
      </c>
      <c r="E243" s="33"/>
      <c r="F243" s="33" t="s">
        <v>156</v>
      </c>
      <c r="G243" s="33" t="s">
        <v>157</v>
      </c>
      <c r="H243" s="1" t="s">
        <v>33</v>
      </c>
      <c r="I243" s="1"/>
      <c r="J243" s="1"/>
      <c r="K243" s="5"/>
      <c r="L243" s="1"/>
      <c r="M243" s="1"/>
      <c r="N243" s="1"/>
      <c r="O243" s="1" t="s">
        <v>46</v>
      </c>
    </row>
    <row r="244" spans="1:15" ht="23.45" customHeight="1">
      <c r="A244" s="34"/>
      <c r="B244" s="35"/>
      <c r="C244" s="35"/>
      <c r="D244" s="35" t="s">
        <v>35</v>
      </c>
      <c r="E244" s="33"/>
      <c r="F244" s="33"/>
      <c r="G244" s="33"/>
      <c r="H244" s="1" t="s">
        <v>36</v>
      </c>
      <c r="I244" s="1"/>
      <c r="J244" s="1"/>
      <c r="K244" s="1"/>
      <c r="L244" s="1"/>
      <c r="M244" s="1"/>
      <c r="N244" s="1"/>
      <c r="O244" s="1"/>
    </row>
    <row r="245" spans="1:15" ht="23.45" customHeight="1">
      <c r="A245" s="34"/>
      <c r="B245" s="35" t="s">
        <v>239</v>
      </c>
      <c r="C245" s="35" t="s">
        <v>240</v>
      </c>
      <c r="D245" s="35" t="s">
        <v>241</v>
      </c>
      <c r="E245" s="33" t="s">
        <v>152</v>
      </c>
      <c r="F245" s="33" t="s">
        <v>31</v>
      </c>
      <c r="G245" s="33" t="s">
        <v>153</v>
      </c>
      <c r="H245" s="1" t="s">
        <v>33</v>
      </c>
      <c r="I245" s="1"/>
      <c r="J245" s="2"/>
      <c r="K245" s="1"/>
      <c r="L245" s="1"/>
      <c r="M245" s="1"/>
      <c r="N245" s="1"/>
      <c r="O245" s="1" t="s">
        <v>34</v>
      </c>
    </row>
    <row r="246" spans="1:15" ht="23.45" customHeight="1">
      <c r="A246" s="34"/>
      <c r="B246" s="35"/>
      <c r="C246" s="35"/>
      <c r="D246" s="35" t="s">
        <v>35</v>
      </c>
      <c r="E246" s="33"/>
      <c r="F246" s="33"/>
      <c r="G246" s="33"/>
      <c r="H246" s="1" t="s">
        <v>36</v>
      </c>
      <c r="I246" s="1"/>
      <c r="J246" s="1"/>
      <c r="K246" s="1"/>
      <c r="L246" s="1"/>
      <c r="M246" s="1"/>
      <c r="N246" s="1"/>
      <c r="O246" s="1"/>
    </row>
    <row r="247" spans="1:15" ht="23.45" customHeight="1">
      <c r="A247" s="34"/>
      <c r="B247" s="35"/>
      <c r="C247" s="35"/>
      <c r="D247" s="35" t="s">
        <v>35</v>
      </c>
      <c r="E247" s="33"/>
      <c r="F247" s="33" t="s">
        <v>57</v>
      </c>
      <c r="G247" s="33" t="s">
        <v>154</v>
      </c>
      <c r="H247" s="1" t="s">
        <v>33</v>
      </c>
      <c r="I247" s="1"/>
      <c r="J247" s="1"/>
      <c r="K247" s="1"/>
      <c r="L247" s="7"/>
      <c r="M247" s="1"/>
      <c r="N247" s="1"/>
      <c r="O247" s="1" t="s">
        <v>73</v>
      </c>
    </row>
    <row r="248" spans="1:15" ht="23.45" customHeight="1">
      <c r="A248" s="34"/>
      <c r="B248" s="35"/>
      <c r="C248" s="35"/>
      <c r="D248" s="35" t="s">
        <v>35</v>
      </c>
      <c r="E248" s="33"/>
      <c r="F248" s="33"/>
      <c r="G248" s="33"/>
      <c r="H248" s="1" t="s">
        <v>36</v>
      </c>
      <c r="I248" s="1"/>
      <c r="J248" s="1"/>
      <c r="K248" s="1"/>
      <c r="L248" s="1"/>
      <c r="M248" s="1"/>
      <c r="N248" s="1"/>
      <c r="O248" s="1"/>
    </row>
    <row r="249" spans="1:15" ht="23.45" customHeight="1">
      <c r="A249" s="34"/>
      <c r="B249" s="35"/>
      <c r="C249" s="35"/>
      <c r="D249" s="35" t="s">
        <v>35</v>
      </c>
      <c r="E249" s="33"/>
      <c r="F249" s="33"/>
      <c r="G249" s="33" t="s">
        <v>155</v>
      </c>
      <c r="H249" s="1" t="s">
        <v>33</v>
      </c>
      <c r="I249" s="1"/>
      <c r="J249" s="1"/>
      <c r="K249" s="1"/>
      <c r="L249" s="1"/>
      <c r="M249" s="1"/>
      <c r="N249" s="3"/>
      <c r="O249" s="1" t="s">
        <v>41</v>
      </c>
    </row>
    <row r="250" spans="1:15" ht="23.45" customHeight="1">
      <c r="A250" s="34"/>
      <c r="B250" s="35"/>
      <c r="C250" s="35"/>
      <c r="D250" s="35" t="s">
        <v>35</v>
      </c>
      <c r="E250" s="33"/>
      <c r="F250" s="33"/>
      <c r="G250" s="33"/>
      <c r="H250" s="1" t="s">
        <v>36</v>
      </c>
      <c r="I250" s="1"/>
      <c r="J250" s="1"/>
      <c r="K250" s="1"/>
      <c r="L250" s="1"/>
      <c r="M250" s="1"/>
      <c r="N250" s="1"/>
      <c r="O250" s="1"/>
    </row>
    <row r="251" spans="1:15" ht="23.45" customHeight="1">
      <c r="A251" s="34"/>
      <c r="B251" s="35"/>
      <c r="C251" s="35"/>
      <c r="D251" s="35" t="s">
        <v>35</v>
      </c>
      <c r="E251" s="33"/>
      <c r="F251" s="33" t="s">
        <v>156</v>
      </c>
      <c r="G251" s="33" t="s">
        <v>157</v>
      </c>
      <c r="H251" s="1" t="s">
        <v>33</v>
      </c>
      <c r="I251" s="1"/>
      <c r="J251" s="1"/>
      <c r="K251" s="5"/>
      <c r="L251" s="1"/>
      <c r="M251" s="1"/>
      <c r="N251" s="1"/>
      <c r="O251" s="1" t="s">
        <v>46</v>
      </c>
    </row>
    <row r="252" spans="1:15" ht="23.45" customHeight="1">
      <c r="A252" s="34"/>
      <c r="B252" s="35"/>
      <c r="C252" s="35"/>
      <c r="D252" s="35" t="s">
        <v>35</v>
      </c>
      <c r="E252" s="33"/>
      <c r="F252" s="33"/>
      <c r="G252" s="33"/>
      <c r="H252" s="1" t="s">
        <v>36</v>
      </c>
      <c r="I252" s="1"/>
      <c r="J252" s="1"/>
      <c r="K252" s="1"/>
      <c r="L252" s="1"/>
      <c r="M252" s="1"/>
      <c r="N252" s="1"/>
      <c r="O252" s="1"/>
    </row>
    <row r="253" spans="1:15" ht="23.45" customHeight="1">
      <c r="A253" s="34"/>
      <c r="B253" s="35" t="s">
        <v>242</v>
      </c>
      <c r="C253" s="35" t="s">
        <v>243</v>
      </c>
      <c r="D253" s="35" t="s">
        <v>244</v>
      </c>
      <c r="E253" s="33" t="s">
        <v>152</v>
      </c>
      <c r="F253" s="33" t="s">
        <v>31</v>
      </c>
      <c r="G253" s="33" t="s">
        <v>153</v>
      </c>
      <c r="H253" s="1" t="s">
        <v>33</v>
      </c>
      <c r="I253" s="1"/>
      <c r="J253" s="2"/>
      <c r="K253" s="1"/>
      <c r="L253" s="1"/>
      <c r="M253" s="1"/>
      <c r="N253" s="1"/>
      <c r="O253" s="1" t="s">
        <v>34</v>
      </c>
    </row>
    <row r="254" spans="1:15" ht="23.45" customHeight="1">
      <c r="A254" s="34"/>
      <c r="B254" s="35"/>
      <c r="C254" s="35"/>
      <c r="D254" s="35" t="s">
        <v>35</v>
      </c>
      <c r="E254" s="33"/>
      <c r="F254" s="33"/>
      <c r="G254" s="33"/>
      <c r="H254" s="1" t="s">
        <v>36</v>
      </c>
      <c r="I254" s="1"/>
      <c r="J254" s="1"/>
      <c r="K254" s="1"/>
      <c r="L254" s="1"/>
      <c r="M254" s="1"/>
      <c r="N254" s="1"/>
      <c r="O254" s="1"/>
    </row>
    <row r="255" spans="1:15" ht="23.45" customHeight="1">
      <c r="A255" s="34"/>
      <c r="B255" s="35"/>
      <c r="C255" s="35"/>
      <c r="D255" s="35" t="s">
        <v>35</v>
      </c>
      <c r="E255" s="33"/>
      <c r="F255" s="33" t="s">
        <v>57</v>
      </c>
      <c r="G255" s="33" t="s">
        <v>154</v>
      </c>
      <c r="H255" s="1" t="s">
        <v>33</v>
      </c>
      <c r="I255" s="1"/>
      <c r="J255" s="1"/>
      <c r="K255" s="1"/>
      <c r="L255" s="7"/>
      <c r="M255" s="1"/>
      <c r="N255" s="1"/>
      <c r="O255" s="1" t="s">
        <v>73</v>
      </c>
    </row>
    <row r="256" spans="1:15" ht="23.45" customHeight="1">
      <c r="A256" s="34"/>
      <c r="B256" s="35"/>
      <c r="C256" s="35"/>
      <c r="D256" s="35" t="s">
        <v>35</v>
      </c>
      <c r="E256" s="33"/>
      <c r="F256" s="33"/>
      <c r="G256" s="33"/>
      <c r="H256" s="1" t="s">
        <v>36</v>
      </c>
      <c r="I256" s="1"/>
      <c r="J256" s="1"/>
      <c r="K256" s="1"/>
      <c r="L256" s="1"/>
      <c r="M256" s="1"/>
      <c r="N256" s="1"/>
      <c r="O256" s="1"/>
    </row>
    <row r="257" spans="1:15" ht="23.45" customHeight="1">
      <c r="A257" s="34"/>
      <c r="B257" s="35"/>
      <c r="C257" s="35"/>
      <c r="D257" s="35" t="s">
        <v>35</v>
      </c>
      <c r="E257" s="33"/>
      <c r="F257" s="33"/>
      <c r="G257" s="33" t="s">
        <v>155</v>
      </c>
      <c r="H257" s="1" t="s">
        <v>33</v>
      </c>
      <c r="I257" s="1"/>
      <c r="J257" s="1"/>
      <c r="K257" s="1"/>
      <c r="L257" s="1"/>
      <c r="M257" s="1"/>
      <c r="N257" s="3"/>
      <c r="O257" s="1" t="s">
        <v>41</v>
      </c>
    </row>
    <row r="258" spans="1:15" ht="23.45" customHeight="1">
      <c r="A258" s="34"/>
      <c r="B258" s="35"/>
      <c r="C258" s="35"/>
      <c r="D258" s="35" t="s">
        <v>35</v>
      </c>
      <c r="E258" s="33"/>
      <c r="F258" s="33"/>
      <c r="G258" s="33"/>
      <c r="H258" s="1" t="s">
        <v>36</v>
      </c>
      <c r="I258" s="1"/>
      <c r="J258" s="1"/>
      <c r="K258" s="1"/>
      <c r="L258" s="1"/>
      <c r="M258" s="1"/>
      <c r="N258" s="1"/>
      <c r="O258" s="1"/>
    </row>
    <row r="259" spans="1:15" ht="23.45" customHeight="1">
      <c r="A259" s="34"/>
      <c r="B259" s="35"/>
      <c r="C259" s="35"/>
      <c r="D259" s="35" t="s">
        <v>35</v>
      </c>
      <c r="E259" s="33"/>
      <c r="F259" s="33" t="s">
        <v>156</v>
      </c>
      <c r="G259" s="33" t="s">
        <v>157</v>
      </c>
      <c r="H259" s="1" t="s">
        <v>33</v>
      </c>
      <c r="I259" s="1"/>
      <c r="J259" s="1"/>
      <c r="K259" s="5"/>
      <c r="L259" s="1"/>
      <c r="M259" s="1"/>
      <c r="N259" s="1"/>
      <c r="O259" s="1" t="s">
        <v>46</v>
      </c>
    </row>
    <row r="260" spans="1:15" ht="23.45" customHeight="1">
      <c r="A260" s="34"/>
      <c r="B260" s="35"/>
      <c r="C260" s="35"/>
      <c r="D260" s="35" t="s">
        <v>35</v>
      </c>
      <c r="E260" s="33"/>
      <c r="F260" s="33"/>
      <c r="G260" s="33"/>
      <c r="H260" s="1" t="s">
        <v>36</v>
      </c>
      <c r="I260" s="1"/>
      <c r="J260" s="1"/>
      <c r="K260" s="1"/>
      <c r="L260" s="1"/>
      <c r="M260" s="1"/>
      <c r="N260" s="1"/>
      <c r="O260" s="1"/>
    </row>
    <row r="261" spans="1:15" ht="21" customHeight="1">
      <c r="A261" s="34"/>
      <c r="B261" s="35" t="s">
        <v>245</v>
      </c>
      <c r="C261" s="35" t="s">
        <v>246</v>
      </c>
      <c r="D261" s="35" t="s">
        <v>247</v>
      </c>
      <c r="E261" s="33" t="s">
        <v>248</v>
      </c>
      <c r="F261" s="33" t="s">
        <v>111</v>
      </c>
      <c r="G261" s="33" t="s">
        <v>56</v>
      </c>
      <c r="H261" s="1" t="s">
        <v>33</v>
      </c>
      <c r="I261" s="1"/>
      <c r="J261" s="2"/>
      <c r="K261" s="1"/>
      <c r="L261" s="1"/>
      <c r="M261" s="1"/>
      <c r="N261" s="1"/>
      <c r="O261" s="1" t="s">
        <v>34</v>
      </c>
    </row>
    <row r="262" spans="1:15" ht="21" customHeight="1">
      <c r="A262" s="34"/>
      <c r="B262" s="35"/>
      <c r="C262" s="35"/>
      <c r="D262" s="35" t="s">
        <v>35</v>
      </c>
      <c r="E262" s="33"/>
      <c r="F262" s="33"/>
      <c r="G262" s="33"/>
      <c r="H262" s="1" t="s">
        <v>36</v>
      </c>
      <c r="I262" s="1"/>
      <c r="J262" s="1"/>
      <c r="K262" s="1"/>
      <c r="L262" s="1"/>
      <c r="M262" s="1"/>
      <c r="N262" s="1"/>
      <c r="O262" s="1"/>
    </row>
    <row r="263" spans="1:15" ht="21" customHeight="1">
      <c r="A263" s="34"/>
      <c r="B263" s="35" t="s">
        <v>249</v>
      </c>
      <c r="C263" s="35" t="s">
        <v>250</v>
      </c>
      <c r="D263" s="35" t="s">
        <v>251</v>
      </c>
      <c r="E263" s="33" t="s">
        <v>248</v>
      </c>
      <c r="F263" s="33" t="s">
        <v>111</v>
      </c>
      <c r="G263" s="33" t="s">
        <v>56</v>
      </c>
      <c r="H263" s="1" t="s">
        <v>33</v>
      </c>
      <c r="I263" s="1"/>
      <c r="J263" s="2"/>
      <c r="K263" s="1"/>
      <c r="L263" s="1"/>
      <c r="M263" s="1"/>
      <c r="N263" s="1"/>
      <c r="O263" s="1" t="s">
        <v>34</v>
      </c>
    </row>
    <row r="264" spans="1:15" ht="21" customHeight="1">
      <c r="A264" s="34"/>
      <c r="B264" s="35"/>
      <c r="C264" s="35"/>
      <c r="D264" s="35" t="s">
        <v>35</v>
      </c>
      <c r="E264" s="33"/>
      <c r="F264" s="33"/>
      <c r="G264" s="33"/>
      <c r="H264" s="1" t="s">
        <v>36</v>
      </c>
      <c r="I264" s="1"/>
      <c r="J264" s="1"/>
      <c r="K264" s="1"/>
      <c r="L264" s="1"/>
      <c r="M264" s="1"/>
      <c r="N264" s="1"/>
      <c r="O264" s="1"/>
    </row>
    <row r="265" spans="1:15" ht="21" customHeight="1">
      <c r="A265" s="34"/>
      <c r="B265" s="35" t="s">
        <v>252</v>
      </c>
      <c r="C265" s="35" t="s">
        <v>253</v>
      </c>
      <c r="D265" s="35" t="s">
        <v>254</v>
      </c>
      <c r="E265" s="33" t="s">
        <v>255</v>
      </c>
      <c r="F265" s="33" t="s">
        <v>31</v>
      </c>
      <c r="G265" s="33" t="s">
        <v>32</v>
      </c>
      <c r="H265" s="1" t="s">
        <v>33</v>
      </c>
      <c r="I265" s="6"/>
      <c r="J265" s="2"/>
      <c r="K265" s="6"/>
      <c r="L265" s="6"/>
      <c r="M265" s="6"/>
      <c r="N265" s="6"/>
      <c r="O265" s="1" t="s">
        <v>34</v>
      </c>
    </row>
    <row r="266" spans="1:15" ht="21" customHeight="1">
      <c r="A266" s="34"/>
      <c r="B266" s="35"/>
      <c r="C266" s="35"/>
      <c r="D266" s="35" t="s">
        <v>35</v>
      </c>
      <c r="E266" s="33"/>
      <c r="F266" s="33"/>
      <c r="G266" s="33"/>
      <c r="H266" s="1" t="s">
        <v>36</v>
      </c>
      <c r="I266" s="6"/>
      <c r="J266" s="6"/>
      <c r="K266" s="6"/>
      <c r="L266" s="6"/>
      <c r="M266" s="6"/>
      <c r="N266" s="6"/>
      <c r="O266" s="1"/>
    </row>
    <row r="267" spans="1:15" ht="21" customHeight="1">
      <c r="A267" s="34"/>
      <c r="B267" s="35"/>
      <c r="C267" s="35"/>
      <c r="D267" s="35" t="s">
        <v>35</v>
      </c>
      <c r="E267" s="33"/>
      <c r="F267" s="33" t="s">
        <v>105</v>
      </c>
      <c r="G267" s="33" t="s">
        <v>256</v>
      </c>
      <c r="H267" s="1" t="s">
        <v>33</v>
      </c>
      <c r="I267" s="6"/>
      <c r="J267" s="6"/>
      <c r="K267" s="6"/>
      <c r="L267" s="7"/>
      <c r="M267" s="6"/>
      <c r="N267" s="6"/>
      <c r="O267" s="1" t="s">
        <v>257</v>
      </c>
    </row>
    <row r="268" spans="1:15" ht="21" customHeight="1">
      <c r="A268" s="34"/>
      <c r="B268" s="35"/>
      <c r="C268" s="35"/>
      <c r="D268" s="35" t="s">
        <v>35</v>
      </c>
      <c r="E268" s="33"/>
      <c r="F268" s="33"/>
      <c r="G268" s="33"/>
      <c r="H268" s="1" t="s">
        <v>36</v>
      </c>
      <c r="I268" s="6"/>
      <c r="J268" s="6"/>
      <c r="K268" s="6"/>
      <c r="L268" s="6"/>
      <c r="M268" s="6"/>
      <c r="N268" s="6"/>
      <c r="O268" s="6"/>
    </row>
    <row r="269" spans="1:15" ht="21" customHeight="1">
      <c r="A269" s="34"/>
      <c r="B269" s="35"/>
      <c r="C269" s="35"/>
      <c r="D269" s="35" t="s">
        <v>35</v>
      </c>
      <c r="E269" s="33"/>
      <c r="F269" s="33" t="s">
        <v>258</v>
      </c>
      <c r="G269" s="33" t="s">
        <v>256</v>
      </c>
      <c r="H269" s="1" t="s">
        <v>33</v>
      </c>
      <c r="I269" s="6"/>
      <c r="J269" s="2"/>
      <c r="K269" s="6"/>
      <c r="L269" s="6"/>
      <c r="M269" s="6"/>
      <c r="N269" s="6"/>
      <c r="O269" s="1" t="s">
        <v>9</v>
      </c>
    </row>
    <row r="270" spans="1:15" ht="21.6" customHeight="1">
      <c r="A270" s="34"/>
      <c r="B270" s="35"/>
      <c r="C270" s="35"/>
      <c r="D270" s="35" t="s">
        <v>35</v>
      </c>
      <c r="E270" s="33"/>
      <c r="F270" s="33"/>
      <c r="G270" s="33"/>
      <c r="H270" s="1" t="s">
        <v>36</v>
      </c>
      <c r="I270" s="6"/>
      <c r="J270" s="6"/>
      <c r="K270" s="6"/>
      <c r="L270" s="6"/>
      <c r="M270" s="6"/>
      <c r="N270" s="6"/>
      <c r="O270" s="6"/>
    </row>
    <row r="271" spans="1:15" ht="21.6" customHeight="1">
      <c r="A271" s="34"/>
      <c r="B271" s="32" t="s">
        <v>259</v>
      </c>
      <c r="C271" s="32" t="s">
        <v>260</v>
      </c>
      <c r="D271" s="32" t="s">
        <v>261</v>
      </c>
      <c r="E271" s="33" t="s">
        <v>262</v>
      </c>
      <c r="F271" s="33" t="s">
        <v>31</v>
      </c>
      <c r="G271" s="33" t="s">
        <v>153</v>
      </c>
      <c r="H271" s="1" t="s">
        <v>33</v>
      </c>
      <c r="I271" s="1"/>
      <c r="J271" s="2"/>
      <c r="K271" s="1"/>
      <c r="L271" s="1"/>
      <c r="M271" s="1"/>
      <c r="N271" s="1"/>
      <c r="O271" s="1" t="s">
        <v>34</v>
      </c>
    </row>
    <row r="272" spans="1:15" ht="21.6" customHeight="1">
      <c r="A272" s="34"/>
      <c r="B272" s="32"/>
      <c r="C272" s="32"/>
      <c r="D272" s="32" t="s">
        <v>35</v>
      </c>
      <c r="E272" s="33"/>
      <c r="F272" s="33"/>
      <c r="G272" s="33"/>
      <c r="H272" s="1" t="s">
        <v>36</v>
      </c>
      <c r="I272" s="1"/>
      <c r="J272" s="1"/>
      <c r="K272" s="1"/>
      <c r="L272" s="1"/>
      <c r="M272" s="1"/>
      <c r="N272" s="1"/>
      <c r="O272" s="1"/>
    </row>
    <row r="273" spans="1:15" ht="21.6" customHeight="1">
      <c r="A273" s="34"/>
      <c r="B273" s="32"/>
      <c r="C273" s="32"/>
      <c r="D273" s="32" t="s">
        <v>35</v>
      </c>
      <c r="E273" s="33"/>
      <c r="F273" s="33" t="s">
        <v>57</v>
      </c>
      <c r="G273" s="33" t="s">
        <v>154</v>
      </c>
      <c r="H273" s="1" t="s">
        <v>33</v>
      </c>
      <c r="I273" s="1"/>
      <c r="J273" s="1"/>
      <c r="K273" s="1"/>
      <c r="L273" s="7"/>
      <c r="M273" s="1"/>
      <c r="N273" s="1"/>
      <c r="O273" s="1" t="s">
        <v>73</v>
      </c>
    </row>
    <row r="274" spans="1:15" ht="21.6" customHeight="1">
      <c r="A274" s="34"/>
      <c r="B274" s="32"/>
      <c r="C274" s="32"/>
      <c r="D274" s="32" t="s">
        <v>35</v>
      </c>
      <c r="E274" s="33"/>
      <c r="F274" s="33"/>
      <c r="G274" s="33"/>
      <c r="H274" s="1" t="s">
        <v>36</v>
      </c>
      <c r="I274" s="1"/>
      <c r="J274" s="1"/>
      <c r="K274" s="1"/>
      <c r="L274" s="1"/>
      <c r="M274" s="1"/>
      <c r="N274" s="1"/>
      <c r="O274" s="1"/>
    </row>
    <row r="275" spans="1:15" ht="21.6" customHeight="1">
      <c r="A275" s="34"/>
      <c r="B275" s="32"/>
      <c r="C275" s="32"/>
      <c r="D275" s="32" t="s">
        <v>35</v>
      </c>
      <c r="E275" s="33"/>
      <c r="F275" s="33"/>
      <c r="G275" s="33" t="s">
        <v>155</v>
      </c>
      <c r="H275" s="1" t="s">
        <v>33</v>
      </c>
      <c r="I275" s="1"/>
      <c r="J275" s="1"/>
      <c r="K275" s="1"/>
      <c r="L275" s="1"/>
      <c r="M275" s="1"/>
      <c r="N275" s="3"/>
      <c r="O275" s="1" t="s">
        <v>41</v>
      </c>
    </row>
    <row r="276" spans="1:15" ht="21.6" customHeight="1">
      <c r="A276" s="34"/>
      <c r="B276" s="32"/>
      <c r="C276" s="32"/>
      <c r="D276" s="32" t="s">
        <v>35</v>
      </c>
      <c r="E276" s="33"/>
      <c r="F276" s="33"/>
      <c r="G276" s="33"/>
      <c r="H276" s="1" t="s">
        <v>36</v>
      </c>
      <c r="I276" s="1"/>
      <c r="J276" s="1"/>
      <c r="K276" s="1"/>
      <c r="L276" s="1"/>
      <c r="M276" s="1"/>
      <c r="N276" s="1"/>
      <c r="O276" s="1"/>
    </row>
    <row r="277" spans="1:15" ht="26.25" customHeight="1">
      <c r="A277" s="34"/>
      <c r="B277" s="32"/>
      <c r="C277" s="32"/>
      <c r="D277" s="32" t="s">
        <v>35</v>
      </c>
      <c r="E277" s="33"/>
      <c r="F277" s="33" t="s">
        <v>156</v>
      </c>
      <c r="G277" s="33" t="s">
        <v>157</v>
      </c>
      <c r="H277" s="1" t="s">
        <v>33</v>
      </c>
      <c r="I277" s="1"/>
      <c r="J277" s="1"/>
      <c r="K277" s="5"/>
      <c r="L277" s="1"/>
      <c r="M277" s="1"/>
      <c r="N277" s="1"/>
      <c r="O277" s="1" t="s">
        <v>46</v>
      </c>
    </row>
    <row r="278" spans="1:15" ht="26.25" customHeight="1" thickBot="1">
      <c r="A278" s="34"/>
      <c r="B278" s="32"/>
      <c r="C278" s="32"/>
      <c r="D278" s="32" t="s">
        <v>35</v>
      </c>
      <c r="E278" s="33"/>
      <c r="F278" s="33"/>
      <c r="G278" s="33"/>
      <c r="H278" s="1" t="s">
        <v>36</v>
      </c>
      <c r="I278" s="1"/>
      <c r="J278" s="1"/>
      <c r="K278" s="1"/>
      <c r="L278" s="1"/>
      <c r="M278" s="1"/>
      <c r="N278" s="1"/>
      <c r="O278" s="1"/>
    </row>
    <row r="279" spans="1:15" ht="26.25" customHeight="1">
      <c r="A279" s="36"/>
      <c r="B279" s="37"/>
      <c r="C279" s="37"/>
      <c r="D279" s="37"/>
      <c r="E279" s="37"/>
      <c r="F279" s="37"/>
      <c r="G279" s="37"/>
      <c r="H279" s="37"/>
      <c r="I279" s="37"/>
      <c r="J279" s="37"/>
      <c r="K279" s="37"/>
      <c r="L279" s="37"/>
      <c r="M279" s="37"/>
      <c r="N279" s="37"/>
      <c r="O279" s="38"/>
    </row>
    <row r="280" spans="1:15" ht="25.5" customHeight="1">
      <c r="A280" s="20" t="s">
        <v>264</v>
      </c>
      <c r="B280" s="21"/>
      <c r="C280" s="21"/>
      <c r="D280" s="21"/>
      <c r="E280" s="22"/>
      <c r="F280" s="20" t="s">
        <v>263</v>
      </c>
      <c r="G280" s="22"/>
      <c r="H280" s="26"/>
      <c r="I280" s="27"/>
      <c r="J280" s="27"/>
      <c r="K280" s="27"/>
      <c r="L280" s="27"/>
      <c r="M280" s="27"/>
      <c r="N280" s="27"/>
      <c r="O280" s="28"/>
    </row>
    <row r="281" spans="1:15" ht="14.45" customHeight="1">
      <c r="A281" s="23"/>
      <c r="B281" s="24"/>
      <c r="C281" s="24"/>
      <c r="D281" s="24"/>
      <c r="E281" s="25"/>
      <c r="F281" s="23"/>
      <c r="G281" s="25"/>
      <c r="H281" s="29"/>
      <c r="I281" s="30"/>
      <c r="J281" s="30"/>
      <c r="K281" s="30"/>
      <c r="L281" s="30"/>
      <c r="M281" s="30"/>
      <c r="N281" s="30"/>
      <c r="O281" s="31"/>
    </row>
  </sheetData>
  <mergeCells count="383">
    <mergeCell ref="L2:L4"/>
    <mergeCell ref="M2:M4"/>
    <mergeCell ref="N2:N4"/>
    <mergeCell ref="O2:O4"/>
    <mergeCell ref="A1:O1"/>
    <mergeCell ref="A2:A4"/>
    <mergeCell ref="B2:B4"/>
    <mergeCell ref="C2:C4"/>
    <mergeCell ref="D2:D4"/>
    <mergeCell ref="E2:E4"/>
    <mergeCell ref="F2:F4"/>
    <mergeCell ref="G2:G4"/>
    <mergeCell ref="H2:H4"/>
    <mergeCell ref="I2:I4"/>
    <mergeCell ref="A5:A20"/>
    <mergeCell ref="B5:B20"/>
    <mergeCell ref="C5:C20"/>
    <mergeCell ref="D5:D20"/>
    <mergeCell ref="E5:E20"/>
    <mergeCell ref="F5:F6"/>
    <mergeCell ref="F13:F14"/>
    <mergeCell ref="J2:J4"/>
    <mergeCell ref="K2:K4"/>
    <mergeCell ref="G13:G14"/>
    <mergeCell ref="F15:F16"/>
    <mergeCell ref="G15:G16"/>
    <mergeCell ref="F17:F18"/>
    <mergeCell ref="G17:G18"/>
    <mergeCell ref="F19:F20"/>
    <mergeCell ref="G19:G20"/>
    <mergeCell ref="G5:G6"/>
    <mergeCell ref="F7:F8"/>
    <mergeCell ref="G7:G8"/>
    <mergeCell ref="F9:F10"/>
    <mergeCell ref="G9:G10"/>
    <mergeCell ref="F11:F12"/>
    <mergeCell ref="G11:G12"/>
    <mergeCell ref="G21:G22"/>
    <mergeCell ref="F23:F24"/>
    <mergeCell ref="G23:G24"/>
    <mergeCell ref="F25:F26"/>
    <mergeCell ref="G25:G26"/>
    <mergeCell ref="B27:B32"/>
    <mergeCell ref="C27:C32"/>
    <mergeCell ref="D27:D32"/>
    <mergeCell ref="E27:E32"/>
    <mergeCell ref="F27:F28"/>
    <mergeCell ref="B21:B26"/>
    <mergeCell ref="C21:C26"/>
    <mergeCell ref="D21:D26"/>
    <mergeCell ref="E21:E26"/>
    <mergeCell ref="F21:F22"/>
    <mergeCell ref="G33:G34"/>
    <mergeCell ref="F35:F38"/>
    <mergeCell ref="G35:G36"/>
    <mergeCell ref="G37:G38"/>
    <mergeCell ref="F39:F40"/>
    <mergeCell ref="G39:G40"/>
    <mergeCell ref="G27:G28"/>
    <mergeCell ref="F29:F30"/>
    <mergeCell ref="G29:G30"/>
    <mergeCell ref="F31:F32"/>
    <mergeCell ref="G31:G32"/>
    <mergeCell ref="F33:F34"/>
    <mergeCell ref="G41:G42"/>
    <mergeCell ref="F43:F44"/>
    <mergeCell ref="G43:G44"/>
    <mergeCell ref="B45:B66"/>
    <mergeCell ref="C45:C66"/>
    <mergeCell ref="D45:D66"/>
    <mergeCell ref="E45:E66"/>
    <mergeCell ref="F45:F46"/>
    <mergeCell ref="G45:G46"/>
    <mergeCell ref="F47:F50"/>
    <mergeCell ref="B33:B44"/>
    <mergeCell ref="C33:C44"/>
    <mergeCell ref="D33:D44"/>
    <mergeCell ref="E33:E44"/>
    <mergeCell ref="F41:F42"/>
    <mergeCell ref="F57:F58"/>
    <mergeCell ref="F65:F66"/>
    <mergeCell ref="G57:G58"/>
    <mergeCell ref="F59:F60"/>
    <mergeCell ref="G59:G60"/>
    <mergeCell ref="F61:F62"/>
    <mergeCell ref="G61:G62"/>
    <mergeCell ref="F63:F64"/>
    <mergeCell ref="G63:G64"/>
    <mergeCell ref="G47:G48"/>
    <mergeCell ref="G49:G50"/>
    <mergeCell ref="F51:F54"/>
    <mergeCell ref="G51:G52"/>
    <mergeCell ref="G53:G54"/>
    <mergeCell ref="F55:F56"/>
    <mergeCell ref="G55:G56"/>
    <mergeCell ref="G65:G66"/>
    <mergeCell ref="B67:B78"/>
    <mergeCell ref="C67:C78"/>
    <mergeCell ref="D67:D78"/>
    <mergeCell ref="E67:E78"/>
    <mergeCell ref="F67:F68"/>
    <mergeCell ref="G67:G68"/>
    <mergeCell ref="F69:F70"/>
    <mergeCell ref="G69:G70"/>
    <mergeCell ref="F71:F72"/>
    <mergeCell ref="G79:G80"/>
    <mergeCell ref="F81:F82"/>
    <mergeCell ref="G81:G82"/>
    <mergeCell ref="F83:F84"/>
    <mergeCell ref="G83:G84"/>
    <mergeCell ref="F85:F86"/>
    <mergeCell ref="G71:G72"/>
    <mergeCell ref="F73:F74"/>
    <mergeCell ref="G73:G74"/>
    <mergeCell ref="F75:F76"/>
    <mergeCell ref="G75:G76"/>
    <mergeCell ref="F77:F78"/>
    <mergeCell ref="G77:G78"/>
    <mergeCell ref="A91:A110"/>
    <mergeCell ref="B91:B110"/>
    <mergeCell ref="C91:C110"/>
    <mergeCell ref="D91:D110"/>
    <mergeCell ref="E91:E110"/>
    <mergeCell ref="C79:C90"/>
    <mergeCell ref="D79:D90"/>
    <mergeCell ref="E79:E90"/>
    <mergeCell ref="F79:F80"/>
    <mergeCell ref="A21:A90"/>
    <mergeCell ref="B79:B90"/>
    <mergeCell ref="F91:F92"/>
    <mergeCell ref="F105:F106"/>
    <mergeCell ref="G91:G92"/>
    <mergeCell ref="F93:F94"/>
    <mergeCell ref="G93:G94"/>
    <mergeCell ref="F95:F96"/>
    <mergeCell ref="G95:G96"/>
    <mergeCell ref="G85:G86"/>
    <mergeCell ref="F87:F88"/>
    <mergeCell ref="G87:G88"/>
    <mergeCell ref="F89:F90"/>
    <mergeCell ref="G89:G90"/>
    <mergeCell ref="G105:G106"/>
    <mergeCell ref="F107:F108"/>
    <mergeCell ref="G107:G108"/>
    <mergeCell ref="F109:F110"/>
    <mergeCell ref="G109:G110"/>
    <mergeCell ref="F97:F100"/>
    <mergeCell ref="G97:G98"/>
    <mergeCell ref="G99:G100"/>
    <mergeCell ref="F101:F102"/>
    <mergeCell ref="G101:G102"/>
    <mergeCell ref="F103:F104"/>
    <mergeCell ref="G103:G104"/>
    <mergeCell ref="A111:A174"/>
    <mergeCell ref="B111:B118"/>
    <mergeCell ref="C111:C118"/>
    <mergeCell ref="D111:D118"/>
    <mergeCell ref="E111:E118"/>
    <mergeCell ref="F111:F112"/>
    <mergeCell ref="B119:B126"/>
    <mergeCell ref="C119:C126"/>
    <mergeCell ref="D119:D126"/>
    <mergeCell ref="E119:E126"/>
    <mergeCell ref="F119:F120"/>
    <mergeCell ref="B143:B150"/>
    <mergeCell ref="C143:C150"/>
    <mergeCell ref="D143:D150"/>
    <mergeCell ref="E143:E150"/>
    <mergeCell ref="F143:F144"/>
    <mergeCell ref="B167:B174"/>
    <mergeCell ref="C167:C174"/>
    <mergeCell ref="D167:D174"/>
    <mergeCell ref="E167:E174"/>
    <mergeCell ref="F167:F168"/>
    <mergeCell ref="B159:B166"/>
    <mergeCell ref="C159:C166"/>
    <mergeCell ref="D159:D166"/>
    <mergeCell ref="G119:G120"/>
    <mergeCell ref="F121:F124"/>
    <mergeCell ref="G121:G122"/>
    <mergeCell ref="G123:G124"/>
    <mergeCell ref="F125:F126"/>
    <mergeCell ref="G125:G126"/>
    <mergeCell ref="G111:G112"/>
    <mergeCell ref="F113:F116"/>
    <mergeCell ref="G113:G114"/>
    <mergeCell ref="G115:G116"/>
    <mergeCell ref="F117:F118"/>
    <mergeCell ref="G117:G118"/>
    <mergeCell ref="G133:G134"/>
    <mergeCell ref="B135:B142"/>
    <mergeCell ref="C135:C142"/>
    <mergeCell ref="D135:D142"/>
    <mergeCell ref="E135:E142"/>
    <mergeCell ref="F135:F136"/>
    <mergeCell ref="G135:G136"/>
    <mergeCell ref="F137:F140"/>
    <mergeCell ref="G137:G138"/>
    <mergeCell ref="G139:G140"/>
    <mergeCell ref="B127:B134"/>
    <mergeCell ref="C127:C134"/>
    <mergeCell ref="D127:D134"/>
    <mergeCell ref="E127:E134"/>
    <mergeCell ref="F127:F128"/>
    <mergeCell ref="G127:G128"/>
    <mergeCell ref="F129:F132"/>
    <mergeCell ref="G129:G130"/>
    <mergeCell ref="G131:G132"/>
    <mergeCell ref="F133:F134"/>
    <mergeCell ref="F141:F142"/>
    <mergeCell ref="G141:G142"/>
    <mergeCell ref="G143:G144"/>
    <mergeCell ref="F145:F148"/>
    <mergeCell ref="G145:G146"/>
    <mergeCell ref="G147:G148"/>
    <mergeCell ref="F149:F150"/>
    <mergeCell ref="G149:G150"/>
    <mergeCell ref="B151:B158"/>
    <mergeCell ref="C151:C158"/>
    <mergeCell ref="D151:D158"/>
    <mergeCell ref="E151:E158"/>
    <mergeCell ref="F151:F152"/>
    <mergeCell ref="G151:G152"/>
    <mergeCell ref="F153:F156"/>
    <mergeCell ref="G153:G154"/>
    <mergeCell ref="G155:G156"/>
    <mergeCell ref="F157:F158"/>
    <mergeCell ref="G157:G158"/>
    <mergeCell ref="E159:E166"/>
    <mergeCell ref="F159:F160"/>
    <mergeCell ref="G159:G160"/>
    <mergeCell ref="G167:G168"/>
    <mergeCell ref="F169:F172"/>
    <mergeCell ref="G169:G170"/>
    <mergeCell ref="G171:G172"/>
    <mergeCell ref="F173:F174"/>
    <mergeCell ref="G173:G174"/>
    <mergeCell ref="F161:F164"/>
    <mergeCell ref="G161:G162"/>
    <mergeCell ref="G163:G164"/>
    <mergeCell ref="F165:F166"/>
    <mergeCell ref="G165:G166"/>
    <mergeCell ref="G183:G184"/>
    <mergeCell ref="F185:F188"/>
    <mergeCell ref="G185:G186"/>
    <mergeCell ref="G187:G188"/>
    <mergeCell ref="F189:F190"/>
    <mergeCell ref="G189:G190"/>
    <mergeCell ref="G175:G176"/>
    <mergeCell ref="F177:F180"/>
    <mergeCell ref="G177:G178"/>
    <mergeCell ref="G179:G180"/>
    <mergeCell ref="F181:F182"/>
    <mergeCell ref="G181:G182"/>
    <mergeCell ref="F175:F176"/>
    <mergeCell ref="F183:F184"/>
    <mergeCell ref="G199:G200"/>
    <mergeCell ref="F201:F204"/>
    <mergeCell ref="G201:G202"/>
    <mergeCell ref="G203:G204"/>
    <mergeCell ref="F205:F206"/>
    <mergeCell ref="G205:G206"/>
    <mergeCell ref="G191:G192"/>
    <mergeCell ref="F193:F194"/>
    <mergeCell ref="G193:G194"/>
    <mergeCell ref="F195:F196"/>
    <mergeCell ref="G195:G196"/>
    <mergeCell ref="F197:F198"/>
    <mergeCell ref="G197:G198"/>
    <mergeCell ref="F191:F192"/>
    <mergeCell ref="F199:F200"/>
    <mergeCell ref="G207:G208"/>
    <mergeCell ref="B209:B232"/>
    <mergeCell ref="C209:C232"/>
    <mergeCell ref="D209:D232"/>
    <mergeCell ref="E209:E232"/>
    <mergeCell ref="F209:F210"/>
    <mergeCell ref="G209:G210"/>
    <mergeCell ref="F211:F212"/>
    <mergeCell ref="G211:G212"/>
    <mergeCell ref="F213:F214"/>
    <mergeCell ref="B175:B208"/>
    <mergeCell ref="C175:C208"/>
    <mergeCell ref="D175:D208"/>
    <mergeCell ref="E175:E208"/>
    <mergeCell ref="F207:F208"/>
    <mergeCell ref="F221:F222"/>
    <mergeCell ref="G221:G222"/>
    <mergeCell ref="F223:F224"/>
    <mergeCell ref="G223:G224"/>
    <mergeCell ref="F225:F226"/>
    <mergeCell ref="G225:G226"/>
    <mergeCell ref="G213:G214"/>
    <mergeCell ref="F215:F216"/>
    <mergeCell ref="G215:G216"/>
    <mergeCell ref="F217:F218"/>
    <mergeCell ref="G217:G218"/>
    <mergeCell ref="F219:F220"/>
    <mergeCell ref="G219:G220"/>
    <mergeCell ref="F227:F230"/>
    <mergeCell ref="G227:G228"/>
    <mergeCell ref="G229:G230"/>
    <mergeCell ref="F231:F232"/>
    <mergeCell ref="G231:G232"/>
    <mergeCell ref="F247:F250"/>
    <mergeCell ref="G247:G248"/>
    <mergeCell ref="G249:G250"/>
    <mergeCell ref="B233:B236"/>
    <mergeCell ref="C233:C236"/>
    <mergeCell ref="D233:D236"/>
    <mergeCell ref="E233:E236"/>
    <mergeCell ref="F233:F234"/>
    <mergeCell ref="G233:G234"/>
    <mergeCell ref="F235:F236"/>
    <mergeCell ref="G235:G236"/>
    <mergeCell ref="B237:B244"/>
    <mergeCell ref="C237:C244"/>
    <mergeCell ref="D237:D244"/>
    <mergeCell ref="E237:E244"/>
    <mergeCell ref="F237:F238"/>
    <mergeCell ref="G237:G238"/>
    <mergeCell ref="F239:F242"/>
    <mergeCell ref="G239:G240"/>
    <mergeCell ref="G241:G242"/>
    <mergeCell ref="F243:F244"/>
    <mergeCell ref="G261:G262"/>
    <mergeCell ref="B253:B260"/>
    <mergeCell ref="G257:G258"/>
    <mergeCell ref="F259:F260"/>
    <mergeCell ref="G259:G260"/>
    <mergeCell ref="E253:E260"/>
    <mergeCell ref="F253:F254"/>
    <mergeCell ref="G253:G254"/>
    <mergeCell ref="F255:F258"/>
    <mergeCell ref="G255:G256"/>
    <mergeCell ref="G277:G278"/>
    <mergeCell ref="A279:O279"/>
    <mergeCell ref="G243:G244"/>
    <mergeCell ref="B245:B252"/>
    <mergeCell ref="C245:C252"/>
    <mergeCell ref="D245:D252"/>
    <mergeCell ref="E245:E252"/>
    <mergeCell ref="F245:F246"/>
    <mergeCell ref="G245:G246"/>
    <mergeCell ref="F269:F270"/>
    <mergeCell ref="G269:G270"/>
    <mergeCell ref="F251:F252"/>
    <mergeCell ref="G251:G252"/>
    <mergeCell ref="B263:B264"/>
    <mergeCell ref="C263:C264"/>
    <mergeCell ref="D263:D264"/>
    <mergeCell ref="E263:E264"/>
    <mergeCell ref="F263:F264"/>
    <mergeCell ref="G263:G264"/>
    <mergeCell ref="B261:B262"/>
    <mergeCell ref="C261:C262"/>
    <mergeCell ref="D261:D262"/>
    <mergeCell ref="E261:E262"/>
    <mergeCell ref="F261:F262"/>
    <mergeCell ref="A280:E281"/>
    <mergeCell ref="F280:G281"/>
    <mergeCell ref="H280:O281"/>
    <mergeCell ref="B271:B278"/>
    <mergeCell ref="C271:C278"/>
    <mergeCell ref="D271:D278"/>
    <mergeCell ref="E271:E278"/>
    <mergeCell ref="F271:F272"/>
    <mergeCell ref="G271:G272"/>
    <mergeCell ref="F273:F276"/>
    <mergeCell ref="G273:G274"/>
    <mergeCell ref="G275:G276"/>
    <mergeCell ref="F277:F278"/>
    <mergeCell ref="A175:A278"/>
    <mergeCell ref="B265:B270"/>
    <mergeCell ref="C265:C270"/>
    <mergeCell ref="D265:D270"/>
    <mergeCell ref="E265:E270"/>
    <mergeCell ref="F265:F266"/>
    <mergeCell ref="G265:G266"/>
    <mergeCell ref="F267:F268"/>
    <mergeCell ref="G267:G268"/>
    <mergeCell ref="C253:C260"/>
    <mergeCell ref="D253:D260"/>
  </mergeCells>
  <pageMargins left="0.7" right="0.7" top="0.75" bottom="0.75" header="0.3" footer="0.3"/>
  <pageSetup paperSize="9" scale="21" orientation="portrait" r:id="rId1"/>
  <headerFooter>
    <oddFooter>&amp;C_x000D_&amp;1#&amp;"Aptos"&amp;10&amp;K000000 Internal</oddFooter>
  </headerFooter>
  <colBreaks count="1" manualBreakCount="1">
    <brk id="15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O283"/>
  <sheetViews>
    <sheetView tabSelected="1" zoomScale="50" zoomScaleNormal="50" zoomScaleSheetLayoutView="40" workbookViewId="0">
      <selection activeCell="AT12" sqref="AT12"/>
    </sheetView>
  </sheetViews>
  <sheetFormatPr defaultRowHeight="14.25"/>
  <cols>
    <col min="1" max="1" width="19.75" bestFit="1" customWidth="1"/>
    <col min="2" max="2" width="17.625" bestFit="1" customWidth="1"/>
    <col min="3" max="3" width="29.25" bestFit="1" customWidth="1"/>
    <col min="4" max="4" width="42.75" bestFit="1" customWidth="1"/>
    <col min="5" max="5" width="27.625" customWidth="1"/>
    <col min="6" max="6" width="80.625" bestFit="1" customWidth="1"/>
    <col min="7" max="7" width="78.25" customWidth="1"/>
    <col min="8" max="8" width="12.5" customWidth="1"/>
    <col min="9" max="9" width="13.375" customWidth="1"/>
    <col min="10" max="10" width="17" bestFit="1" customWidth="1"/>
    <col min="11" max="11" width="13" bestFit="1" customWidth="1"/>
    <col min="12" max="12" width="13.5" bestFit="1" customWidth="1"/>
    <col min="13" max="13" width="16.125" bestFit="1" customWidth="1"/>
    <col min="14" max="14" width="13.375" bestFit="1" customWidth="1"/>
    <col min="15" max="15" width="11.75" customWidth="1"/>
    <col min="16" max="16" width="8.75" customWidth="1"/>
    <col min="17" max="17" width="8.875" customWidth="1"/>
    <col min="18" max="18" width="10.625" bestFit="1" customWidth="1"/>
    <col min="19" max="19" width="11.25" customWidth="1"/>
    <col min="20" max="20" width="10.25" customWidth="1"/>
    <col min="21" max="21" width="9.25" customWidth="1"/>
    <col min="22" max="22" width="10.625" bestFit="1" customWidth="1"/>
    <col min="23" max="67" width="11.5" customWidth="1"/>
  </cols>
  <sheetData>
    <row r="1" spans="1:67" ht="172.15" customHeight="1" thickBot="1">
      <c r="A1" s="59" t="s">
        <v>265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  <c r="AF1" s="59"/>
      <c r="AG1" s="59"/>
      <c r="AH1" s="59"/>
      <c r="AI1" s="59"/>
      <c r="AJ1" s="59"/>
      <c r="AK1" s="59"/>
      <c r="AL1" s="59"/>
      <c r="AM1" s="59"/>
      <c r="AN1" s="59"/>
      <c r="AO1" s="59"/>
      <c r="AP1" s="59"/>
      <c r="AQ1" s="59"/>
      <c r="AR1" s="59"/>
      <c r="AS1" s="59"/>
      <c r="AT1" s="59"/>
      <c r="AU1" s="59"/>
      <c r="AV1" s="59"/>
      <c r="AW1" s="59"/>
      <c r="AX1" s="59"/>
      <c r="AY1" s="59"/>
      <c r="AZ1" s="59"/>
      <c r="BA1" s="59"/>
      <c r="BB1" s="59"/>
      <c r="BC1" s="59"/>
      <c r="BD1" s="59"/>
      <c r="BE1" s="59"/>
      <c r="BF1" s="59"/>
      <c r="BG1" s="59"/>
      <c r="BH1" s="59"/>
      <c r="BI1" s="59"/>
      <c r="BJ1" s="59"/>
      <c r="BK1" s="59"/>
      <c r="BL1" s="59"/>
      <c r="BM1" s="59"/>
      <c r="BN1" s="59"/>
      <c r="BO1" s="59"/>
    </row>
    <row r="2" spans="1:67" ht="25.5" customHeight="1">
      <c r="A2" s="49" t="s">
        <v>1</v>
      </c>
      <c r="B2" s="52" t="s">
        <v>2</v>
      </c>
      <c r="C2" s="52" t="s">
        <v>3</v>
      </c>
      <c r="D2" s="52" t="s">
        <v>4</v>
      </c>
      <c r="E2" s="52" t="s">
        <v>5</v>
      </c>
      <c r="F2" s="52" t="s">
        <v>6</v>
      </c>
      <c r="G2" s="52" t="s">
        <v>7</v>
      </c>
      <c r="H2" s="49"/>
      <c r="I2" s="49" t="s">
        <v>8</v>
      </c>
      <c r="J2" s="48" t="s">
        <v>9</v>
      </c>
      <c r="K2" s="48" t="s">
        <v>10</v>
      </c>
      <c r="L2" s="48" t="s">
        <v>11</v>
      </c>
      <c r="M2" s="48" t="s">
        <v>12</v>
      </c>
      <c r="N2" s="48" t="s">
        <v>13</v>
      </c>
      <c r="O2" s="50" t="s">
        <v>14</v>
      </c>
      <c r="P2" s="58">
        <v>2026</v>
      </c>
      <c r="Q2" s="58"/>
      <c r="R2" s="58"/>
      <c r="S2" s="58"/>
      <c r="T2" s="58"/>
      <c r="U2" s="58">
        <v>2026</v>
      </c>
      <c r="V2" s="58"/>
      <c r="W2" s="58"/>
      <c r="X2" s="58"/>
      <c r="Y2" s="58">
        <v>2026</v>
      </c>
      <c r="Z2" s="58"/>
      <c r="AA2" s="58"/>
      <c r="AB2" s="58"/>
      <c r="AC2" s="58">
        <v>2026</v>
      </c>
      <c r="AD2" s="58"/>
      <c r="AE2" s="58"/>
      <c r="AF2" s="58"/>
      <c r="AG2" s="58">
        <v>2026</v>
      </c>
      <c r="AH2" s="58"/>
      <c r="AI2" s="58"/>
      <c r="AJ2" s="58"/>
      <c r="AK2" s="58"/>
      <c r="AL2" s="58">
        <v>2026</v>
      </c>
      <c r="AM2" s="58"/>
      <c r="AN2" s="58"/>
      <c r="AO2" s="58"/>
      <c r="AP2" s="58">
        <v>2026</v>
      </c>
      <c r="AQ2" s="58"/>
      <c r="AR2" s="58"/>
      <c r="AS2" s="58"/>
      <c r="AT2" s="58"/>
      <c r="AU2" s="58">
        <v>2026</v>
      </c>
      <c r="AV2" s="58"/>
      <c r="AW2" s="58"/>
      <c r="AX2" s="58"/>
      <c r="AY2" s="58">
        <v>2026</v>
      </c>
      <c r="AZ2" s="58"/>
      <c r="BA2" s="58"/>
      <c r="BB2" s="58"/>
      <c r="BC2" s="58">
        <v>2026</v>
      </c>
      <c r="BD2" s="58"/>
      <c r="BE2" s="58"/>
      <c r="BF2" s="58"/>
      <c r="BG2" s="58"/>
      <c r="BH2" s="58">
        <v>2026</v>
      </c>
      <c r="BI2" s="58"/>
      <c r="BJ2" s="58"/>
      <c r="BK2" s="58"/>
      <c r="BL2" s="58">
        <v>2026</v>
      </c>
      <c r="BM2" s="58"/>
      <c r="BN2" s="58"/>
      <c r="BO2" s="58"/>
    </row>
    <row r="3" spans="1:67" ht="25.15" customHeight="1">
      <c r="A3" s="49"/>
      <c r="B3" s="52"/>
      <c r="C3" s="52"/>
      <c r="D3" s="52"/>
      <c r="E3" s="52"/>
      <c r="F3" s="52"/>
      <c r="G3" s="52"/>
      <c r="H3" s="49"/>
      <c r="I3" s="49"/>
      <c r="J3" s="49"/>
      <c r="K3" s="49"/>
      <c r="L3" s="49"/>
      <c r="M3" s="49"/>
      <c r="N3" s="49"/>
      <c r="O3" s="50"/>
      <c r="P3" s="57" t="s">
        <v>15</v>
      </c>
      <c r="Q3" s="57"/>
      <c r="R3" s="57"/>
      <c r="S3" s="57"/>
      <c r="T3" s="57"/>
      <c r="U3" s="57" t="s">
        <v>16</v>
      </c>
      <c r="V3" s="57"/>
      <c r="W3" s="57"/>
      <c r="X3" s="57"/>
      <c r="Y3" s="57" t="s">
        <v>17</v>
      </c>
      <c r="Z3" s="57"/>
      <c r="AA3" s="57"/>
      <c r="AB3" s="57"/>
      <c r="AC3" s="57" t="s">
        <v>18</v>
      </c>
      <c r="AD3" s="57"/>
      <c r="AE3" s="57"/>
      <c r="AF3" s="57"/>
      <c r="AG3" s="57" t="s">
        <v>19</v>
      </c>
      <c r="AH3" s="57"/>
      <c r="AI3" s="57"/>
      <c r="AJ3" s="57"/>
      <c r="AK3" s="57"/>
      <c r="AL3" s="57" t="s">
        <v>20</v>
      </c>
      <c r="AM3" s="57"/>
      <c r="AN3" s="57"/>
      <c r="AO3" s="57"/>
      <c r="AP3" s="57" t="s">
        <v>21</v>
      </c>
      <c r="AQ3" s="57"/>
      <c r="AR3" s="57"/>
      <c r="AS3" s="57"/>
      <c r="AT3" s="57"/>
      <c r="AU3" s="57" t="s">
        <v>22</v>
      </c>
      <c r="AV3" s="57"/>
      <c r="AW3" s="57"/>
      <c r="AX3" s="57"/>
      <c r="AY3" s="57" t="s">
        <v>23</v>
      </c>
      <c r="AZ3" s="57"/>
      <c r="BA3" s="57"/>
      <c r="BB3" s="57"/>
      <c r="BC3" s="57" t="s">
        <v>24</v>
      </c>
      <c r="BD3" s="57"/>
      <c r="BE3" s="57"/>
      <c r="BF3" s="57"/>
      <c r="BG3" s="57"/>
      <c r="BH3" s="57" t="s">
        <v>25</v>
      </c>
      <c r="BI3" s="57"/>
      <c r="BJ3" s="57"/>
      <c r="BK3" s="57"/>
      <c r="BL3" s="57" t="s">
        <v>26</v>
      </c>
      <c r="BM3" s="57"/>
      <c r="BN3" s="57"/>
      <c r="BO3" s="57"/>
    </row>
    <row r="4" spans="1:67" ht="25.5" customHeight="1">
      <c r="A4" s="49"/>
      <c r="B4" s="52"/>
      <c r="C4" s="52"/>
      <c r="D4" s="52"/>
      <c r="E4" s="52"/>
      <c r="F4" s="52"/>
      <c r="G4" s="52"/>
      <c r="H4" s="49"/>
      <c r="I4" s="49"/>
      <c r="J4" s="49"/>
      <c r="K4" s="49"/>
      <c r="L4" s="49"/>
      <c r="M4" s="49"/>
      <c r="N4" s="49"/>
      <c r="O4" s="50"/>
      <c r="P4" s="18" t="s">
        <v>268</v>
      </c>
      <c r="Q4" s="18" t="s">
        <v>269</v>
      </c>
      <c r="R4" s="18" t="s">
        <v>270</v>
      </c>
      <c r="S4" s="18" t="s">
        <v>271</v>
      </c>
      <c r="T4" s="18" t="s">
        <v>272</v>
      </c>
      <c r="U4" s="18" t="s">
        <v>273</v>
      </c>
      <c r="V4" s="18" t="s">
        <v>274</v>
      </c>
      <c r="W4" s="18" t="s">
        <v>275</v>
      </c>
      <c r="X4" s="18" t="s">
        <v>276</v>
      </c>
      <c r="Y4" s="18" t="s">
        <v>273</v>
      </c>
      <c r="Z4" s="18" t="s">
        <v>274</v>
      </c>
      <c r="AA4" s="18" t="s">
        <v>275</v>
      </c>
      <c r="AB4" s="18" t="s">
        <v>277</v>
      </c>
      <c r="AC4" s="18" t="s">
        <v>278</v>
      </c>
      <c r="AD4" s="18" t="s">
        <v>279</v>
      </c>
      <c r="AE4" s="18" t="s">
        <v>280</v>
      </c>
      <c r="AF4" s="18" t="s">
        <v>281</v>
      </c>
      <c r="AG4" s="18" t="s">
        <v>282</v>
      </c>
      <c r="AH4" s="18" t="s">
        <v>283</v>
      </c>
      <c r="AI4" s="18" t="s">
        <v>284</v>
      </c>
      <c r="AJ4" s="18" t="s">
        <v>285</v>
      </c>
      <c r="AK4" s="18" t="s">
        <v>286</v>
      </c>
      <c r="AL4" s="18" t="s">
        <v>287</v>
      </c>
      <c r="AM4" s="18" t="s">
        <v>288</v>
      </c>
      <c r="AN4" s="18" t="s">
        <v>289</v>
      </c>
      <c r="AO4" s="18" t="s">
        <v>290</v>
      </c>
      <c r="AP4" s="18" t="s">
        <v>278</v>
      </c>
      <c r="AQ4" s="18" t="s">
        <v>279</v>
      </c>
      <c r="AR4" s="18" t="s">
        <v>280</v>
      </c>
      <c r="AS4" s="18" t="s">
        <v>281</v>
      </c>
      <c r="AT4" s="18" t="s">
        <v>291</v>
      </c>
      <c r="AU4" s="18" t="s">
        <v>292</v>
      </c>
      <c r="AV4" s="18" t="s">
        <v>293</v>
      </c>
      <c r="AW4" s="18" t="s">
        <v>294</v>
      </c>
      <c r="AX4" s="18" t="s">
        <v>295</v>
      </c>
      <c r="AY4" s="18" t="s">
        <v>296</v>
      </c>
      <c r="AZ4" s="18" t="s">
        <v>297</v>
      </c>
      <c r="BA4" s="18" t="s">
        <v>298</v>
      </c>
      <c r="BB4" s="18" t="s">
        <v>299</v>
      </c>
      <c r="BC4" s="18" t="s">
        <v>268</v>
      </c>
      <c r="BD4" s="18" t="s">
        <v>269</v>
      </c>
      <c r="BE4" s="18" t="s">
        <v>270</v>
      </c>
      <c r="BF4" s="18" t="s">
        <v>271</v>
      </c>
      <c r="BG4" s="18" t="s">
        <v>272</v>
      </c>
      <c r="BH4" s="18" t="s">
        <v>273</v>
      </c>
      <c r="BI4" s="18" t="s">
        <v>274</v>
      </c>
      <c r="BJ4" s="18" t="s">
        <v>275</v>
      </c>
      <c r="BK4" s="18" t="s">
        <v>300</v>
      </c>
      <c r="BL4" s="18" t="s">
        <v>296</v>
      </c>
      <c r="BM4" s="18" t="s">
        <v>297</v>
      </c>
      <c r="BN4" s="18" t="s">
        <v>298</v>
      </c>
      <c r="BO4" s="18" t="s">
        <v>301</v>
      </c>
    </row>
    <row r="5" spans="1:67" ht="21" customHeight="1">
      <c r="A5" s="34" t="s">
        <v>27</v>
      </c>
      <c r="B5" s="35" t="s">
        <v>28</v>
      </c>
      <c r="C5" s="35" t="s">
        <v>27</v>
      </c>
      <c r="D5" s="35" t="s">
        <v>29</v>
      </c>
      <c r="E5" s="33" t="s">
        <v>30</v>
      </c>
      <c r="F5" s="33" t="s">
        <v>31</v>
      </c>
      <c r="G5" s="33" t="s">
        <v>32</v>
      </c>
      <c r="H5" s="1" t="s">
        <v>33</v>
      </c>
      <c r="I5" s="1"/>
      <c r="J5" s="2"/>
      <c r="K5" s="1"/>
      <c r="L5" s="1"/>
      <c r="M5" s="1"/>
      <c r="N5" s="1"/>
      <c r="O5" s="1" t="s">
        <v>34</v>
      </c>
      <c r="P5" s="19">
        <v>1</v>
      </c>
      <c r="Q5" s="19">
        <v>1</v>
      </c>
      <c r="R5" s="19">
        <v>1</v>
      </c>
      <c r="S5" s="19">
        <v>1</v>
      </c>
      <c r="T5" s="19">
        <v>1</v>
      </c>
      <c r="U5" s="19">
        <v>1</v>
      </c>
      <c r="V5" s="19">
        <v>1</v>
      </c>
      <c r="W5" s="19">
        <v>1</v>
      </c>
      <c r="X5" s="19">
        <v>1</v>
      </c>
      <c r="Y5" s="19">
        <v>1</v>
      </c>
      <c r="Z5" s="19">
        <v>1</v>
      </c>
      <c r="AA5" s="19">
        <v>1</v>
      </c>
      <c r="AB5" s="19">
        <v>1</v>
      </c>
      <c r="AC5" s="19">
        <v>1</v>
      </c>
      <c r="AD5" s="19">
        <v>1</v>
      </c>
      <c r="AE5" s="19">
        <v>1</v>
      </c>
      <c r="AF5" s="19">
        <v>1</v>
      </c>
      <c r="AG5" s="19">
        <v>1</v>
      </c>
      <c r="AH5" s="19">
        <v>1</v>
      </c>
      <c r="AI5" s="19">
        <v>1</v>
      </c>
      <c r="AJ5" s="19">
        <v>1</v>
      </c>
      <c r="AK5" s="19">
        <v>1</v>
      </c>
      <c r="AL5" s="19">
        <v>1</v>
      </c>
      <c r="AM5" s="19">
        <v>1</v>
      </c>
      <c r="AN5" s="19">
        <v>1</v>
      </c>
      <c r="AO5" s="19">
        <v>1</v>
      </c>
      <c r="AP5" s="19">
        <v>1</v>
      </c>
      <c r="AQ5" s="19">
        <v>1</v>
      </c>
      <c r="AR5" s="19">
        <v>1</v>
      </c>
      <c r="AS5" s="19">
        <v>1</v>
      </c>
      <c r="AT5" s="19">
        <v>1</v>
      </c>
      <c r="AU5" s="19">
        <v>1</v>
      </c>
      <c r="AV5" s="19">
        <v>1</v>
      </c>
      <c r="AW5" s="19">
        <v>1</v>
      </c>
      <c r="AX5" s="19">
        <v>1</v>
      </c>
      <c r="AY5" s="19">
        <v>1</v>
      </c>
      <c r="AZ5" s="19">
        <v>1</v>
      </c>
      <c r="BA5" s="19">
        <v>1</v>
      </c>
      <c r="BB5" s="19">
        <v>1</v>
      </c>
      <c r="BC5" s="19">
        <v>1</v>
      </c>
      <c r="BD5" s="19">
        <v>1</v>
      </c>
      <c r="BE5" s="19">
        <v>1</v>
      </c>
      <c r="BF5" s="19">
        <v>1</v>
      </c>
      <c r="BG5" s="19">
        <v>1</v>
      </c>
      <c r="BH5" s="19">
        <v>1</v>
      </c>
      <c r="BI5" s="19">
        <v>1</v>
      </c>
      <c r="BJ5" s="19">
        <v>1</v>
      </c>
      <c r="BK5" s="19">
        <v>1</v>
      </c>
      <c r="BL5" s="19">
        <v>1</v>
      </c>
      <c r="BM5" s="19">
        <v>1</v>
      </c>
      <c r="BN5" s="19">
        <v>1</v>
      </c>
      <c r="BO5" s="19">
        <v>1</v>
      </c>
    </row>
    <row r="6" spans="1:67" ht="21" customHeight="1">
      <c r="A6" s="34"/>
      <c r="B6" s="35"/>
      <c r="C6" s="35"/>
      <c r="D6" s="35" t="s">
        <v>35</v>
      </c>
      <c r="E6" s="33"/>
      <c r="F6" s="33"/>
      <c r="G6" s="33"/>
      <c r="H6" s="1" t="s">
        <v>36</v>
      </c>
      <c r="I6" s="1"/>
      <c r="J6" s="1"/>
      <c r="K6" s="1"/>
      <c r="L6" s="1"/>
      <c r="M6" s="1"/>
      <c r="N6" s="1"/>
      <c r="O6" s="1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19"/>
      <c r="BL6" s="19"/>
      <c r="BM6" s="19"/>
      <c r="BN6" s="19"/>
      <c r="BO6" s="19"/>
    </row>
    <row r="7" spans="1:67" ht="21" customHeight="1">
      <c r="A7" s="34"/>
      <c r="B7" s="35"/>
      <c r="C7" s="35"/>
      <c r="D7" s="35" t="s">
        <v>35</v>
      </c>
      <c r="E7" s="33"/>
      <c r="F7" s="33" t="s">
        <v>37</v>
      </c>
      <c r="G7" s="33" t="s">
        <v>38</v>
      </c>
      <c r="H7" s="1" t="s">
        <v>33</v>
      </c>
      <c r="I7" s="1"/>
      <c r="J7" s="2"/>
      <c r="K7" s="1"/>
      <c r="L7" s="1"/>
      <c r="M7" s="1"/>
      <c r="N7" s="1"/>
      <c r="O7" s="1" t="s">
        <v>34</v>
      </c>
      <c r="P7" s="19">
        <v>1</v>
      </c>
      <c r="Q7" s="19">
        <v>1</v>
      </c>
      <c r="R7" s="19">
        <v>1</v>
      </c>
      <c r="S7" s="19">
        <v>1</v>
      </c>
      <c r="T7" s="19">
        <v>1</v>
      </c>
      <c r="U7" s="19">
        <v>1</v>
      </c>
      <c r="V7" s="19">
        <v>1</v>
      </c>
      <c r="W7" s="19">
        <v>1</v>
      </c>
      <c r="X7" s="19">
        <v>1</v>
      </c>
      <c r="Y7" s="19">
        <v>1</v>
      </c>
      <c r="Z7" s="19">
        <v>1</v>
      </c>
      <c r="AA7" s="19">
        <v>1</v>
      </c>
      <c r="AB7" s="19">
        <v>1</v>
      </c>
      <c r="AC7" s="19">
        <v>1</v>
      </c>
      <c r="AD7" s="19">
        <v>1</v>
      </c>
      <c r="AE7" s="19">
        <v>1</v>
      </c>
      <c r="AF7" s="19">
        <v>1</v>
      </c>
      <c r="AG7" s="19">
        <v>1</v>
      </c>
      <c r="AH7" s="19">
        <v>1</v>
      </c>
      <c r="AI7" s="19">
        <v>1</v>
      </c>
      <c r="AJ7" s="19">
        <v>1</v>
      </c>
      <c r="AK7" s="19">
        <v>1</v>
      </c>
      <c r="AL7" s="19">
        <v>1</v>
      </c>
      <c r="AM7" s="19">
        <v>1</v>
      </c>
      <c r="AN7" s="19">
        <v>1</v>
      </c>
      <c r="AO7" s="19">
        <v>1</v>
      </c>
      <c r="AP7" s="19">
        <v>1</v>
      </c>
      <c r="AQ7" s="19">
        <v>1</v>
      </c>
      <c r="AR7" s="19">
        <v>1</v>
      </c>
      <c r="AS7" s="19">
        <v>1</v>
      </c>
      <c r="AT7" s="19">
        <v>1</v>
      </c>
      <c r="AU7" s="19">
        <v>1</v>
      </c>
      <c r="AV7" s="19">
        <v>1</v>
      </c>
      <c r="AW7" s="19">
        <v>1</v>
      </c>
      <c r="AX7" s="19">
        <v>1</v>
      </c>
      <c r="AY7" s="19">
        <v>1</v>
      </c>
      <c r="AZ7" s="19">
        <v>1</v>
      </c>
      <c r="BA7" s="19">
        <v>1</v>
      </c>
      <c r="BB7" s="19">
        <v>1</v>
      </c>
      <c r="BC7" s="19">
        <v>1</v>
      </c>
      <c r="BD7" s="19">
        <v>1</v>
      </c>
      <c r="BE7" s="19">
        <v>1</v>
      </c>
      <c r="BF7" s="19">
        <v>1</v>
      </c>
      <c r="BG7" s="19">
        <v>1</v>
      </c>
      <c r="BH7" s="19">
        <v>1</v>
      </c>
      <c r="BI7" s="19">
        <v>1</v>
      </c>
      <c r="BJ7" s="19">
        <v>1</v>
      </c>
      <c r="BK7" s="19">
        <v>1</v>
      </c>
      <c r="BL7" s="19">
        <v>1</v>
      </c>
      <c r="BM7" s="19">
        <v>1</v>
      </c>
      <c r="BN7" s="19">
        <v>1</v>
      </c>
      <c r="BO7" s="19">
        <v>1</v>
      </c>
    </row>
    <row r="8" spans="1:67" ht="21" customHeight="1">
      <c r="A8" s="34"/>
      <c r="B8" s="35"/>
      <c r="C8" s="35"/>
      <c r="D8" s="35" t="s">
        <v>35</v>
      </c>
      <c r="E8" s="33"/>
      <c r="F8" s="33"/>
      <c r="G8" s="33"/>
      <c r="H8" s="1" t="s">
        <v>36</v>
      </c>
      <c r="I8" s="1"/>
      <c r="J8" s="1"/>
      <c r="K8" s="1"/>
      <c r="L8" s="1"/>
      <c r="M8" s="1"/>
      <c r="N8" s="1"/>
      <c r="O8" s="1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</row>
    <row r="9" spans="1:67" ht="21" customHeight="1">
      <c r="A9" s="34"/>
      <c r="B9" s="35"/>
      <c r="C9" s="35"/>
      <c r="D9" s="35" t="s">
        <v>35</v>
      </c>
      <c r="E9" s="33"/>
      <c r="F9" s="33" t="s">
        <v>39</v>
      </c>
      <c r="G9" s="33" t="s">
        <v>40</v>
      </c>
      <c r="H9" s="1" t="s">
        <v>33</v>
      </c>
      <c r="I9" s="1"/>
      <c r="J9" s="1"/>
      <c r="K9" s="1"/>
      <c r="L9" s="1"/>
      <c r="M9" s="1"/>
      <c r="N9" s="3"/>
      <c r="O9" s="1" t="s">
        <v>41</v>
      </c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9"/>
      <c r="BJ9" s="19">
        <v>5</v>
      </c>
      <c r="BK9" s="19"/>
      <c r="BL9" s="19"/>
      <c r="BM9" s="19"/>
      <c r="BN9" s="19"/>
      <c r="BO9" s="19"/>
    </row>
    <row r="10" spans="1:67" ht="21" customHeight="1">
      <c r="A10" s="34"/>
      <c r="B10" s="35"/>
      <c r="C10" s="35"/>
      <c r="D10" s="35" t="s">
        <v>35</v>
      </c>
      <c r="E10" s="33"/>
      <c r="F10" s="33"/>
      <c r="G10" s="33"/>
      <c r="H10" s="1" t="s">
        <v>36</v>
      </c>
      <c r="I10" s="1"/>
      <c r="J10" s="1"/>
      <c r="K10" s="1"/>
      <c r="L10" s="1"/>
      <c r="M10" s="1"/>
      <c r="N10" s="1"/>
      <c r="O10" s="1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19"/>
    </row>
    <row r="11" spans="1:67" ht="35.450000000000003" customHeight="1">
      <c r="A11" s="34"/>
      <c r="B11" s="35"/>
      <c r="C11" s="35"/>
      <c r="D11" s="35" t="s">
        <v>35</v>
      </c>
      <c r="E11" s="33"/>
      <c r="F11" s="44" t="s">
        <v>42</v>
      </c>
      <c r="G11" s="33" t="s">
        <v>43</v>
      </c>
      <c r="H11" s="1" t="s">
        <v>33</v>
      </c>
      <c r="I11" s="1"/>
      <c r="J11" s="1"/>
      <c r="K11" s="1"/>
      <c r="L11" s="1"/>
      <c r="M11" s="4"/>
      <c r="N11" s="1"/>
      <c r="O11" s="1" t="s">
        <v>44</v>
      </c>
      <c r="P11" s="19"/>
      <c r="Q11" s="19"/>
      <c r="R11" s="19">
        <v>4</v>
      </c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>
        <v>4</v>
      </c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</row>
    <row r="12" spans="1:67" ht="35.450000000000003" customHeight="1">
      <c r="A12" s="34"/>
      <c r="B12" s="35"/>
      <c r="C12" s="35"/>
      <c r="D12" s="35" t="s">
        <v>35</v>
      </c>
      <c r="E12" s="33"/>
      <c r="F12" s="44"/>
      <c r="G12" s="33"/>
      <c r="H12" s="1" t="s">
        <v>36</v>
      </c>
      <c r="I12" s="1"/>
      <c r="J12" s="1"/>
      <c r="K12" s="1"/>
      <c r="L12" s="1"/>
      <c r="M12" s="1"/>
      <c r="N12" s="1"/>
      <c r="O12" s="1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</row>
    <row r="13" spans="1:67" ht="21" customHeight="1">
      <c r="A13" s="34"/>
      <c r="B13" s="35"/>
      <c r="C13" s="35"/>
      <c r="D13" s="35" t="s">
        <v>35</v>
      </c>
      <c r="E13" s="33"/>
      <c r="F13" s="33" t="s">
        <v>45</v>
      </c>
      <c r="G13" s="33" t="s">
        <v>43</v>
      </c>
      <c r="H13" s="1" t="s">
        <v>33</v>
      </c>
      <c r="I13" s="1"/>
      <c r="J13" s="1"/>
      <c r="K13" s="5"/>
      <c r="L13" s="1"/>
      <c r="M13" s="1"/>
      <c r="N13" s="1"/>
      <c r="O13" s="1" t="s">
        <v>46</v>
      </c>
      <c r="P13" s="19"/>
      <c r="Q13" s="19"/>
      <c r="R13" s="19">
        <v>2</v>
      </c>
      <c r="S13" s="19"/>
      <c r="T13" s="19"/>
      <c r="U13" s="19"/>
      <c r="V13" s="19"/>
      <c r="W13" s="19">
        <v>2</v>
      </c>
      <c r="X13" s="19"/>
      <c r="Y13" s="19"/>
      <c r="Z13" s="19"/>
      <c r="AA13" s="19">
        <v>2</v>
      </c>
      <c r="AB13" s="19"/>
      <c r="AC13" s="19"/>
      <c r="AD13" s="19"/>
      <c r="AE13" s="19">
        <v>2</v>
      </c>
      <c r="AF13" s="19"/>
      <c r="AG13" s="19"/>
      <c r="AH13" s="19"/>
      <c r="AI13" s="19">
        <v>2</v>
      </c>
      <c r="AJ13" s="19"/>
      <c r="AK13" s="19"/>
      <c r="AL13" s="19"/>
      <c r="AM13" s="19"/>
      <c r="AN13" s="19">
        <v>2</v>
      </c>
      <c r="AO13" s="19"/>
      <c r="AP13" s="19"/>
      <c r="AQ13" s="19"/>
      <c r="AR13" s="19">
        <v>2</v>
      </c>
      <c r="AS13" s="19"/>
      <c r="AT13" s="19"/>
      <c r="AU13" s="19"/>
      <c r="AV13" s="19"/>
      <c r="AW13" s="19">
        <v>2</v>
      </c>
      <c r="AX13" s="19"/>
      <c r="AY13" s="19"/>
      <c r="AZ13" s="19"/>
      <c r="BA13" s="19">
        <v>2</v>
      </c>
      <c r="BB13" s="19"/>
      <c r="BC13" s="19"/>
      <c r="BD13" s="19"/>
      <c r="BE13" s="19">
        <v>2</v>
      </c>
      <c r="BF13" s="19"/>
      <c r="BG13" s="19"/>
      <c r="BH13" s="19"/>
      <c r="BI13" s="19"/>
      <c r="BJ13" s="19">
        <v>2</v>
      </c>
      <c r="BK13" s="19"/>
      <c r="BL13" s="19"/>
      <c r="BM13" s="19"/>
      <c r="BN13" s="19">
        <v>2</v>
      </c>
      <c r="BO13" s="19"/>
    </row>
    <row r="14" spans="1:67" ht="21" customHeight="1">
      <c r="A14" s="34"/>
      <c r="B14" s="35"/>
      <c r="C14" s="35"/>
      <c r="D14" s="35" t="s">
        <v>35</v>
      </c>
      <c r="E14" s="33"/>
      <c r="F14" s="33"/>
      <c r="G14" s="33"/>
      <c r="H14" s="1" t="s">
        <v>36</v>
      </c>
      <c r="I14" s="1"/>
      <c r="J14" s="1"/>
      <c r="K14" s="1"/>
      <c r="L14" s="1"/>
      <c r="M14" s="1"/>
      <c r="N14" s="1"/>
      <c r="O14" s="1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</row>
    <row r="15" spans="1:67" ht="21" customHeight="1">
      <c r="A15" s="34"/>
      <c r="B15" s="35"/>
      <c r="C15" s="35"/>
      <c r="D15" s="35" t="s">
        <v>35</v>
      </c>
      <c r="E15" s="33"/>
      <c r="F15" s="33" t="s">
        <v>47</v>
      </c>
      <c r="G15" s="33" t="s">
        <v>43</v>
      </c>
      <c r="H15" s="1" t="s">
        <v>33</v>
      </c>
      <c r="I15" s="1"/>
      <c r="J15" s="1"/>
      <c r="K15" s="5"/>
      <c r="L15" s="1"/>
      <c r="M15" s="1"/>
      <c r="N15" s="1"/>
      <c r="O15" s="1" t="s">
        <v>46</v>
      </c>
      <c r="P15" s="19"/>
      <c r="Q15" s="19"/>
      <c r="R15" s="19">
        <v>2</v>
      </c>
      <c r="S15" s="19"/>
      <c r="T15" s="19"/>
      <c r="U15" s="19"/>
      <c r="V15" s="19"/>
      <c r="W15" s="19">
        <v>2</v>
      </c>
      <c r="X15" s="19"/>
      <c r="Y15" s="19"/>
      <c r="Z15" s="19"/>
      <c r="AA15" s="19">
        <v>2</v>
      </c>
      <c r="AB15" s="19"/>
      <c r="AC15" s="19"/>
      <c r="AD15" s="19"/>
      <c r="AE15" s="19">
        <v>2</v>
      </c>
      <c r="AF15" s="19"/>
      <c r="AG15" s="19"/>
      <c r="AH15" s="19"/>
      <c r="AI15" s="19">
        <v>2</v>
      </c>
      <c r="AJ15" s="19"/>
      <c r="AK15" s="19"/>
      <c r="AL15" s="19"/>
      <c r="AM15" s="19"/>
      <c r="AN15" s="19">
        <v>2</v>
      </c>
      <c r="AO15" s="19"/>
      <c r="AP15" s="19"/>
      <c r="AQ15" s="19"/>
      <c r="AR15" s="19">
        <v>2</v>
      </c>
      <c r="AS15" s="19"/>
      <c r="AT15" s="19"/>
      <c r="AU15" s="19"/>
      <c r="AV15" s="19"/>
      <c r="AW15" s="19">
        <v>2</v>
      </c>
      <c r="AX15" s="19"/>
      <c r="AY15" s="19"/>
      <c r="AZ15" s="19"/>
      <c r="BA15" s="19">
        <v>2</v>
      </c>
      <c r="BB15" s="19"/>
      <c r="BC15" s="19"/>
      <c r="BD15" s="19"/>
      <c r="BE15" s="19">
        <v>2</v>
      </c>
      <c r="BF15" s="19"/>
      <c r="BG15" s="19"/>
      <c r="BH15" s="19"/>
      <c r="BI15" s="19"/>
      <c r="BJ15" s="19">
        <v>2</v>
      </c>
      <c r="BK15" s="19"/>
      <c r="BL15" s="19"/>
      <c r="BM15" s="19"/>
      <c r="BN15" s="19">
        <v>2</v>
      </c>
      <c r="BO15" s="19"/>
    </row>
    <row r="16" spans="1:67" ht="21" customHeight="1">
      <c r="A16" s="34"/>
      <c r="B16" s="35"/>
      <c r="C16" s="35"/>
      <c r="D16" s="35" t="s">
        <v>35</v>
      </c>
      <c r="E16" s="33"/>
      <c r="F16" s="33"/>
      <c r="G16" s="33"/>
      <c r="H16" s="1" t="s">
        <v>36</v>
      </c>
      <c r="I16" s="1"/>
      <c r="J16" s="1"/>
      <c r="K16" s="1"/>
      <c r="L16" s="1"/>
      <c r="M16" s="1"/>
      <c r="N16" s="1"/>
      <c r="O16" s="1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</row>
    <row r="17" spans="1:67" ht="21" customHeight="1">
      <c r="A17" s="34"/>
      <c r="B17" s="35"/>
      <c r="C17" s="35"/>
      <c r="D17" s="35" t="s">
        <v>35</v>
      </c>
      <c r="E17" s="33"/>
      <c r="F17" s="33" t="s">
        <v>48</v>
      </c>
      <c r="G17" s="33" t="s">
        <v>43</v>
      </c>
      <c r="H17" s="1" t="s">
        <v>33</v>
      </c>
      <c r="I17" s="1"/>
      <c r="J17" s="1"/>
      <c r="K17" s="5"/>
      <c r="L17" s="1"/>
      <c r="M17" s="1"/>
      <c r="N17" s="1"/>
      <c r="O17" s="1" t="s">
        <v>46</v>
      </c>
      <c r="P17" s="19"/>
      <c r="Q17" s="19"/>
      <c r="R17" s="19">
        <v>2</v>
      </c>
      <c r="S17" s="19"/>
      <c r="T17" s="19"/>
      <c r="U17" s="19"/>
      <c r="V17" s="19"/>
      <c r="W17" s="19">
        <v>2</v>
      </c>
      <c r="X17" s="19"/>
      <c r="Y17" s="19"/>
      <c r="Z17" s="19"/>
      <c r="AA17" s="19">
        <v>2</v>
      </c>
      <c r="AB17" s="19"/>
      <c r="AC17" s="19"/>
      <c r="AD17" s="19"/>
      <c r="AE17" s="19">
        <v>2</v>
      </c>
      <c r="AF17" s="19"/>
      <c r="AG17" s="19"/>
      <c r="AH17" s="19"/>
      <c r="AI17" s="19">
        <v>2</v>
      </c>
      <c r="AJ17" s="19"/>
      <c r="AK17" s="19"/>
      <c r="AL17" s="19"/>
      <c r="AM17" s="19"/>
      <c r="AN17" s="19">
        <v>2</v>
      </c>
      <c r="AO17" s="19"/>
      <c r="AP17" s="19"/>
      <c r="AQ17" s="19"/>
      <c r="AR17" s="19">
        <v>2</v>
      </c>
      <c r="AS17" s="19"/>
      <c r="AT17" s="19"/>
      <c r="AU17" s="19"/>
      <c r="AV17" s="19"/>
      <c r="AW17" s="19">
        <v>2</v>
      </c>
      <c r="AX17" s="19"/>
      <c r="AY17" s="19"/>
      <c r="AZ17" s="19"/>
      <c r="BA17" s="19">
        <v>2</v>
      </c>
      <c r="BB17" s="19"/>
      <c r="BC17" s="19"/>
      <c r="BD17" s="19"/>
      <c r="BE17" s="19">
        <v>2</v>
      </c>
      <c r="BF17" s="19"/>
      <c r="BG17" s="19"/>
      <c r="BH17" s="19"/>
      <c r="BI17" s="19"/>
      <c r="BJ17" s="19">
        <v>2</v>
      </c>
      <c r="BK17" s="19"/>
      <c r="BL17" s="19"/>
      <c r="BM17" s="19"/>
      <c r="BN17" s="19">
        <v>2</v>
      </c>
      <c r="BO17" s="19"/>
    </row>
    <row r="18" spans="1:67" ht="21" customHeight="1">
      <c r="A18" s="34"/>
      <c r="B18" s="35"/>
      <c r="C18" s="35"/>
      <c r="D18" s="35" t="s">
        <v>35</v>
      </c>
      <c r="E18" s="33"/>
      <c r="F18" s="33"/>
      <c r="G18" s="33"/>
      <c r="H18" s="1" t="s">
        <v>36</v>
      </c>
      <c r="I18" s="1"/>
      <c r="J18" s="1"/>
      <c r="K18" s="1"/>
      <c r="L18" s="1"/>
      <c r="M18" s="1"/>
      <c r="N18" s="1"/>
      <c r="O18" s="1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</row>
    <row r="19" spans="1:67" ht="21" customHeight="1">
      <c r="A19" s="34"/>
      <c r="B19" s="35"/>
      <c r="C19" s="35"/>
      <c r="D19" s="35" t="s">
        <v>35</v>
      </c>
      <c r="E19" s="33"/>
      <c r="F19" s="33" t="s">
        <v>49</v>
      </c>
      <c r="G19" s="33" t="s">
        <v>43</v>
      </c>
      <c r="H19" s="1" t="s">
        <v>33</v>
      </c>
      <c r="I19" s="1"/>
      <c r="J19" s="2"/>
      <c r="K19" s="1"/>
      <c r="L19" s="1"/>
      <c r="M19" s="1"/>
      <c r="N19" s="1"/>
      <c r="O19" s="1" t="s">
        <v>50</v>
      </c>
      <c r="P19" s="19">
        <v>1</v>
      </c>
      <c r="Q19" s="19">
        <v>1</v>
      </c>
      <c r="R19" s="19">
        <v>1</v>
      </c>
      <c r="S19" s="19">
        <v>1</v>
      </c>
      <c r="T19" s="19">
        <v>1</v>
      </c>
      <c r="U19" s="19">
        <v>1</v>
      </c>
      <c r="V19" s="19">
        <v>1</v>
      </c>
      <c r="W19" s="19">
        <v>1</v>
      </c>
      <c r="X19" s="19">
        <v>1</v>
      </c>
      <c r="Y19" s="19">
        <v>1</v>
      </c>
      <c r="Z19" s="19">
        <v>1</v>
      </c>
      <c r="AA19" s="19">
        <v>1</v>
      </c>
      <c r="AB19" s="19">
        <v>1</v>
      </c>
      <c r="AC19" s="19">
        <v>1</v>
      </c>
      <c r="AD19" s="19">
        <v>1</v>
      </c>
      <c r="AE19" s="19">
        <v>1</v>
      </c>
      <c r="AF19" s="19">
        <v>1</v>
      </c>
      <c r="AG19" s="19">
        <v>1</v>
      </c>
      <c r="AH19" s="19">
        <v>1</v>
      </c>
      <c r="AI19" s="19">
        <v>1</v>
      </c>
      <c r="AJ19" s="19">
        <v>1</v>
      </c>
      <c r="AK19" s="19">
        <v>1</v>
      </c>
      <c r="AL19" s="19">
        <v>1</v>
      </c>
      <c r="AM19" s="19">
        <v>1</v>
      </c>
      <c r="AN19" s="19">
        <v>1</v>
      </c>
      <c r="AO19" s="19">
        <v>1</v>
      </c>
      <c r="AP19" s="19">
        <v>1</v>
      </c>
      <c r="AQ19" s="19">
        <v>1</v>
      </c>
      <c r="AR19" s="19">
        <v>1</v>
      </c>
      <c r="AS19" s="19">
        <v>1</v>
      </c>
      <c r="AT19" s="19">
        <v>1</v>
      </c>
      <c r="AU19" s="19">
        <v>1</v>
      </c>
      <c r="AV19" s="19">
        <v>1</v>
      </c>
      <c r="AW19" s="19">
        <v>1</v>
      </c>
      <c r="AX19" s="19">
        <v>1</v>
      </c>
      <c r="AY19" s="19">
        <v>1</v>
      </c>
      <c r="AZ19" s="19">
        <v>1</v>
      </c>
      <c r="BA19" s="19">
        <v>1</v>
      </c>
      <c r="BB19" s="19">
        <v>1</v>
      </c>
      <c r="BC19" s="19">
        <v>1</v>
      </c>
      <c r="BD19" s="19">
        <v>1</v>
      </c>
      <c r="BE19" s="19">
        <v>1</v>
      </c>
      <c r="BF19" s="19">
        <v>1</v>
      </c>
      <c r="BG19" s="19">
        <v>1</v>
      </c>
      <c r="BH19" s="19">
        <v>1</v>
      </c>
      <c r="BI19" s="19">
        <v>1</v>
      </c>
      <c r="BJ19" s="19">
        <v>1</v>
      </c>
      <c r="BK19" s="19">
        <v>1</v>
      </c>
      <c r="BL19" s="19">
        <v>1</v>
      </c>
      <c r="BM19" s="19">
        <v>1</v>
      </c>
      <c r="BN19" s="19">
        <v>1</v>
      </c>
      <c r="BO19" s="19">
        <v>1</v>
      </c>
    </row>
    <row r="20" spans="1:67" ht="21" customHeight="1">
      <c r="A20" s="34"/>
      <c r="B20" s="35"/>
      <c r="C20" s="35"/>
      <c r="D20" s="35" t="s">
        <v>35</v>
      </c>
      <c r="E20" s="33"/>
      <c r="F20" s="33"/>
      <c r="G20" s="33"/>
      <c r="H20" s="1" t="s">
        <v>36</v>
      </c>
      <c r="I20" s="1"/>
      <c r="J20" s="1"/>
      <c r="K20" s="1"/>
      <c r="L20" s="1"/>
      <c r="M20" s="1"/>
      <c r="N20" s="1"/>
      <c r="O20" s="1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</row>
    <row r="21" spans="1:67" ht="21" customHeight="1">
      <c r="A21" s="34" t="s">
        <v>51</v>
      </c>
      <c r="B21" s="35" t="s">
        <v>52</v>
      </c>
      <c r="C21" s="35" t="s">
        <v>53</v>
      </c>
      <c r="D21" s="35" t="s">
        <v>54</v>
      </c>
      <c r="E21" s="33" t="s">
        <v>55</v>
      </c>
      <c r="F21" s="33" t="s">
        <v>31</v>
      </c>
      <c r="G21" s="33" t="s">
        <v>56</v>
      </c>
      <c r="H21" s="1" t="s">
        <v>33</v>
      </c>
      <c r="I21" s="1"/>
      <c r="J21" s="2"/>
      <c r="K21" s="1"/>
      <c r="L21" s="1"/>
      <c r="M21" s="1"/>
      <c r="N21" s="1"/>
      <c r="O21" s="1" t="s">
        <v>34</v>
      </c>
      <c r="P21" s="19">
        <v>1</v>
      </c>
      <c r="Q21" s="19">
        <v>1</v>
      </c>
      <c r="R21" s="19">
        <v>1</v>
      </c>
      <c r="S21" s="19">
        <v>1</v>
      </c>
      <c r="T21" s="19">
        <v>1</v>
      </c>
      <c r="U21" s="19">
        <v>1</v>
      </c>
      <c r="V21" s="19">
        <v>1</v>
      </c>
      <c r="W21" s="19">
        <v>1</v>
      </c>
      <c r="X21" s="19">
        <v>1</v>
      </c>
      <c r="Y21" s="19">
        <v>1</v>
      </c>
      <c r="Z21" s="19">
        <v>1</v>
      </c>
      <c r="AA21" s="19">
        <v>1</v>
      </c>
      <c r="AB21" s="19">
        <v>1</v>
      </c>
      <c r="AC21" s="19">
        <v>1</v>
      </c>
      <c r="AD21" s="19">
        <v>1</v>
      </c>
      <c r="AE21" s="19">
        <v>1</v>
      </c>
      <c r="AF21" s="19">
        <v>1</v>
      </c>
      <c r="AG21" s="19">
        <v>1</v>
      </c>
      <c r="AH21" s="19">
        <v>1</v>
      </c>
      <c r="AI21" s="19">
        <v>1</v>
      </c>
      <c r="AJ21" s="19">
        <v>1</v>
      </c>
      <c r="AK21" s="19">
        <v>1</v>
      </c>
      <c r="AL21" s="19">
        <v>1</v>
      </c>
      <c r="AM21" s="19">
        <v>1</v>
      </c>
      <c r="AN21" s="19">
        <v>1</v>
      </c>
      <c r="AO21" s="19">
        <v>1</v>
      </c>
      <c r="AP21" s="19">
        <v>1</v>
      </c>
      <c r="AQ21" s="19">
        <v>1</v>
      </c>
      <c r="AR21" s="19">
        <v>1</v>
      </c>
      <c r="AS21" s="19">
        <v>1</v>
      </c>
      <c r="AT21" s="19">
        <v>1</v>
      </c>
      <c r="AU21" s="19">
        <v>1</v>
      </c>
      <c r="AV21" s="19">
        <v>1</v>
      </c>
      <c r="AW21" s="19">
        <v>1</v>
      </c>
      <c r="AX21" s="19">
        <v>1</v>
      </c>
      <c r="AY21" s="19">
        <v>1</v>
      </c>
      <c r="AZ21" s="19">
        <v>1</v>
      </c>
      <c r="BA21" s="19">
        <v>1</v>
      </c>
      <c r="BB21" s="19">
        <v>1</v>
      </c>
      <c r="BC21" s="19">
        <v>1</v>
      </c>
      <c r="BD21" s="19">
        <v>1</v>
      </c>
      <c r="BE21" s="19">
        <v>1</v>
      </c>
      <c r="BF21" s="19">
        <v>1</v>
      </c>
      <c r="BG21" s="19">
        <v>1</v>
      </c>
      <c r="BH21" s="19">
        <v>1</v>
      </c>
      <c r="BI21" s="19">
        <v>1</v>
      </c>
      <c r="BJ21" s="19">
        <v>1</v>
      </c>
      <c r="BK21" s="19">
        <v>1</v>
      </c>
      <c r="BL21" s="19">
        <v>1</v>
      </c>
      <c r="BM21" s="19">
        <v>1</v>
      </c>
      <c r="BN21" s="19">
        <v>1</v>
      </c>
      <c r="BO21" s="19">
        <v>1</v>
      </c>
    </row>
    <row r="22" spans="1:67" ht="21" customHeight="1">
      <c r="A22" s="34"/>
      <c r="B22" s="35"/>
      <c r="C22" s="35"/>
      <c r="D22" s="35" t="s">
        <v>35</v>
      </c>
      <c r="E22" s="33"/>
      <c r="F22" s="33"/>
      <c r="G22" s="33"/>
      <c r="H22" s="1" t="s">
        <v>36</v>
      </c>
      <c r="I22" s="1"/>
      <c r="J22" s="1"/>
      <c r="K22" s="1"/>
      <c r="L22" s="1"/>
      <c r="M22" s="1"/>
      <c r="N22" s="1"/>
      <c r="O22" s="1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</row>
    <row r="23" spans="1:67" ht="21" customHeight="1">
      <c r="A23" s="34"/>
      <c r="B23" s="35"/>
      <c r="C23" s="35"/>
      <c r="D23" s="35" t="s">
        <v>35</v>
      </c>
      <c r="E23" s="33"/>
      <c r="F23" s="33" t="s">
        <v>57</v>
      </c>
      <c r="G23" s="33" t="s">
        <v>58</v>
      </c>
      <c r="H23" s="1" t="s">
        <v>33</v>
      </c>
      <c r="I23" s="1"/>
      <c r="J23" s="1"/>
      <c r="K23" s="1"/>
      <c r="L23" s="1"/>
      <c r="M23" s="1"/>
      <c r="N23" s="3"/>
      <c r="O23" s="1" t="s">
        <v>41</v>
      </c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G23" s="19"/>
      <c r="BH23" s="19"/>
      <c r="BI23" s="19"/>
      <c r="BJ23" s="19">
        <v>5</v>
      </c>
      <c r="BK23" s="19"/>
      <c r="BL23" s="19"/>
      <c r="BM23" s="19"/>
      <c r="BN23" s="19"/>
      <c r="BO23" s="19"/>
    </row>
    <row r="24" spans="1:67" ht="21" customHeight="1">
      <c r="A24" s="34"/>
      <c r="B24" s="35"/>
      <c r="C24" s="35"/>
      <c r="D24" s="35" t="s">
        <v>35</v>
      </c>
      <c r="E24" s="33"/>
      <c r="F24" s="33"/>
      <c r="G24" s="33"/>
      <c r="H24" s="1" t="s">
        <v>36</v>
      </c>
      <c r="I24" s="1"/>
      <c r="J24" s="1"/>
      <c r="K24" s="1"/>
      <c r="L24" s="1"/>
      <c r="M24" s="1"/>
      <c r="N24" s="1"/>
      <c r="O24" s="1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</row>
    <row r="25" spans="1:67" ht="21" customHeight="1">
      <c r="A25" s="34"/>
      <c r="B25" s="35"/>
      <c r="C25" s="35"/>
      <c r="D25" s="35" t="s">
        <v>35</v>
      </c>
      <c r="E25" s="33"/>
      <c r="F25" s="33" t="s">
        <v>59</v>
      </c>
      <c r="G25" s="33" t="s">
        <v>60</v>
      </c>
      <c r="H25" s="1" t="s">
        <v>33</v>
      </c>
      <c r="I25" s="1"/>
      <c r="J25" s="1"/>
      <c r="K25" s="5"/>
      <c r="L25" s="1"/>
      <c r="M25" s="1"/>
      <c r="N25" s="1"/>
      <c r="O25" s="1" t="s">
        <v>61</v>
      </c>
      <c r="P25" s="19"/>
      <c r="Q25" s="19"/>
      <c r="R25" s="19">
        <v>2</v>
      </c>
      <c r="S25" s="19"/>
      <c r="T25" s="19"/>
      <c r="U25" s="19"/>
      <c r="V25" s="19"/>
      <c r="W25" s="19">
        <v>2</v>
      </c>
      <c r="X25" s="19"/>
      <c r="Y25" s="19"/>
      <c r="Z25" s="19"/>
      <c r="AA25" s="19">
        <v>2</v>
      </c>
      <c r="AB25" s="19"/>
      <c r="AC25" s="19"/>
      <c r="AD25" s="19"/>
      <c r="AE25" s="19">
        <v>2</v>
      </c>
      <c r="AF25" s="19"/>
      <c r="AG25" s="19"/>
      <c r="AH25" s="19"/>
      <c r="AI25" s="19">
        <v>2</v>
      </c>
      <c r="AJ25" s="19"/>
      <c r="AK25" s="19"/>
      <c r="AL25" s="19"/>
      <c r="AM25" s="19"/>
      <c r="AN25" s="19">
        <v>2</v>
      </c>
      <c r="AO25" s="19"/>
      <c r="AP25" s="19"/>
      <c r="AQ25" s="19"/>
      <c r="AR25" s="19">
        <v>2</v>
      </c>
      <c r="AS25" s="19"/>
      <c r="AT25" s="19"/>
      <c r="AU25" s="19"/>
      <c r="AV25" s="19"/>
      <c r="AW25" s="19">
        <v>2</v>
      </c>
      <c r="AX25" s="19"/>
      <c r="AY25" s="19"/>
      <c r="AZ25" s="19"/>
      <c r="BA25" s="19">
        <v>2</v>
      </c>
      <c r="BB25" s="19"/>
      <c r="BC25" s="19"/>
      <c r="BD25" s="19"/>
      <c r="BE25" s="19">
        <v>2</v>
      </c>
      <c r="BF25" s="19"/>
      <c r="BG25" s="19"/>
      <c r="BH25" s="19"/>
      <c r="BI25" s="19"/>
      <c r="BJ25" s="19">
        <v>2</v>
      </c>
      <c r="BK25" s="19"/>
      <c r="BL25" s="19"/>
      <c r="BM25" s="19"/>
      <c r="BN25" s="19">
        <v>2</v>
      </c>
      <c r="BO25" s="19"/>
    </row>
    <row r="26" spans="1:67" ht="21" customHeight="1">
      <c r="A26" s="34"/>
      <c r="B26" s="35"/>
      <c r="C26" s="35"/>
      <c r="D26" s="35" t="s">
        <v>35</v>
      </c>
      <c r="E26" s="33"/>
      <c r="F26" s="33"/>
      <c r="G26" s="33"/>
      <c r="H26" s="1" t="s">
        <v>36</v>
      </c>
      <c r="I26" s="1"/>
      <c r="J26" s="1"/>
      <c r="K26" s="1"/>
      <c r="L26" s="1"/>
      <c r="M26" s="1"/>
      <c r="N26" s="1"/>
      <c r="O26" s="1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</row>
    <row r="27" spans="1:67" ht="21" customHeight="1">
      <c r="A27" s="34"/>
      <c r="B27" s="35" t="s">
        <v>62</v>
      </c>
      <c r="C27" s="35" t="s">
        <v>63</v>
      </c>
      <c r="D27" s="35" t="s">
        <v>64</v>
      </c>
      <c r="E27" s="33" t="s">
        <v>55</v>
      </c>
      <c r="F27" s="33" t="s">
        <v>31</v>
      </c>
      <c r="G27" s="33" t="s">
        <v>56</v>
      </c>
      <c r="H27" s="1" t="s">
        <v>33</v>
      </c>
      <c r="I27" s="1"/>
      <c r="J27" s="2"/>
      <c r="K27" s="1"/>
      <c r="L27" s="1"/>
      <c r="M27" s="1"/>
      <c r="N27" s="1"/>
      <c r="O27" s="1" t="s">
        <v>34</v>
      </c>
      <c r="P27" s="19">
        <v>1</v>
      </c>
      <c r="Q27" s="19">
        <v>1</v>
      </c>
      <c r="R27" s="19">
        <v>1</v>
      </c>
      <c r="S27" s="19">
        <v>1</v>
      </c>
      <c r="T27" s="19">
        <v>1</v>
      </c>
      <c r="U27" s="19">
        <v>1</v>
      </c>
      <c r="V27" s="19">
        <v>1</v>
      </c>
      <c r="W27" s="19">
        <v>1</v>
      </c>
      <c r="X27" s="19">
        <v>1</v>
      </c>
      <c r="Y27" s="19">
        <v>1</v>
      </c>
      <c r="Z27" s="19">
        <v>1</v>
      </c>
      <c r="AA27" s="19">
        <v>1</v>
      </c>
      <c r="AB27" s="19">
        <v>1</v>
      </c>
      <c r="AC27" s="19">
        <v>1</v>
      </c>
      <c r="AD27" s="19">
        <v>1</v>
      </c>
      <c r="AE27" s="19">
        <v>1</v>
      </c>
      <c r="AF27" s="19">
        <v>1</v>
      </c>
      <c r="AG27" s="19">
        <v>1</v>
      </c>
      <c r="AH27" s="19">
        <v>1</v>
      </c>
      <c r="AI27" s="19">
        <v>1</v>
      </c>
      <c r="AJ27" s="19">
        <v>1</v>
      </c>
      <c r="AK27" s="19">
        <v>1</v>
      </c>
      <c r="AL27" s="19">
        <v>1</v>
      </c>
      <c r="AM27" s="19">
        <v>1</v>
      </c>
      <c r="AN27" s="19">
        <v>1</v>
      </c>
      <c r="AO27" s="19">
        <v>1</v>
      </c>
      <c r="AP27" s="19">
        <v>1</v>
      </c>
      <c r="AQ27" s="19">
        <v>1</v>
      </c>
      <c r="AR27" s="19">
        <v>1</v>
      </c>
      <c r="AS27" s="19">
        <v>1</v>
      </c>
      <c r="AT27" s="19">
        <v>1</v>
      </c>
      <c r="AU27" s="19">
        <v>1</v>
      </c>
      <c r="AV27" s="19">
        <v>1</v>
      </c>
      <c r="AW27" s="19">
        <v>1</v>
      </c>
      <c r="AX27" s="19">
        <v>1</v>
      </c>
      <c r="AY27" s="19">
        <v>1</v>
      </c>
      <c r="AZ27" s="19">
        <v>1</v>
      </c>
      <c r="BA27" s="19">
        <v>1</v>
      </c>
      <c r="BB27" s="19">
        <v>1</v>
      </c>
      <c r="BC27" s="19">
        <v>1</v>
      </c>
      <c r="BD27" s="19">
        <v>1</v>
      </c>
      <c r="BE27" s="19">
        <v>1</v>
      </c>
      <c r="BF27" s="19">
        <v>1</v>
      </c>
      <c r="BG27" s="19">
        <v>1</v>
      </c>
      <c r="BH27" s="19">
        <v>1</v>
      </c>
      <c r="BI27" s="19">
        <v>1</v>
      </c>
      <c r="BJ27" s="19">
        <v>1</v>
      </c>
      <c r="BK27" s="19">
        <v>1</v>
      </c>
      <c r="BL27" s="19">
        <v>1</v>
      </c>
      <c r="BM27" s="19">
        <v>1</v>
      </c>
      <c r="BN27" s="19">
        <v>1</v>
      </c>
      <c r="BO27" s="19">
        <v>1</v>
      </c>
    </row>
    <row r="28" spans="1:67" ht="21" customHeight="1">
      <c r="A28" s="34"/>
      <c r="B28" s="35"/>
      <c r="C28" s="35"/>
      <c r="D28" s="35" t="s">
        <v>35</v>
      </c>
      <c r="E28" s="33"/>
      <c r="F28" s="33"/>
      <c r="G28" s="33"/>
      <c r="H28" s="1" t="s">
        <v>36</v>
      </c>
      <c r="I28" s="1"/>
      <c r="J28" s="1"/>
      <c r="K28" s="1"/>
      <c r="L28" s="1"/>
      <c r="M28" s="1"/>
      <c r="N28" s="1"/>
      <c r="O28" s="1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</row>
    <row r="29" spans="1:67" ht="21" customHeight="1">
      <c r="A29" s="34"/>
      <c r="B29" s="35"/>
      <c r="C29" s="35"/>
      <c r="D29" s="35" t="s">
        <v>35</v>
      </c>
      <c r="E29" s="33"/>
      <c r="F29" s="33" t="s">
        <v>57</v>
      </c>
      <c r="G29" s="33" t="s">
        <v>58</v>
      </c>
      <c r="H29" s="1" t="s">
        <v>33</v>
      </c>
      <c r="I29" s="1"/>
      <c r="J29" s="1"/>
      <c r="K29" s="1"/>
      <c r="L29" s="1"/>
      <c r="M29" s="1"/>
      <c r="N29" s="1"/>
      <c r="O29" s="1" t="s">
        <v>41</v>
      </c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</row>
    <row r="30" spans="1:67" ht="21" customHeight="1">
      <c r="A30" s="34"/>
      <c r="B30" s="35"/>
      <c r="C30" s="35"/>
      <c r="D30" s="35" t="s">
        <v>35</v>
      </c>
      <c r="E30" s="33"/>
      <c r="F30" s="33"/>
      <c r="G30" s="33"/>
      <c r="H30" s="1" t="s">
        <v>36</v>
      </c>
      <c r="I30" s="1"/>
      <c r="J30" s="1"/>
      <c r="K30" s="1"/>
      <c r="L30" s="1"/>
      <c r="M30" s="1"/>
      <c r="N30" s="1"/>
      <c r="O30" s="1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</row>
    <row r="31" spans="1:67" ht="21" customHeight="1">
      <c r="A31" s="34"/>
      <c r="B31" s="35"/>
      <c r="C31" s="35"/>
      <c r="D31" s="35" t="s">
        <v>35</v>
      </c>
      <c r="E31" s="33"/>
      <c r="F31" s="33" t="s">
        <v>65</v>
      </c>
      <c r="G31" s="33" t="s">
        <v>66</v>
      </c>
      <c r="H31" s="1" t="s">
        <v>33</v>
      </c>
      <c r="I31" s="1"/>
      <c r="J31" s="1"/>
      <c r="K31" s="5"/>
      <c r="L31" s="1"/>
      <c r="M31" s="1"/>
      <c r="N31" s="1"/>
      <c r="O31" s="1" t="s">
        <v>61</v>
      </c>
      <c r="P31" s="19"/>
      <c r="Q31" s="19"/>
      <c r="R31" s="19">
        <v>2</v>
      </c>
      <c r="S31" s="19"/>
      <c r="T31" s="19"/>
      <c r="U31" s="19"/>
      <c r="V31" s="19"/>
      <c r="W31" s="19">
        <v>2</v>
      </c>
      <c r="X31" s="19"/>
      <c r="Y31" s="19"/>
      <c r="Z31" s="19"/>
      <c r="AA31" s="19">
        <v>2</v>
      </c>
      <c r="AB31" s="19"/>
      <c r="AC31" s="19"/>
      <c r="AD31" s="19"/>
      <c r="AE31" s="19">
        <v>2</v>
      </c>
      <c r="AF31" s="19"/>
      <c r="AG31" s="19"/>
      <c r="AH31" s="19"/>
      <c r="AI31" s="19">
        <v>2</v>
      </c>
      <c r="AJ31" s="19"/>
      <c r="AK31" s="19"/>
      <c r="AL31" s="19"/>
      <c r="AM31" s="19"/>
      <c r="AN31" s="19">
        <v>2</v>
      </c>
      <c r="AO31" s="19"/>
      <c r="AP31" s="19"/>
      <c r="AQ31" s="19"/>
      <c r="AR31" s="19">
        <v>2</v>
      </c>
      <c r="AS31" s="19"/>
      <c r="AT31" s="19"/>
      <c r="AU31" s="19"/>
      <c r="AV31" s="19"/>
      <c r="AW31" s="19">
        <v>2</v>
      </c>
      <c r="AX31" s="19"/>
      <c r="AY31" s="19"/>
      <c r="AZ31" s="19"/>
      <c r="BA31" s="19">
        <v>2</v>
      </c>
      <c r="BB31" s="19"/>
      <c r="BC31" s="19"/>
      <c r="BD31" s="19"/>
      <c r="BE31" s="19">
        <v>2</v>
      </c>
      <c r="BF31" s="19"/>
      <c r="BG31" s="19"/>
      <c r="BH31" s="19"/>
      <c r="BI31" s="19"/>
      <c r="BJ31" s="19">
        <v>2</v>
      </c>
      <c r="BK31" s="19"/>
      <c r="BL31" s="19"/>
      <c r="BM31" s="19"/>
      <c r="BN31" s="19">
        <v>2</v>
      </c>
      <c r="BO31" s="19"/>
    </row>
    <row r="32" spans="1:67" ht="21" customHeight="1">
      <c r="A32" s="34"/>
      <c r="B32" s="35"/>
      <c r="C32" s="35"/>
      <c r="D32" s="35" t="s">
        <v>35</v>
      </c>
      <c r="E32" s="33"/>
      <c r="F32" s="33"/>
      <c r="G32" s="33"/>
      <c r="H32" s="1" t="s">
        <v>36</v>
      </c>
      <c r="I32" s="1"/>
      <c r="J32" s="1"/>
      <c r="K32" s="1"/>
      <c r="L32" s="1"/>
      <c r="M32" s="1"/>
      <c r="N32" s="1"/>
      <c r="O32" s="1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</row>
    <row r="33" spans="1:67" ht="21" customHeight="1">
      <c r="A33" s="34"/>
      <c r="B33" s="35" t="s">
        <v>67</v>
      </c>
      <c r="C33" s="35" t="s">
        <v>68</v>
      </c>
      <c r="D33" s="35" t="s">
        <v>69</v>
      </c>
      <c r="E33" s="33" t="s">
        <v>70</v>
      </c>
      <c r="F33" s="33" t="s">
        <v>31</v>
      </c>
      <c r="G33" s="33" t="s">
        <v>56</v>
      </c>
      <c r="H33" s="1" t="s">
        <v>33</v>
      </c>
      <c r="I33" s="6"/>
      <c r="J33" s="2"/>
      <c r="K33" s="6"/>
      <c r="L33" s="6"/>
      <c r="M33" s="6"/>
      <c r="N33" s="6"/>
      <c r="O33" s="1" t="s">
        <v>34</v>
      </c>
      <c r="P33" s="19">
        <v>1</v>
      </c>
      <c r="Q33" s="19">
        <v>1</v>
      </c>
      <c r="R33" s="19">
        <v>1</v>
      </c>
      <c r="S33" s="19">
        <v>1</v>
      </c>
      <c r="T33" s="19">
        <v>1</v>
      </c>
      <c r="U33" s="19">
        <v>1</v>
      </c>
      <c r="V33" s="19">
        <v>1</v>
      </c>
      <c r="W33" s="19">
        <v>1</v>
      </c>
      <c r="X33" s="19">
        <v>1</v>
      </c>
      <c r="Y33" s="19">
        <v>1</v>
      </c>
      <c r="Z33" s="19">
        <v>1</v>
      </c>
      <c r="AA33" s="19">
        <v>1</v>
      </c>
      <c r="AB33" s="19">
        <v>1</v>
      </c>
      <c r="AC33" s="19">
        <v>1</v>
      </c>
      <c r="AD33" s="19">
        <v>1</v>
      </c>
      <c r="AE33" s="19">
        <v>1</v>
      </c>
      <c r="AF33" s="19">
        <v>1</v>
      </c>
      <c r="AG33" s="19">
        <v>1</v>
      </c>
      <c r="AH33" s="19">
        <v>1</v>
      </c>
      <c r="AI33" s="19">
        <v>1</v>
      </c>
      <c r="AJ33" s="19">
        <v>1</v>
      </c>
      <c r="AK33" s="19">
        <v>1</v>
      </c>
      <c r="AL33" s="19">
        <v>1</v>
      </c>
      <c r="AM33" s="19">
        <v>1</v>
      </c>
      <c r="AN33" s="19">
        <v>1</v>
      </c>
      <c r="AO33" s="19">
        <v>1</v>
      </c>
      <c r="AP33" s="19">
        <v>1</v>
      </c>
      <c r="AQ33" s="19">
        <v>1</v>
      </c>
      <c r="AR33" s="19">
        <v>1</v>
      </c>
      <c r="AS33" s="19">
        <v>1</v>
      </c>
      <c r="AT33" s="19">
        <v>1</v>
      </c>
      <c r="AU33" s="19">
        <v>1</v>
      </c>
      <c r="AV33" s="19">
        <v>1</v>
      </c>
      <c r="AW33" s="19">
        <v>1</v>
      </c>
      <c r="AX33" s="19">
        <v>1</v>
      </c>
      <c r="AY33" s="19">
        <v>1</v>
      </c>
      <c r="AZ33" s="19">
        <v>1</v>
      </c>
      <c r="BA33" s="19">
        <v>1</v>
      </c>
      <c r="BB33" s="19">
        <v>1</v>
      </c>
      <c r="BC33" s="19">
        <v>1</v>
      </c>
      <c r="BD33" s="19">
        <v>1</v>
      </c>
      <c r="BE33" s="19">
        <v>1</v>
      </c>
      <c r="BF33" s="19">
        <v>1</v>
      </c>
      <c r="BG33" s="19">
        <v>1</v>
      </c>
      <c r="BH33" s="19">
        <v>1</v>
      </c>
      <c r="BI33" s="19">
        <v>1</v>
      </c>
      <c r="BJ33" s="19">
        <v>1</v>
      </c>
      <c r="BK33" s="19">
        <v>1</v>
      </c>
      <c r="BL33" s="19">
        <v>1</v>
      </c>
      <c r="BM33" s="19">
        <v>1</v>
      </c>
      <c r="BN33" s="19">
        <v>1</v>
      </c>
      <c r="BO33" s="19">
        <v>1</v>
      </c>
    </row>
    <row r="34" spans="1:67" ht="21" customHeight="1">
      <c r="A34" s="34"/>
      <c r="B34" s="35"/>
      <c r="C34" s="35"/>
      <c r="D34" s="35" t="s">
        <v>35</v>
      </c>
      <c r="E34" s="33"/>
      <c r="F34" s="33"/>
      <c r="G34" s="33"/>
      <c r="H34" s="1" t="s">
        <v>36</v>
      </c>
      <c r="I34" s="6"/>
      <c r="J34" s="6"/>
      <c r="K34" s="6"/>
      <c r="L34" s="6"/>
      <c r="M34" s="6"/>
      <c r="N34" s="6"/>
      <c r="O34" s="1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/>
      <c r="BG34" s="19"/>
      <c r="BH34" s="19"/>
      <c r="BI34" s="19"/>
      <c r="BJ34" s="19"/>
      <c r="BK34" s="19"/>
      <c r="BL34" s="19"/>
      <c r="BM34" s="19"/>
      <c r="BN34" s="19"/>
      <c r="BO34" s="19"/>
    </row>
    <row r="35" spans="1:67" ht="21" customHeight="1">
      <c r="A35" s="34"/>
      <c r="B35" s="35"/>
      <c r="C35" s="35"/>
      <c r="D35" s="35" t="s">
        <v>35</v>
      </c>
      <c r="E35" s="33"/>
      <c r="F35" s="39" t="s">
        <v>71</v>
      </c>
      <c r="G35" s="46" t="s">
        <v>72</v>
      </c>
      <c r="H35" s="1" t="s">
        <v>33</v>
      </c>
      <c r="I35" s="1"/>
      <c r="J35" s="1"/>
      <c r="K35" s="1"/>
      <c r="L35" s="7"/>
      <c r="M35" s="1"/>
      <c r="N35" s="1"/>
      <c r="O35" s="1" t="s">
        <v>73</v>
      </c>
      <c r="P35" s="19"/>
      <c r="Q35" s="19"/>
      <c r="R35" s="19">
        <v>3</v>
      </c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>
        <v>3</v>
      </c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>
        <v>3</v>
      </c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>
        <v>3</v>
      </c>
      <c r="BF35" s="19"/>
      <c r="BG35" s="19"/>
      <c r="BH35" s="19"/>
      <c r="BI35" s="19"/>
      <c r="BJ35" s="19"/>
      <c r="BK35" s="19"/>
      <c r="BL35" s="19"/>
      <c r="BM35" s="19"/>
      <c r="BN35" s="19"/>
      <c r="BO35" s="19"/>
    </row>
    <row r="36" spans="1:67" ht="21" customHeight="1">
      <c r="A36" s="34"/>
      <c r="B36" s="35"/>
      <c r="C36" s="35"/>
      <c r="D36" s="35"/>
      <c r="E36" s="33"/>
      <c r="F36" s="45"/>
      <c r="G36" s="47"/>
      <c r="H36" s="1" t="s">
        <v>36</v>
      </c>
      <c r="I36" s="1"/>
      <c r="J36" s="1"/>
      <c r="K36" s="1"/>
      <c r="L36" s="1"/>
      <c r="M36" s="1"/>
      <c r="N36" s="1"/>
      <c r="O36" s="1" t="s">
        <v>74</v>
      </c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  <c r="BI36" s="19"/>
      <c r="BJ36" s="19"/>
      <c r="BK36" s="19"/>
      <c r="BL36" s="19"/>
      <c r="BM36" s="19"/>
      <c r="BN36" s="19"/>
      <c r="BO36" s="19"/>
    </row>
    <row r="37" spans="1:67" ht="21" customHeight="1">
      <c r="A37" s="34"/>
      <c r="B37" s="35"/>
      <c r="C37" s="35"/>
      <c r="D37" s="35"/>
      <c r="E37" s="33"/>
      <c r="F37" s="45"/>
      <c r="G37" s="39" t="s">
        <v>40</v>
      </c>
      <c r="H37" s="1" t="s">
        <v>33</v>
      </c>
      <c r="I37" s="1"/>
      <c r="J37" s="1"/>
      <c r="K37" s="1"/>
      <c r="L37" s="1"/>
      <c r="M37" s="1"/>
      <c r="N37" s="3"/>
      <c r="O37" s="1" t="s">
        <v>41</v>
      </c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19"/>
      <c r="BJ37" s="19">
        <v>5</v>
      </c>
      <c r="BK37" s="19"/>
      <c r="BL37" s="19"/>
      <c r="BM37" s="19"/>
      <c r="BN37" s="19"/>
      <c r="BO37" s="19"/>
    </row>
    <row r="38" spans="1:67" ht="21" customHeight="1">
      <c r="A38" s="34"/>
      <c r="B38" s="35"/>
      <c r="C38" s="35"/>
      <c r="D38" s="35" t="s">
        <v>35</v>
      </c>
      <c r="E38" s="33"/>
      <c r="F38" s="40"/>
      <c r="G38" s="40"/>
      <c r="H38" s="1" t="s">
        <v>36</v>
      </c>
      <c r="I38" s="1"/>
      <c r="J38" s="1"/>
      <c r="K38" s="1"/>
      <c r="L38" s="1"/>
      <c r="M38" s="1"/>
      <c r="N38" s="1"/>
      <c r="O38" s="1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/>
      <c r="BG38" s="19"/>
      <c r="BH38" s="19"/>
      <c r="BI38" s="19"/>
      <c r="BJ38" s="19"/>
      <c r="BK38" s="19"/>
      <c r="BL38" s="19"/>
      <c r="BM38" s="19"/>
      <c r="BN38" s="19"/>
      <c r="BO38" s="19"/>
    </row>
    <row r="39" spans="1:67" ht="42.6" customHeight="1">
      <c r="A39" s="34"/>
      <c r="B39" s="35"/>
      <c r="C39" s="35"/>
      <c r="D39" s="35" t="s">
        <v>35</v>
      </c>
      <c r="E39" s="33"/>
      <c r="F39" s="33" t="s">
        <v>75</v>
      </c>
      <c r="G39" s="44" t="s">
        <v>76</v>
      </c>
      <c r="H39" s="1" t="s">
        <v>33</v>
      </c>
      <c r="I39" s="1"/>
      <c r="J39" s="1"/>
      <c r="K39" s="5"/>
      <c r="L39" s="1"/>
      <c r="M39" s="1"/>
      <c r="N39" s="1"/>
      <c r="O39" s="1" t="s">
        <v>77</v>
      </c>
      <c r="P39" s="19"/>
      <c r="Q39" s="19"/>
      <c r="R39" s="19">
        <v>2</v>
      </c>
      <c r="S39" s="19"/>
      <c r="T39" s="19"/>
      <c r="U39" s="19"/>
      <c r="V39" s="19"/>
      <c r="W39" s="19">
        <v>2</v>
      </c>
      <c r="X39" s="19"/>
      <c r="Y39" s="19"/>
      <c r="Z39" s="19"/>
      <c r="AA39" s="19">
        <v>2</v>
      </c>
      <c r="AB39" s="19"/>
      <c r="AC39" s="19"/>
      <c r="AD39" s="19"/>
      <c r="AE39" s="19">
        <v>2</v>
      </c>
      <c r="AF39" s="19"/>
      <c r="AG39" s="19"/>
      <c r="AH39" s="19"/>
      <c r="AI39" s="19">
        <v>2</v>
      </c>
      <c r="AJ39" s="19"/>
      <c r="AK39" s="19"/>
      <c r="AL39" s="19"/>
      <c r="AM39" s="19"/>
      <c r="AN39" s="19">
        <v>2</v>
      </c>
      <c r="AO39" s="19"/>
      <c r="AP39" s="19"/>
      <c r="AQ39" s="19"/>
      <c r="AR39" s="19">
        <v>2</v>
      </c>
      <c r="AS39" s="19"/>
      <c r="AT39" s="19"/>
      <c r="AU39" s="19"/>
      <c r="AV39" s="19"/>
      <c r="AW39" s="19">
        <v>2</v>
      </c>
      <c r="AX39" s="19"/>
      <c r="AY39" s="19"/>
      <c r="AZ39" s="19"/>
      <c r="BA39" s="19">
        <v>2</v>
      </c>
      <c r="BB39" s="19"/>
      <c r="BC39" s="19"/>
      <c r="BD39" s="19"/>
      <c r="BE39" s="19">
        <v>2</v>
      </c>
      <c r="BF39" s="19"/>
      <c r="BG39" s="19"/>
      <c r="BH39" s="19"/>
      <c r="BI39" s="19"/>
      <c r="BJ39" s="19">
        <v>2</v>
      </c>
      <c r="BK39" s="19"/>
      <c r="BL39" s="19"/>
      <c r="BM39" s="19"/>
      <c r="BN39" s="19">
        <v>2</v>
      </c>
      <c r="BO39" s="19"/>
    </row>
    <row r="40" spans="1:67" ht="42.6" customHeight="1">
      <c r="A40" s="34"/>
      <c r="B40" s="35"/>
      <c r="C40" s="35"/>
      <c r="D40" s="35" t="s">
        <v>35</v>
      </c>
      <c r="E40" s="33"/>
      <c r="F40" s="33"/>
      <c r="G40" s="33"/>
      <c r="H40" s="1" t="s">
        <v>36</v>
      </c>
      <c r="I40" s="1"/>
      <c r="J40" s="1"/>
      <c r="K40" s="1"/>
      <c r="L40" s="1"/>
      <c r="M40" s="1"/>
      <c r="N40" s="1"/>
      <c r="O40" s="1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/>
      <c r="BG40" s="19"/>
      <c r="BH40" s="19"/>
      <c r="BI40" s="19"/>
      <c r="BJ40" s="19"/>
      <c r="BK40" s="19"/>
      <c r="BL40" s="19"/>
      <c r="BM40" s="19"/>
      <c r="BN40" s="19"/>
      <c r="BO40" s="19"/>
    </row>
    <row r="41" spans="1:67" ht="31.9" customHeight="1">
      <c r="A41" s="34"/>
      <c r="B41" s="35"/>
      <c r="C41" s="35"/>
      <c r="D41" s="35" t="s">
        <v>35</v>
      </c>
      <c r="E41" s="33"/>
      <c r="F41" s="33" t="s">
        <v>78</v>
      </c>
      <c r="G41" s="44" t="s">
        <v>79</v>
      </c>
      <c r="H41" s="1" t="s">
        <v>33</v>
      </c>
      <c r="I41" s="1"/>
      <c r="J41" s="1"/>
      <c r="K41" s="1"/>
      <c r="L41" s="1"/>
      <c r="M41" s="4"/>
      <c r="N41" s="1"/>
      <c r="O41" s="1" t="s">
        <v>80</v>
      </c>
      <c r="P41" s="19"/>
      <c r="Q41" s="19"/>
      <c r="R41" s="19">
        <v>4</v>
      </c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>
        <v>4</v>
      </c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/>
      <c r="BG41" s="19"/>
      <c r="BH41" s="19"/>
      <c r="BI41" s="19"/>
      <c r="BJ41" s="19"/>
      <c r="BK41" s="19"/>
      <c r="BL41" s="19"/>
      <c r="BM41" s="19"/>
      <c r="BN41" s="19"/>
      <c r="BO41" s="19"/>
    </row>
    <row r="42" spans="1:67" ht="21" customHeight="1">
      <c r="A42" s="34"/>
      <c r="B42" s="35"/>
      <c r="C42" s="35"/>
      <c r="D42" s="35" t="s">
        <v>35</v>
      </c>
      <c r="E42" s="33"/>
      <c r="F42" s="33"/>
      <c r="G42" s="33"/>
      <c r="H42" s="1" t="s">
        <v>81</v>
      </c>
      <c r="I42" s="1"/>
      <c r="J42" s="1"/>
      <c r="K42" s="1"/>
      <c r="L42" s="1"/>
      <c r="M42" s="1"/>
      <c r="N42" s="1"/>
      <c r="O42" s="1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/>
      <c r="BG42" s="19"/>
      <c r="BH42" s="19"/>
      <c r="BI42" s="19"/>
      <c r="BJ42" s="19"/>
      <c r="BK42" s="19"/>
      <c r="BL42" s="19"/>
      <c r="BM42" s="19"/>
      <c r="BN42" s="19"/>
      <c r="BO42" s="19"/>
    </row>
    <row r="43" spans="1:67" ht="21" customHeight="1">
      <c r="A43" s="34"/>
      <c r="B43" s="35"/>
      <c r="C43" s="35"/>
      <c r="D43" s="35" t="s">
        <v>35</v>
      </c>
      <c r="E43" s="33"/>
      <c r="F43" s="33" t="s">
        <v>82</v>
      </c>
      <c r="G43" s="33" t="s">
        <v>83</v>
      </c>
      <c r="H43" s="1" t="s">
        <v>84</v>
      </c>
      <c r="I43" s="1"/>
      <c r="J43" s="1"/>
      <c r="K43" s="5"/>
      <c r="L43" s="1"/>
      <c r="M43" s="1"/>
      <c r="N43" s="1"/>
      <c r="O43" s="1" t="s">
        <v>85</v>
      </c>
      <c r="P43" s="19"/>
      <c r="Q43" s="19"/>
      <c r="R43" s="19">
        <v>2</v>
      </c>
      <c r="S43" s="19"/>
      <c r="T43" s="19"/>
      <c r="U43" s="19"/>
      <c r="V43" s="19"/>
      <c r="W43" s="19">
        <v>2</v>
      </c>
      <c r="X43" s="19"/>
      <c r="Y43" s="19"/>
      <c r="Z43" s="19"/>
      <c r="AA43" s="19">
        <v>2</v>
      </c>
      <c r="AB43" s="19"/>
      <c r="AC43" s="19"/>
      <c r="AD43" s="19"/>
      <c r="AE43" s="19">
        <v>2</v>
      </c>
      <c r="AF43" s="19"/>
      <c r="AG43" s="19"/>
      <c r="AH43" s="19"/>
      <c r="AI43" s="19">
        <v>2</v>
      </c>
      <c r="AJ43" s="19"/>
      <c r="AK43" s="19"/>
      <c r="AL43" s="19"/>
      <c r="AM43" s="19"/>
      <c r="AN43" s="19">
        <v>2</v>
      </c>
      <c r="AO43" s="19"/>
      <c r="AP43" s="19"/>
      <c r="AQ43" s="19"/>
      <c r="AR43" s="19">
        <v>2</v>
      </c>
      <c r="AS43" s="19"/>
      <c r="AT43" s="19"/>
      <c r="AU43" s="19"/>
      <c r="AV43" s="19"/>
      <c r="AW43" s="19">
        <v>2</v>
      </c>
      <c r="AX43" s="19"/>
      <c r="AY43" s="19"/>
      <c r="AZ43" s="19"/>
      <c r="BA43" s="19">
        <v>2</v>
      </c>
      <c r="BB43" s="19"/>
      <c r="BC43" s="19"/>
      <c r="BD43" s="19"/>
      <c r="BE43" s="19">
        <v>2</v>
      </c>
      <c r="BF43" s="19"/>
      <c r="BG43" s="19"/>
      <c r="BH43" s="19"/>
      <c r="BI43" s="19"/>
      <c r="BJ43" s="19">
        <v>2</v>
      </c>
      <c r="BK43" s="19"/>
      <c r="BL43" s="19"/>
      <c r="BM43" s="19"/>
      <c r="BN43" s="19">
        <v>2</v>
      </c>
      <c r="BO43" s="19"/>
    </row>
    <row r="44" spans="1:67" ht="21" customHeight="1">
      <c r="A44" s="34"/>
      <c r="B44" s="35"/>
      <c r="C44" s="35"/>
      <c r="D44" s="35" t="s">
        <v>35</v>
      </c>
      <c r="E44" s="33"/>
      <c r="F44" s="33"/>
      <c r="G44" s="33"/>
      <c r="H44" s="1" t="s">
        <v>36</v>
      </c>
      <c r="I44" s="1"/>
      <c r="J44" s="1"/>
      <c r="K44" s="1"/>
      <c r="L44" s="1"/>
      <c r="M44" s="1"/>
      <c r="N44" s="1"/>
      <c r="O44" s="1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/>
      <c r="BG44" s="19"/>
      <c r="BH44" s="19"/>
      <c r="BI44" s="19"/>
      <c r="BJ44" s="19"/>
      <c r="BK44" s="19"/>
      <c r="BL44" s="19"/>
      <c r="BM44" s="19"/>
      <c r="BN44" s="19"/>
      <c r="BO44" s="19"/>
    </row>
    <row r="45" spans="1:67" ht="21" customHeight="1">
      <c r="A45" s="34"/>
      <c r="B45" s="35" t="s">
        <v>86</v>
      </c>
      <c r="C45" s="35" t="s">
        <v>87</v>
      </c>
      <c r="D45" s="35" t="s">
        <v>88</v>
      </c>
      <c r="E45" s="33" t="s">
        <v>70</v>
      </c>
      <c r="F45" s="33" t="s">
        <v>31</v>
      </c>
      <c r="G45" s="33" t="s">
        <v>56</v>
      </c>
      <c r="H45" s="1" t="s">
        <v>33</v>
      </c>
      <c r="I45" s="6"/>
      <c r="J45" s="2"/>
      <c r="K45" s="6"/>
      <c r="L45" s="6"/>
      <c r="M45" s="6"/>
      <c r="N45" s="6"/>
      <c r="O45" s="1" t="s">
        <v>34</v>
      </c>
      <c r="P45" s="19">
        <v>1</v>
      </c>
      <c r="Q45" s="19">
        <v>1</v>
      </c>
      <c r="R45" s="19">
        <v>1</v>
      </c>
      <c r="S45" s="19">
        <v>1</v>
      </c>
      <c r="T45" s="19">
        <v>1</v>
      </c>
      <c r="U45" s="19">
        <v>1</v>
      </c>
      <c r="V45" s="19">
        <v>1</v>
      </c>
      <c r="W45" s="19">
        <v>1</v>
      </c>
      <c r="X45" s="19">
        <v>1</v>
      </c>
      <c r="Y45" s="19">
        <v>1</v>
      </c>
      <c r="Z45" s="19">
        <v>1</v>
      </c>
      <c r="AA45" s="19">
        <v>1</v>
      </c>
      <c r="AB45" s="19">
        <v>1</v>
      </c>
      <c r="AC45" s="19">
        <v>1</v>
      </c>
      <c r="AD45" s="19">
        <v>1</v>
      </c>
      <c r="AE45" s="19">
        <v>1</v>
      </c>
      <c r="AF45" s="19">
        <v>1</v>
      </c>
      <c r="AG45" s="19">
        <v>1</v>
      </c>
      <c r="AH45" s="19">
        <v>1</v>
      </c>
      <c r="AI45" s="19">
        <v>1</v>
      </c>
      <c r="AJ45" s="19">
        <v>1</v>
      </c>
      <c r="AK45" s="19">
        <v>1</v>
      </c>
      <c r="AL45" s="19">
        <v>1</v>
      </c>
      <c r="AM45" s="19">
        <v>1</v>
      </c>
      <c r="AN45" s="19">
        <v>1</v>
      </c>
      <c r="AO45" s="19">
        <v>1</v>
      </c>
      <c r="AP45" s="19">
        <v>1</v>
      </c>
      <c r="AQ45" s="19">
        <v>1</v>
      </c>
      <c r="AR45" s="19">
        <v>1</v>
      </c>
      <c r="AS45" s="19">
        <v>1</v>
      </c>
      <c r="AT45" s="19">
        <v>1</v>
      </c>
      <c r="AU45" s="19">
        <v>1</v>
      </c>
      <c r="AV45" s="19">
        <v>1</v>
      </c>
      <c r="AW45" s="19">
        <v>1</v>
      </c>
      <c r="AX45" s="19">
        <v>1</v>
      </c>
      <c r="AY45" s="19">
        <v>1</v>
      </c>
      <c r="AZ45" s="19">
        <v>1</v>
      </c>
      <c r="BA45" s="19">
        <v>1</v>
      </c>
      <c r="BB45" s="19">
        <v>1</v>
      </c>
      <c r="BC45" s="19">
        <v>1</v>
      </c>
      <c r="BD45" s="19">
        <v>1</v>
      </c>
      <c r="BE45" s="19">
        <v>1</v>
      </c>
      <c r="BF45" s="19">
        <v>1</v>
      </c>
      <c r="BG45" s="19">
        <v>1</v>
      </c>
      <c r="BH45" s="19">
        <v>1</v>
      </c>
      <c r="BI45" s="19">
        <v>1</v>
      </c>
      <c r="BJ45" s="19">
        <v>1</v>
      </c>
      <c r="BK45" s="19">
        <v>1</v>
      </c>
      <c r="BL45" s="19">
        <v>1</v>
      </c>
      <c r="BM45" s="19">
        <v>1</v>
      </c>
      <c r="BN45" s="19">
        <v>1</v>
      </c>
      <c r="BO45" s="19">
        <v>1</v>
      </c>
    </row>
    <row r="46" spans="1:67" ht="21" customHeight="1">
      <c r="A46" s="34"/>
      <c r="B46" s="35"/>
      <c r="C46" s="35"/>
      <c r="D46" s="35" t="s">
        <v>35</v>
      </c>
      <c r="E46" s="33"/>
      <c r="F46" s="33"/>
      <c r="G46" s="33"/>
      <c r="H46" s="1" t="s">
        <v>36</v>
      </c>
      <c r="I46" s="6"/>
      <c r="J46" s="6"/>
      <c r="K46" s="6"/>
      <c r="L46" s="6"/>
      <c r="M46" s="6"/>
      <c r="N46" s="6"/>
      <c r="O46" s="1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/>
      <c r="BG46" s="19"/>
      <c r="BH46" s="19"/>
      <c r="BI46" s="19"/>
      <c r="BJ46" s="19"/>
      <c r="BK46" s="19"/>
      <c r="BL46" s="19"/>
      <c r="BM46" s="19"/>
      <c r="BN46" s="19"/>
      <c r="BO46" s="19"/>
    </row>
    <row r="47" spans="1:67" ht="21" customHeight="1">
      <c r="A47" s="34"/>
      <c r="B47" s="35"/>
      <c r="C47" s="35"/>
      <c r="D47" s="35" t="s">
        <v>35</v>
      </c>
      <c r="E47" s="33"/>
      <c r="F47" s="33" t="s">
        <v>89</v>
      </c>
      <c r="G47" s="33" t="s">
        <v>90</v>
      </c>
      <c r="H47" s="1" t="s">
        <v>91</v>
      </c>
      <c r="I47" s="6"/>
      <c r="J47" s="6"/>
      <c r="K47" s="6"/>
      <c r="L47" s="7"/>
      <c r="M47" s="6"/>
      <c r="N47" s="6"/>
      <c r="O47" s="1" t="s">
        <v>73</v>
      </c>
      <c r="P47" s="19"/>
      <c r="Q47" s="19"/>
      <c r="R47" s="19">
        <v>3</v>
      </c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>
        <v>3</v>
      </c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>
        <v>3</v>
      </c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>
        <v>3</v>
      </c>
      <c r="BF47" s="19"/>
      <c r="BG47" s="19"/>
      <c r="BH47" s="19"/>
      <c r="BI47" s="19"/>
      <c r="BJ47" s="19"/>
      <c r="BK47" s="19"/>
      <c r="BL47" s="19"/>
      <c r="BM47" s="19"/>
      <c r="BN47" s="19"/>
      <c r="BO47" s="19"/>
    </row>
    <row r="48" spans="1:67" ht="21" customHeight="1">
      <c r="A48" s="34"/>
      <c r="B48" s="35"/>
      <c r="C48" s="35"/>
      <c r="D48" s="35" t="s">
        <v>35</v>
      </c>
      <c r="E48" s="33"/>
      <c r="F48" s="33"/>
      <c r="G48" s="33"/>
      <c r="H48" s="1" t="s">
        <v>36</v>
      </c>
      <c r="I48" s="6"/>
      <c r="J48" s="6"/>
      <c r="K48" s="6"/>
      <c r="L48" s="6"/>
      <c r="M48" s="6"/>
      <c r="N48" s="6"/>
      <c r="O48" s="1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/>
      <c r="BG48" s="19"/>
      <c r="BH48" s="19"/>
      <c r="BI48" s="19"/>
      <c r="BJ48" s="19"/>
      <c r="BK48" s="19"/>
      <c r="BL48" s="19"/>
      <c r="BM48" s="19"/>
      <c r="BN48" s="19"/>
      <c r="BO48" s="19"/>
    </row>
    <row r="49" spans="1:67" ht="21" customHeight="1">
      <c r="A49" s="34"/>
      <c r="B49" s="35"/>
      <c r="C49" s="35"/>
      <c r="D49" s="35" t="s">
        <v>35</v>
      </c>
      <c r="E49" s="33"/>
      <c r="F49" s="33"/>
      <c r="G49" s="33" t="s">
        <v>92</v>
      </c>
      <c r="H49" s="1" t="s">
        <v>33</v>
      </c>
      <c r="I49" s="6"/>
      <c r="J49" s="6"/>
      <c r="K49" s="6"/>
      <c r="L49" s="6"/>
      <c r="M49" s="6"/>
      <c r="N49" s="3"/>
      <c r="O49" s="1" t="s">
        <v>93</v>
      </c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/>
      <c r="BG49" s="19"/>
      <c r="BH49" s="19"/>
      <c r="BI49" s="19"/>
      <c r="BJ49" s="19">
        <v>5</v>
      </c>
      <c r="BK49" s="19"/>
      <c r="BL49" s="19"/>
      <c r="BM49" s="19"/>
      <c r="BN49" s="19"/>
      <c r="BO49" s="19"/>
    </row>
    <row r="50" spans="1:67" ht="21" customHeight="1">
      <c r="A50" s="34"/>
      <c r="B50" s="35"/>
      <c r="C50" s="35"/>
      <c r="D50" s="35" t="s">
        <v>35</v>
      </c>
      <c r="E50" s="33"/>
      <c r="F50" s="33"/>
      <c r="G50" s="33"/>
      <c r="H50" s="1" t="s">
        <v>36</v>
      </c>
      <c r="I50" s="6"/>
      <c r="J50" s="6"/>
      <c r="K50" s="6"/>
      <c r="L50" s="6"/>
      <c r="M50" s="6"/>
      <c r="N50" s="6"/>
      <c r="O50" s="1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/>
      <c r="BG50" s="19"/>
      <c r="BH50" s="19"/>
      <c r="BI50" s="19"/>
      <c r="BJ50" s="19"/>
      <c r="BK50" s="19"/>
      <c r="BL50" s="19"/>
      <c r="BM50" s="19"/>
      <c r="BN50" s="19"/>
      <c r="BO50" s="19"/>
    </row>
    <row r="51" spans="1:67" s="11" customFormat="1" ht="30.6" customHeight="1">
      <c r="A51" s="34"/>
      <c r="B51" s="35"/>
      <c r="C51" s="35"/>
      <c r="D51" s="35" t="s">
        <v>35</v>
      </c>
      <c r="E51" s="33"/>
      <c r="F51" s="44" t="s">
        <v>94</v>
      </c>
      <c r="G51" s="44" t="s">
        <v>95</v>
      </c>
      <c r="H51" s="8" t="s">
        <v>91</v>
      </c>
      <c r="I51" s="9"/>
      <c r="J51" s="9"/>
      <c r="K51" s="10"/>
      <c r="L51" s="9"/>
      <c r="M51" s="9"/>
      <c r="N51" s="9"/>
      <c r="O51" s="8" t="s">
        <v>96</v>
      </c>
      <c r="P51" s="19"/>
      <c r="Q51" s="19"/>
      <c r="R51" s="19">
        <v>2</v>
      </c>
      <c r="S51" s="19"/>
      <c r="T51" s="19"/>
      <c r="U51" s="19"/>
      <c r="V51" s="19"/>
      <c r="W51" s="19">
        <v>2</v>
      </c>
      <c r="X51" s="19"/>
      <c r="Y51" s="19"/>
      <c r="Z51" s="19"/>
      <c r="AA51" s="19">
        <v>2</v>
      </c>
      <c r="AB51" s="19"/>
      <c r="AC51" s="19"/>
      <c r="AD51" s="19"/>
      <c r="AE51" s="19">
        <v>2</v>
      </c>
      <c r="AF51" s="19"/>
      <c r="AG51" s="19"/>
      <c r="AH51" s="19"/>
      <c r="AI51" s="19">
        <v>2</v>
      </c>
      <c r="AJ51" s="19"/>
      <c r="AK51" s="19"/>
      <c r="AL51" s="19"/>
      <c r="AM51" s="19"/>
      <c r="AN51" s="19">
        <v>2</v>
      </c>
      <c r="AO51" s="19"/>
      <c r="AP51" s="19"/>
      <c r="AQ51" s="19"/>
      <c r="AR51" s="19">
        <v>2</v>
      </c>
      <c r="AS51" s="19"/>
      <c r="AT51" s="19"/>
      <c r="AU51" s="19"/>
      <c r="AV51" s="19"/>
      <c r="AW51" s="19">
        <v>2</v>
      </c>
      <c r="AX51" s="19"/>
      <c r="AY51" s="19"/>
      <c r="AZ51" s="19"/>
      <c r="BA51" s="19">
        <v>2</v>
      </c>
      <c r="BB51" s="19"/>
      <c r="BC51" s="19"/>
      <c r="BD51" s="19"/>
      <c r="BE51" s="19">
        <v>2</v>
      </c>
      <c r="BF51" s="19"/>
      <c r="BG51" s="19"/>
      <c r="BH51" s="19"/>
      <c r="BI51" s="19"/>
      <c r="BJ51" s="19">
        <v>2</v>
      </c>
      <c r="BK51" s="19"/>
      <c r="BL51" s="19"/>
      <c r="BM51" s="19"/>
      <c r="BN51" s="19">
        <v>2</v>
      </c>
      <c r="BO51" s="19"/>
    </row>
    <row r="52" spans="1:67" s="11" customFormat="1" ht="30.6" customHeight="1">
      <c r="A52" s="34"/>
      <c r="B52" s="35"/>
      <c r="C52" s="35"/>
      <c r="D52" s="35" t="s">
        <v>35</v>
      </c>
      <c r="E52" s="33"/>
      <c r="F52" s="44"/>
      <c r="G52" s="44"/>
      <c r="H52" s="8" t="s">
        <v>36</v>
      </c>
      <c r="I52" s="9"/>
      <c r="J52" s="9"/>
      <c r="K52" s="9"/>
      <c r="L52" s="9"/>
      <c r="M52" s="9"/>
      <c r="N52" s="9"/>
      <c r="O52" s="8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/>
      <c r="BG52" s="19"/>
      <c r="BH52" s="19"/>
      <c r="BI52" s="19"/>
      <c r="BJ52" s="19"/>
      <c r="BK52" s="19"/>
      <c r="BL52" s="19"/>
      <c r="BM52" s="19"/>
      <c r="BN52" s="19"/>
      <c r="BO52" s="19"/>
    </row>
    <row r="53" spans="1:67" s="11" customFormat="1" ht="30.6" customHeight="1">
      <c r="A53" s="34"/>
      <c r="B53" s="35"/>
      <c r="C53" s="35"/>
      <c r="D53" s="35" t="s">
        <v>35</v>
      </c>
      <c r="E53" s="33"/>
      <c r="F53" s="44"/>
      <c r="G53" s="44" t="s">
        <v>97</v>
      </c>
      <c r="H53" s="8" t="s">
        <v>33</v>
      </c>
      <c r="I53" s="9"/>
      <c r="J53" s="9"/>
      <c r="K53" s="9"/>
      <c r="L53" s="9"/>
      <c r="M53" s="9"/>
      <c r="N53" s="12"/>
      <c r="O53" s="8" t="s">
        <v>98</v>
      </c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/>
      <c r="BG53" s="19"/>
      <c r="BH53" s="19"/>
      <c r="BI53" s="19"/>
      <c r="BJ53" s="19">
        <v>5</v>
      </c>
      <c r="BK53" s="19"/>
      <c r="BL53" s="19"/>
      <c r="BM53" s="19"/>
      <c r="BN53" s="19"/>
      <c r="BO53" s="19"/>
    </row>
    <row r="54" spans="1:67" s="11" customFormat="1" ht="30.6" customHeight="1">
      <c r="A54" s="34"/>
      <c r="B54" s="35"/>
      <c r="C54" s="35"/>
      <c r="D54" s="35" t="s">
        <v>35</v>
      </c>
      <c r="E54" s="33"/>
      <c r="F54" s="44"/>
      <c r="G54" s="44"/>
      <c r="H54" s="8" t="s">
        <v>36</v>
      </c>
      <c r="I54" s="9"/>
      <c r="J54" s="9"/>
      <c r="K54" s="9"/>
      <c r="L54" s="9"/>
      <c r="M54" s="9"/>
      <c r="N54" s="9"/>
      <c r="O54" s="8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/>
      <c r="BG54" s="19"/>
      <c r="BH54" s="19"/>
      <c r="BI54" s="19"/>
      <c r="BJ54" s="19"/>
      <c r="BK54" s="19"/>
      <c r="BL54" s="19"/>
      <c r="BM54" s="19"/>
      <c r="BN54" s="19"/>
      <c r="BO54" s="19"/>
    </row>
    <row r="55" spans="1:67" ht="21" customHeight="1">
      <c r="A55" s="34"/>
      <c r="B55" s="35"/>
      <c r="C55" s="35"/>
      <c r="D55" s="35" t="s">
        <v>35</v>
      </c>
      <c r="E55" s="33"/>
      <c r="F55" s="33" t="s">
        <v>99</v>
      </c>
      <c r="G55" s="33" t="s">
        <v>43</v>
      </c>
      <c r="H55" s="1" t="s">
        <v>33</v>
      </c>
      <c r="I55" s="6"/>
      <c r="J55" s="2"/>
      <c r="K55" s="6"/>
      <c r="L55" s="6"/>
      <c r="M55" s="6"/>
      <c r="N55" s="6"/>
      <c r="O55" s="1" t="s">
        <v>77</v>
      </c>
      <c r="P55" s="19">
        <v>1</v>
      </c>
      <c r="Q55" s="19">
        <v>1</v>
      </c>
      <c r="R55" s="19">
        <v>1</v>
      </c>
      <c r="S55" s="19">
        <v>1</v>
      </c>
      <c r="T55" s="19">
        <v>1</v>
      </c>
      <c r="U55" s="19">
        <v>1</v>
      </c>
      <c r="V55" s="19">
        <v>1</v>
      </c>
      <c r="W55" s="19">
        <v>1</v>
      </c>
      <c r="X55" s="19">
        <v>1</v>
      </c>
      <c r="Y55" s="19">
        <v>1</v>
      </c>
      <c r="Z55" s="19">
        <v>1</v>
      </c>
      <c r="AA55" s="19">
        <v>1</v>
      </c>
      <c r="AB55" s="19">
        <v>1</v>
      </c>
      <c r="AC55" s="19">
        <v>1</v>
      </c>
      <c r="AD55" s="19">
        <v>1</v>
      </c>
      <c r="AE55" s="19">
        <v>1</v>
      </c>
      <c r="AF55" s="19">
        <v>1</v>
      </c>
      <c r="AG55" s="19">
        <v>1</v>
      </c>
      <c r="AH55" s="19">
        <v>1</v>
      </c>
      <c r="AI55" s="19">
        <v>1</v>
      </c>
      <c r="AJ55" s="19">
        <v>1</v>
      </c>
      <c r="AK55" s="19">
        <v>1</v>
      </c>
      <c r="AL55" s="19">
        <v>1</v>
      </c>
      <c r="AM55" s="19">
        <v>1</v>
      </c>
      <c r="AN55" s="19">
        <v>1</v>
      </c>
      <c r="AO55" s="19">
        <v>1</v>
      </c>
      <c r="AP55" s="19">
        <v>1</v>
      </c>
      <c r="AQ55" s="19">
        <v>1</v>
      </c>
      <c r="AR55" s="19">
        <v>1</v>
      </c>
      <c r="AS55" s="19">
        <v>1</v>
      </c>
      <c r="AT55" s="19">
        <v>1</v>
      </c>
      <c r="AU55" s="19">
        <v>1</v>
      </c>
      <c r="AV55" s="19">
        <v>1</v>
      </c>
      <c r="AW55" s="19">
        <v>1</v>
      </c>
      <c r="AX55" s="19">
        <v>1</v>
      </c>
      <c r="AY55" s="19">
        <v>1</v>
      </c>
      <c r="AZ55" s="19">
        <v>1</v>
      </c>
      <c r="BA55" s="19">
        <v>1</v>
      </c>
      <c r="BB55" s="19">
        <v>1</v>
      </c>
      <c r="BC55" s="19">
        <v>1</v>
      </c>
      <c r="BD55" s="19">
        <v>1</v>
      </c>
      <c r="BE55" s="19">
        <v>1</v>
      </c>
      <c r="BF55" s="19">
        <v>1</v>
      </c>
      <c r="BG55" s="19">
        <v>1</v>
      </c>
      <c r="BH55" s="19">
        <v>1</v>
      </c>
      <c r="BI55" s="19">
        <v>1</v>
      </c>
      <c r="BJ55" s="19">
        <v>1</v>
      </c>
      <c r="BK55" s="19">
        <v>1</v>
      </c>
      <c r="BL55" s="19">
        <v>1</v>
      </c>
      <c r="BM55" s="19">
        <v>1</v>
      </c>
      <c r="BN55" s="19">
        <v>1</v>
      </c>
      <c r="BO55" s="19">
        <v>1</v>
      </c>
    </row>
    <row r="56" spans="1:67" ht="21" customHeight="1">
      <c r="A56" s="34"/>
      <c r="B56" s="35"/>
      <c r="C56" s="35"/>
      <c r="D56" s="35" t="s">
        <v>35</v>
      </c>
      <c r="E56" s="33"/>
      <c r="F56" s="33"/>
      <c r="G56" s="33"/>
      <c r="H56" s="1" t="s">
        <v>36</v>
      </c>
      <c r="I56" s="6"/>
      <c r="J56" s="6"/>
      <c r="K56" s="6"/>
      <c r="L56" s="6"/>
      <c r="M56" s="6"/>
      <c r="N56" s="6"/>
      <c r="O56" s="1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/>
      <c r="BG56" s="19"/>
      <c r="BH56" s="19"/>
      <c r="BI56" s="19"/>
      <c r="BJ56" s="19"/>
      <c r="BK56" s="19"/>
      <c r="BL56" s="19"/>
      <c r="BM56" s="19"/>
      <c r="BN56" s="19"/>
      <c r="BO56" s="19"/>
    </row>
    <row r="57" spans="1:67" ht="21" customHeight="1">
      <c r="A57" s="34"/>
      <c r="B57" s="35"/>
      <c r="C57" s="35"/>
      <c r="D57" s="35" t="s">
        <v>35</v>
      </c>
      <c r="E57" s="33"/>
      <c r="F57" s="33" t="s">
        <v>100</v>
      </c>
      <c r="G57" s="33" t="s">
        <v>101</v>
      </c>
      <c r="H57" s="1" t="s">
        <v>33</v>
      </c>
      <c r="I57" s="6"/>
      <c r="J57" s="2"/>
      <c r="K57" s="6"/>
      <c r="L57" s="6"/>
      <c r="M57" s="6"/>
      <c r="N57" s="6"/>
      <c r="O57" s="1" t="s">
        <v>77</v>
      </c>
      <c r="P57" s="19">
        <v>1</v>
      </c>
      <c r="Q57" s="19">
        <v>1</v>
      </c>
      <c r="R57" s="19">
        <v>1</v>
      </c>
      <c r="S57" s="19">
        <v>1</v>
      </c>
      <c r="T57" s="19">
        <v>1</v>
      </c>
      <c r="U57" s="19">
        <v>1</v>
      </c>
      <c r="V57" s="19">
        <v>1</v>
      </c>
      <c r="W57" s="19">
        <v>1</v>
      </c>
      <c r="X57" s="19">
        <v>1</v>
      </c>
      <c r="Y57" s="19">
        <v>1</v>
      </c>
      <c r="Z57" s="19">
        <v>1</v>
      </c>
      <c r="AA57" s="19">
        <v>1</v>
      </c>
      <c r="AB57" s="19">
        <v>1</v>
      </c>
      <c r="AC57" s="19">
        <v>1</v>
      </c>
      <c r="AD57" s="19">
        <v>1</v>
      </c>
      <c r="AE57" s="19">
        <v>1</v>
      </c>
      <c r="AF57" s="19">
        <v>1</v>
      </c>
      <c r="AG57" s="19">
        <v>1</v>
      </c>
      <c r="AH57" s="19">
        <v>1</v>
      </c>
      <c r="AI57" s="19">
        <v>1</v>
      </c>
      <c r="AJ57" s="19">
        <v>1</v>
      </c>
      <c r="AK57" s="19">
        <v>1</v>
      </c>
      <c r="AL57" s="19">
        <v>1</v>
      </c>
      <c r="AM57" s="19">
        <v>1</v>
      </c>
      <c r="AN57" s="19">
        <v>1</v>
      </c>
      <c r="AO57" s="19">
        <v>1</v>
      </c>
      <c r="AP57" s="19">
        <v>1</v>
      </c>
      <c r="AQ57" s="19">
        <v>1</v>
      </c>
      <c r="AR57" s="19">
        <v>1</v>
      </c>
      <c r="AS57" s="19">
        <v>1</v>
      </c>
      <c r="AT57" s="19">
        <v>1</v>
      </c>
      <c r="AU57" s="19">
        <v>1</v>
      </c>
      <c r="AV57" s="19">
        <v>1</v>
      </c>
      <c r="AW57" s="19">
        <v>1</v>
      </c>
      <c r="AX57" s="19">
        <v>1</v>
      </c>
      <c r="AY57" s="19">
        <v>1</v>
      </c>
      <c r="AZ57" s="19">
        <v>1</v>
      </c>
      <c r="BA57" s="19">
        <v>1</v>
      </c>
      <c r="BB57" s="19">
        <v>1</v>
      </c>
      <c r="BC57" s="19">
        <v>1</v>
      </c>
      <c r="BD57" s="19">
        <v>1</v>
      </c>
      <c r="BE57" s="19">
        <v>1</v>
      </c>
      <c r="BF57" s="19">
        <v>1</v>
      </c>
      <c r="BG57" s="19">
        <v>1</v>
      </c>
      <c r="BH57" s="19">
        <v>1</v>
      </c>
      <c r="BI57" s="19">
        <v>1</v>
      </c>
      <c r="BJ57" s="19">
        <v>1</v>
      </c>
      <c r="BK57" s="19">
        <v>1</v>
      </c>
      <c r="BL57" s="19">
        <v>1</v>
      </c>
      <c r="BM57" s="19">
        <v>1</v>
      </c>
      <c r="BN57" s="19">
        <v>1</v>
      </c>
      <c r="BO57" s="19">
        <v>1</v>
      </c>
    </row>
    <row r="58" spans="1:67" ht="21" customHeight="1">
      <c r="A58" s="34"/>
      <c r="B58" s="35"/>
      <c r="C58" s="35"/>
      <c r="D58" s="35" t="s">
        <v>35</v>
      </c>
      <c r="E58" s="33"/>
      <c r="F58" s="33"/>
      <c r="G58" s="33"/>
      <c r="H58" s="1" t="s">
        <v>36</v>
      </c>
      <c r="I58" s="6"/>
      <c r="J58" s="6"/>
      <c r="K58" s="6"/>
      <c r="L58" s="6"/>
      <c r="M58" s="6"/>
      <c r="N58" s="6"/>
      <c r="O58" s="1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/>
      <c r="BG58" s="19"/>
      <c r="BH58" s="19"/>
      <c r="BI58" s="19"/>
      <c r="BJ58" s="19"/>
      <c r="BK58" s="19"/>
      <c r="BL58" s="19"/>
      <c r="BM58" s="19"/>
      <c r="BN58" s="19"/>
      <c r="BO58" s="19"/>
    </row>
    <row r="59" spans="1:67" ht="21" customHeight="1">
      <c r="A59" s="34"/>
      <c r="B59" s="35"/>
      <c r="C59" s="35"/>
      <c r="D59" s="35" t="s">
        <v>35</v>
      </c>
      <c r="E59" s="33"/>
      <c r="F59" s="33" t="s">
        <v>102</v>
      </c>
      <c r="G59" s="33" t="s">
        <v>43</v>
      </c>
      <c r="H59" s="1" t="s">
        <v>33</v>
      </c>
      <c r="I59" s="6"/>
      <c r="J59" s="2"/>
      <c r="K59" s="6"/>
      <c r="L59" s="6"/>
      <c r="M59" s="6"/>
      <c r="N59" s="6"/>
      <c r="O59" s="1" t="s">
        <v>77</v>
      </c>
      <c r="P59" s="19">
        <v>1</v>
      </c>
      <c r="Q59" s="19">
        <v>1</v>
      </c>
      <c r="R59" s="19">
        <v>1</v>
      </c>
      <c r="S59" s="19">
        <v>1</v>
      </c>
      <c r="T59" s="19">
        <v>1</v>
      </c>
      <c r="U59" s="19">
        <v>1</v>
      </c>
      <c r="V59" s="19">
        <v>1</v>
      </c>
      <c r="W59" s="19">
        <v>1</v>
      </c>
      <c r="X59" s="19">
        <v>1</v>
      </c>
      <c r="Y59" s="19">
        <v>1</v>
      </c>
      <c r="Z59" s="19">
        <v>1</v>
      </c>
      <c r="AA59" s="19">
        <v>1</v>
      </c>
      <c r="AB59" s="19">
        <v>1</v>
      </c>
      <c r="AC59" s="19">
        <v>1</v>
      </c>
      <c r="AD59" s="19">
        <v>1</v>
      </c>
      <c r="AE59" s="19">
        <v>1</v>
      </c>
      <c r="AF59" s="19">
        <v>1</v>
      </c>
      <c r="AG59" s="19">
        <v>1</v>
      </c>
      <c r="AH59" s="19">
        <v>1</v>
      </c>
      <c r="AI59" s="19">
        <v>1</v>
      </c>
      <c r="AJ59" s="19">
        <v>1</v>
      </c>
      <c r="AK59" s="19">
        <v>1</v>
      </c>
      <c r="AL59" s="19">
        <v>1</v>
      </c>
      <c r="AM59" s="19">
        <v>1</v>
      </c>
      <c r="AN59" s="19">
        <v>1</v>
      </c>
      <c r="AO59" s="19">
        <v>1</v>
      </c>
      <c r="AP59" s="19">
        <v>1</v>
      </c>
      <c r="AQ59" s="19">
        <v>1</v>
      </c>
      <c r="AR59" s="19">
        <v>1</v>
      </c>
      <c r="AS59" s="19">
        <v>1</v>
      </c>
      <c r="AT59" s="19">
        <v>1</v>
      </c>
      <c r="AU59" s="19">
        <v>1</v>
      </c>
      <c r="AV59" s="19">
        <v>1</v>
      </c>
      <c r="AW59" s="19">
        <v>1</v>
      </c>
      <c r="AX59" s="19">
        <v>1</v>
      </c>
      <c r="AY59" s="19">
        <v>1</v>
      </c>
      <c r="AZ59" s="19">
        <v>1</v>
      </c>
      <c r="BA59" s="19">
        <v>1</v>
      </c>
      <c r="BB59" s="19">
        <v>1</v>
      </c>
      <c r="BC59" s="19">
        <v>1</v>
      </c>
      <c r="BD59" s="19">
        <v>1</v>
      </c>
      <c r="BE59" s="19">
        <v>1</v>
      </c>
      <c r="BF59" s="19">
        <v>1</v>
      </c>
      <c r="BG59" s="19">
        <v>1</v>
      </c>
      <c r="BH59" s="19">
        <v>1</v>
      </c>
      <c r="BI59" s="19">
        <v>1</v>
      </c>
      <c r="BJ59" s="19">
        <v>1</v>
      </c>
      <c r="BK59" s="19">
        <v>1</v>
      </c>
      <c r="BL59" s="19">
        <v>1</v>
      </c>
      <c r="BM59" s="19">
        <v>1</v>
      </c>
      <c r="BN59" s="19">
        <v>1</v>
      </c>
      <c r="BO59" s="19">
        <v>1</v>
      </c>
    </row>
    <row r="60" spans="1:67" ht="21" customHeight="1">
      <c r="A60" s="34"/>
      <c r="B60" s="35"/>
      <c r="C60" s="35"/>
      <c r="D60" s="35" t="s">
        <v>35</v>
      </c>
      <c r="E60" s="33"/>
      <c r="F60" s="33"/>
      <c r="G60" s="33"/>
      <c r="H60" s="1" t="s">
        <v>36</v>
      </c>
      <c r="I60" s="6"/>
      <c r="J60" s="6"/>
      <c r="K60" s="6"/>
      <c r="L60" s="6"/>
      <c r="M60" s="6"/>
      <c r="N60" s="6"/>
      <c r="O60" s="1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/>
      <c r="BG60" s="19"/>
      <c r="BH60" s="19"/>
      <c r="BI60" s="19"/>
      <c r="BJ60" s="19"/>
      <c r="BK60" s="19"/>
      <c r="BL60" s="19"/>
      <c r="BM60" s="19"/>
      <c r="BN60" s="19"/>
      <c r="BO60" s="19"/>
    </row>
    <row r="61" spans="1:67" ht="21" customHeight="1">
      <c r="A61" s="34"/>
      <c r="B61" s="35"/>
      <c r="C61" s="35"/>
      <c r="D61" s="35" t="s">
        <v>35</v>
      </c>
      <c r="E61" s="33"/>
      <c r="F61" s="33" t="s">
        <v>59</v>
      </c>
      <c r="G61" s="33" t="s">
        <v>103</v>
      </c>
      <c r="H61" s="1" t="s">
        <v>104</v>
      </c>
      <c r="I61" s="6"/>
      <c r="J61" s="2"/>
      <c r="K61" s="6"/>
      <c r="L61" s="6"/>
      <c r="M61" s="6"/>
      <c r="N61" s="6"/>
      <c r="O61" s="1" t="s">
        <v>34</v>
      </c>
      <c r="P61" s="19">
        <v>1</v>
      </c>
      <c r="Q61" s="19">
        <v>1</v>
      </c>
      <c r="R61" s="19">
        <v>1</v>
      </c>
      <c r="S61" s="19">
        <v>1</v>
      </c>
      <c r="T61" s="19">
        <v>1</v>
      </c>
      <c r="U61" s="19">
        <v>1</v>
      </c>
      <c r="V61" s="19">
        <v>1</v>
      </c>
      <c r="W61" s="19">
        <v>1</v>
      </c>
      <c r="X61" s="19">
        <v>1</v>
      </c>
      <c r="Y61" s="19">
        <v>1</v>
      </c>
      <c r="Z61" s="19">
        <v>1</v>
      </c>
      <c r="AA61" s="19">
        <v>1</v>
      </c>
      <c r="AB61" s="19">
        <v>1</v>
      </c>
      <c r="AC61" s="19">
        <v>1</v>
      </c>
      <c r="AD61" s="19">
        <v>1</v>
      </c>
      <c r="AE61" s="19">
        <v>1</v>
      </c>
      <c r="AF61" s="19">
        <v>1</v>
      </c>
      <c r="AG61" s="19">
        <v>1</v>
      </c>
      <c r="AH61" s="19">
        <v>1</v>
      </c>
      <c r="AI61" s="19">
        <v>1</v>
      </c>
      <c r="AJ61" s="19">
        <v>1</v>
      </c>
      <c r="AK61" s="19">
        <v>1</v>
      </c>
      <c r="AL61" s="19">
        <v>1</v>
      </c>
      <c r="AM61" s="19">
        <v>1</v>
      </c>
      <c r="AN61" s="19">
        <v>1</v>
      </c>
      <c r="AO61" s="19">
        <v>1</v>
      </c>
      <c r="AP61" s="19">
        <v>1</v>
      </c>
      <c r="AQ61" s="19">
        <v>1</v>
      </c>
      <c r="AR61" s="19">
        <v>1</v>
      </c>
      <c r="AS61" s="19">
        <v>1</v>
      </c>
      <c r="AT61" s="19">
        <v>1</v>
      </c>
      <c r="AU61" s="19">
        <v>1</v>
      </c>
      <c r="AV61" s="19">
        <v>1</v>
      </c>
      <c r="AW61" s="19">
        <v>1</v>
      </c>
      <c r="AX61" s="19">
        <v>1</v>
      </c>
      <c r="AY61" s="19">
        <v>1</v>
      </c>
      <c r="AZ61" s="19">
        <v>1</v>
      </c>
      <c r="BA61" s="19">
        <v>1</v>
      </c>
      <c r="BB61" s="19">
        <v>1</v>
      </c>
      <c r="BC61" s="19">
        <v>1</v>
      </c>
      <c r="BD61" s="19">
        <v>1</v>
      </c>
      <c r="BE61" s="19">
        <v>1</v>
      </c>
      <c r="BF61" s="19">
        <v>1</v>
      </c>
      <c r="BG61" s="19">
        <v>1</v>
      </c>
      <c r="BH61" s="19">
        <v>1</v>
      </c>
      <c r="BI61" s="19">
        <v>1</v>
      </c>
      <c r="BJ61" s="19">
        <v>1</v>
      </c>
      <c r="BK61" s="19">
        <v>1</v>
      </c>
      <c r="BL61" s="19">
        <v>1</v>
      </c>
      <c r="BM61" s="19">
        <v>1</v>
      </c>
      <c r="BN61" s="19">
        <v>1</v>
      </c>
      <c r="BO61" s="19">
        <v>1</v>
      </c>
    </row>
    <row r="62" spans="1:67" ht="21" customHeight="1">
      <c r="A62" s="34"/>
      <c r="B62" s="35"/>
      <c r="C62" s="35"/>
      <c r="D62" s="35" t="s">
        <v>35</v>
      </c>
      <c r="E62" s="33"/>
      <c r="F62" s="33"/>
      <c r="G62" s="33"/>
      <c r="H62" s="1" t="s">
        <v>36</v>
      </c>
      <c r="I62" s="6"/>
      <c r="J62" s="6"/>
      <c r="K62" s="6"/>
      <c r="L62" s="6"/>
      <c r="M62" s="6"/>
      <c r="N62" s="6"/>
      <c r="O62" s="1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/>
      <c r="BG62" s="19"/>
      <c r="BH62" s="19"/>
      <c r="BI62" s="19"/>
      <c r="BJ62" s="19"/>
      <c r="BK62" s="19"/>
      <c r="BL62" s="19"/>
      <c r="BM62" s="19"/>
      <c r="BN62" s="19"/>
      <c r="BO62" s="19"/>
    </row>
    <row r="63" spans="1:67" ht="21" customHeight="1">
      <c r="A63" s="34"/>
      <c r="B63" s="35"/>
      <c r="C63" s="35"/>
      <c r="D63" s="35" t="s">
        <v>35</v>
      </c>
      <c r="E63" s="33"/>
      <c r="F63" s="33" t="s">
        <v>105</v>
      </c>
      <c r="G63" s="33" t="s">
        <v>106</v>
      </c>
      <c r="H63" s="1" t="s">
        <v>104</v>
      </c>
      <c r="I63" s="6"/>
      <c r="J63" s="2"/>
      <c r="K63" s="6"/>
      <c r="L63" s="6"/>
      <c r="M63" s="6"/>
      <c r="N63" s="6"/>
      <c r="O63" s="1" t="s">
        <v>34</v>
      </c>
      <c r="P63" s="19">
        <v>1</v>
      </c>
      <c r="Q63" s="19">
        <v>1</v>
      </c>
      <c r="R63" s="19">
        <v>1</v>
      </c>
      <c r="S63" s="19">
        <v>1</v>
      </c>
      <c r="T63" s="19">
        <v>1</v>
      </c>
      <c r="U63" s="19">
        <v>1</v>
      </c>
      <c r="V63" s="19">
        <v>1</v>
      </c>
      <c r="W63" s="19">
        <v>1</v>
      </c>
      <c r="X63" s="19">
        <v>1</v>
      </c>
      <c r="Y63" s="19">
        <v>1</v>
      </c>
      <c r="Z63" s="19">
        <v>1</v>
      </c>
      <c r="AA63" s="19">
        <v>1</v>
      </c>
      <c r="AB63" s="19">
        <v>1</v>
      </c>
      <c r="AC63" s="19">
        <v>1</v>
      </c>
      <c r="AD63" s="19">
        <v>1</v>
      </c>
      <c r="AE63" s="19">
        <v>1</v>
      </c>
      <c r="AF63" s="19">
        <v>1</v>
      </c>
      <c r="AG63" s="19">
        <v>1</v>
      </c>
      <c r="AH63" s="19">
        <v>1</v>
      </c>
      <c r="AI63" s="19">
        <v>1</v>
      </c>
      <c r="AJ63" s="19">
        <v>1</v>
      </c>
      <c r="AK63" s="19">
        <v>1</v>
      </c>
      <c r="AL63" s="19">
        <v>1</v>
      </c>
      <c r="AM63" s="19">
        <v>1</v>
      </c>
      <c r="AN63" s="19">
        <v>1</v>
      </c>
      <c r="AO63" s="19">
        <v>1</v>
      </c>
      <c r="AP63" s="19">
        <v>1</v>
      </c>
      <c r="AQ63" s="19">
        <v>1</v>
      </c>
      <c r="AR63" s="19">
        <v>1</v>
      </c>
      <c r="AS63" s="19">
        <v>1</v>
      </c>
      <c r="AT63" s="19">
        <v>1</v>
      </c>
      <c r="AU63" s="19">
        <v>1</v>
      </c>
      <c r="AV63" s="19">
        <v>1</v>
      </c>
      <c r="AW63" s="19">
        <v>1</v>
      </c>
      <c r="AX63" s="19">
        <v>1</v>
      </c>
      <c r="AY63" s="19">
        <v>1</v>
      </c>
      <c r="AZ63" s="19">
        <v>1</v>
      </c>
      <c r="BA63" s="19">
        <v>1</v>
      </c>
      <c r="BB63" s="19">
        <v>1</v>
      </c>
      <c r="BC63" s="19">
        <v>1</v>
      </c>
      <c r="BD63" s="19">
        <v>1</v>
      </c>
      <c r="BE63" s="19">
        <v>1</v>
      </c>
      <c r="BF63" s="19">
        <v>1</v>
      </c>
      <c r="BG63" s="19">
        <v>1</v>
      </c>
      <c r="BH63" s="19">
        <v>1</v>
      </c>
      <c r="BI63" s="19">
        <v>1</v>
      </c>
      <c r="BJ63" s="19">
        <v>1</v>
      </c>
      <c r="BK63" s="19">
        <v>1</v>
      </c>
      <c r="BL63" s="19">
        <v>1</v>
      </c>
      <c r="BM63" s="19">
        <v>1</v>
      </c>
      <c r="BN63" s="19">
        <v>1</v>
      </c>
      <c r="BO63" s="19">
        <v>1</v>
      </c>
    </row>
    <row r="64" spans="1:67" ht="21" customHeight="1">
      <c r="A64" s="34"/>
      <c r="B64" s="35"/>
      <c r="C64" s="35"/>
      <c r="D64" s="35" t="s">
        <v>35</v>
      </c>
      <c r="E64" s="33"/>
      <c r="F64" s="33"/>
      <c r="G64" s="33"/>
      <c r="H64" s="1" t="s">
        <v>36</v>
      </c>
      <c r="I64" s="6"/>
      <c r="J64" s="6"/>
      <c r="K64" s="6"/>
      <c r="L64" s="6"/>
      <c r="M64" s="6"/>
      <c r="N64" s="6"/>
      <c r="O64" s="1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19"/>
      <c r="BG64" s="19"/>
      <c r="BH64" s="19"/>
      <c r="BI64" s="19"/>
      <c r="BJ64" s="19"/>
      <c r="BK64" s="19"/>
      <c r="BL64" s="19"/>
      <c r="BM64" s="19"/>
      <c r="BN64" s="19"/>
      <c r="BO64" s="19"/>
    </row>
    <row r="65" spans="1:67" ht="28.9" customHeight="1">
      <c r="A65" s="34"/>
      <c r="B65" s="35"/>
      <c r="C65" s="35"/>
      <c r="D65" s="35" t="s">
        <v>35</v>
      </c>
      <c r="E65" s="33"/>
      <c r="F65" s="33" t="s">
        <v>107</v>
      </c>
      <c r="G65" s="44" t="s">
        <v>79</v>
      </c>
      <c r="H65" s="1" t="s">
        <v>33</v>
      </c>
      <c r="I65" s="6"/>
      <c r="J65" s="6"/>
      <c r="K65" s="6"/>
      <c r="L65" s="6"/>
      <c r="M65" s="4"/>
      <c r="N65" s="6"/>
      <c r="O65" s="1" t="s">
        <v>80</v>
      </c>
      <c r="P65" s="19"/>
      <c r="Q65" s="19"/>
      <c r="R65" s="19">
        <v>4</v>
      </c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>
        <v>4</v>
      </c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/>
      <c r="BG65" s="19"/>
      <c r="BH65" s="19"/>
      <c r="BI65" s="19"/>
      <c r="BJ65" s="19"/>
      <c r="BK65" s="19"/>
      <c r="BL65" s="19"/>
      <c r="BM65" s="19"/>
      <c r="BN65" s="19"/>
      <c r="BO65" s="19"/>
    </row>
    <row r="66" spans="1:67" ht="28.9" customHeight="1">
      <c r="A66" s="34"/>
      <c r="B66" s="35"/>
      <c r="C66" s="35"/>
      <c r="D66" s="35" t="s">
        <v>35</v>
      </c>
      <c r="E66" s="33"/>
      <c r="F66" s="33"/>
      <c r="G66" s="33"/>
      <c r="H66" s="1" t="s">
        <v>36</v>
      </c>
      <c r="I66" s="6"/>
      <c r="J66" s="6"/>
      <c r="K66" s="6"/>
      <c r="L66" s="6"/>
      <c r="M66" s="6"/>
      <c r="N66" s="6"/>
      <c r="O66" s="1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/>
      <c r="BG66" s="19"/>
      <c r="BH66" s="19"/>
      <c r="BI66" s="19"/>
      <c r="BJ66" s="19"/>
      <c r="BK66" s="19"/>
      <c r="BL66" s="19"/>
      <c r="BM66" s="19"/>
      <c r="BN66" s="19"/>
      <c r="BO66" s="19"/>
    </row>
    <row r="67" spans="1:67" ht="21" customHeight="1">
      <c r="A67" s="34"/>
      <c r="B67" s="35" t="s">
        <v>108</v>
      </c>
      <c r="C67" s="35" t="s">
        <v>109</v>
      </c>
      <c r="D67" s="35" t="s">
        <v>110</v>
      </c>
      <c r="E67" s="33" t="s">
        <v>55</v>
      </c>
      <c r="F67" s="33" t="s">
        <v>111</v>
      </c>
      <c r="G67" s="33" t="s">
        <v>56</v>
      </c>
      <c r="H67" s="1" t="s">
        <v>33</v>
      </c>
      <c r="I67" s="1"/>
      <c r="J67" s="2"/>
      <c r="K67" s="1"/>
      <c r="L67" s="1"/>
      <c r="M67" s="1"/>
      <c r="N67" s="1"/>
      <c r="O67" s="1" t="s">
        <v>34</v>
      </c>
      <c r="P67" s="19">
        <v>1</v>
      </c>
      <c r="Q67" s="19">
        <v>1</v>
      </c>
      <c r="R67" s="19">
        <v>1</v>
      </c>
      <c r="S67" s="19">
        <v>1</v>
      </c>
      <c r="T67" s="19">
        <v>1</v>
      </c>
      <c r="U67" s="19">
        <v>1</v>
      </c>
      <c r="V67" s="19">
        <v>1</v>
      </c>
      <c r="W67" s="19">
        <v>1</v>
      </c>
      <c r="X67" s="19">
        <v>1</v>
      </c>
      <c r="Y67" s="19">
        <v>1</v>
      </c>
      <c r="Z67" s="19">
        <v>1</v>
      </c>
      <c r="AA67" s="19">
        <v>1</v>
      </c>
      <c r="AB67" s="19">
        <v>1</v>
      </c>
      <c r="AC67" s="19">
        <v>1</v>
      </c>
      <c r="AD67" s="19">
        <v>1</v>
      </c>
      <c r="AE67" s="19">
        <v>1</v>
      </c>
      <c r="AF67" s="19">
        <v>1</v>
      </c>
      <c r="AG67" s="19">
        <v>1</v>
      </c>
      <c r="AH67" s="19">
        <v>1</v>
      </c>
      <c r="AI67" s="19">
        <v>1</v>
      </c>
      <c r="AJ67" s="19">
        <v>1</v>
      </c>
      <c r="AK67" s="19">
        <v>1</v>
      </c>
      <c r="AL67" s="19">
        <v>1</v>
      </c>
      <c r="AM67" s="19">
        <v>1</v>
      </c>
      <c r="AN67" s="19">
        <v>1</v>
      </c>
      <c r="AO67" s="19">
        <v>1</v>
      </c>
      <c r="AP67" s="19">
        <v>1</v>
      </c>
      <c r="AQ67" s="19">
        <v>1</v>
      </c>
      <c r="AR67" s="19">
        <v>1</v>
      </c>
      <c r="AS67" s="19">
        <v>1</v>
      </c>
      <c r="AT67" s="19">
        <v>1</v>
      </c>
      <c r="AU67" s="19">
        <v>1</v>
      </c>
      <c r="AV67" s="19">
        <v>1</v>
      </c>
      <c r="AW67" s="19">
        <v>1</v>
      </c>
      <c r="AX67" s="19">
        <v>1</v>
      </c>
      <c r="AY67" s="19">
        <v>1</v>
      </c>
      <c r="AZ67" s="19">
        <v>1</v>
      </c>
      <c r="BA67" s="19">
        <v>1</v>
      </c>
      <c r="BB67" s="19">
        <v>1</v>
      </c>
      <c r="BC67" s="19">
        <v>1</v>
      </c>
      <c r="BD67" s="19">
        <v>1</v>
      </c>
      <c r="BE67" s="19">
        <v>1</v>
      </c>
      <c r="BF67" s="19">
        <v>1</v>
      </c>
      <c r="BG67" s="19">
        <v>1</v>
      </c>
      <c r="BH67" s="19">
        <v>1</v>
      </c>
      <c r="BI67" s="19">
        <v>1</v>
      </c>
      <c r="BJ67" s="19">
        <v>1</v>
      </c>
      <c r="BK67" s="19">
        <v>1</v>
      </c>
      <c r="BL67" s="19">
        <v>1</v>
      </c>
      <c r="BM67" s="19">
        <v>1</v>
      </c>
      <c r="BN67" s="19">
        <v>1</v>
      </c>
      <c r="BO67" s="19">
        <v>1</v>
      </c>
    </row>
    <row r="68" spans="1:67" ht="21" customHeight="1">
      <c r="A68" s="34"/>
      <c r="B68" s="35"/>
      <c r="C68" s="35"/>
      <c r="D68" s="35" t="s">
        <v>35</v>
      </c>
      <c r="E68" s="33"/>
      <c r="F68" s="33"/>
      <c r="G68" s="33"/>
      <c r="H68" s="1" t="s">
        <v>36</v>
      </c>
      <c r="I68" s="1"/>
      <c r="J68" s="1"/>
      <c r="K68" s="1"/>
      <c r="L68" s="1"/>
      <c r="M68" s="1"/>
      <c r="N68" s="1"/>
      <c r="O68" s="1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  <c r="BI68" s="19"/>
      <c r="BJ68" s="19"/>
      <c r="BK68" s="19"/>
      <c r="BL68" s="19"/>
      <c r="BM68" s="19"/>
      <c r="BN68" s="19"/>
      <c r="BO68" s="19"/>
    </row>
    <row r="69" spans="1:67" ht="21" customHeight="1">
      <c r="A69" s="34"/>
      <c r="B69" s="35"/>
      <c r="C69" s="35"/>
      <c r="D69" s="35" t="s">
        <v>35</v>
      </c>
      <c r="E69" s="33"/>
      <c r="F69" s="33" t="s">
        <v>112</v>
      </c>
      <c r="G69" s="33" t="s">
        <v>40</v>
      </c>
      <c r="H69" s="1" t="s">
        <v>33</v>
      </c>
      <c r="I69" s="1"/>
      <c r="J69" s="1"/>
      <c r="K69" s="1"/>
      <c r="L69" s="1"/>
      <c r="M69" s="1"/>
      <c r="N69" s="3"/>
      <c r="O69" s="1" t="s">
        <v>41</v>
      </c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/>
      <c r="BG69" s="19"/>
      <c r="BH69" s="19"/>
      <c r="BI69" s="19"/>
      <c r="BJ69" s="19">
        <v>5</v>
      </c>
      <c r="BK69" s="19"/>
      <c r="BL69" s="19"/>
      <c r="BM69" s="19"/>
      <c r="BN69" s="19"/>
      <c r="BO69" s="19"/>
    </row>
    <row r="70" spans="1:67" ht="21" customHeight="1">
      <c r="A70" s="34"/>
      <c r="B70" s="35"/>
      <c r="C70" s="35"/>
      <c r="D70" s="35" t="s">
        <v>35</v>
      </c>
      <c r="E70" s="33"/>
      <c r="F70" s="33"/>
      <c r="G70" s="33"/>
      <c r="H70" s="1" t="s">
        <v>36</v>
      </c>
      <c r="I70" s="1"/>
      <c r="J70" s="1"/>
      <c r="K70" s="1"/>
      <c r="L70" s="1"/>
      <c r="M70" s="1"/>
      <c r="N70" s="1"/>
      <c r="O70" s="1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/>
      <c r="BG70" s="19"/>
      <c r="BH70" s="19"/>
      <c r="BI70" s="19"/>
      <c r="BJ70" s="19"/>
      <c r="BK70" s="19"/>
      <c r="BL70" s="19"/>
      <c r="BM70" s="19"/>
      <c r="BN70" s="19"/>
      <c r="BO70" s="19"/>
    </row>
    <row r="71" spans="1:67" ht="21" customHeight="1">
      <c r="A71" s="34"/>
      <c r="B71" s="35"/>
      <c r="C71" s="35"/>
      <c r="D71" s="35" t="s">
        <v>35</v>
      </c>
      <c r="E71" s="33"/>
      <c r="F71" s="33" t="s">
        <v>113</v>
      </c>
      <c r="G71" s="33" t="s">
        <v>66</v>
      </c>
      <c r="H71" s="1" t="s">
        <v>33</v>
      </c>
      <c r="I71" s="1"/>
      <c r="J71" s="2"/>
      <c r="K71" s="1"/>
      <c r="L71" s="1"/>
      <c r="M71" s="1"/>
      <c r="N71" s="1"/>
      <c r="O71" s="1" t="s">
        <v>114</v>
      </c>
      <c r="P71" s="19">
        <v>1</v>
      </c>
      <c r="Q71" s="19">
        <v>1</v>
      </c>
      <c r="R71" s="19">
        <v>1</v>
      </c>
      <c r="S71" s="19">
        <v>1</v>
      </c>
      <c r="T71" s="19">
        <v>1</v>
      </c>
      <c r="U71" s="19">
        <v>1</v>
      </c>
      <c r="V71" s="19">
        <v>1</v>
      </c>
      <c r="W71" s="19">
        <v>1</v>
      </c>
      <c r="X71" s="19">
        <v>1</v>
      </c>
      <c r="Y71" s="19">
        <v>1</v>
      </c>
      <c r="Z71" s="19">
        <v>1</v>
      </c>
      <c r="AA71" s="19">
        <v>1</v>
      </c>
      <c r="AB71" s="19">
        <v>1</v>
      </c>
      <c r="AC71" s="19">
        <v>1</v>
      </c>
      <c r="AD71" s="19">
        <v>1</v>
      </c>
      <c r="AE71" s="19">
        <v>1</v>
      </c>
      <c r="AF71" s="19">
        <v>1</v>
      </c>
      <c r="AG71" s="19">
        <v>1</v>
      </c>
      <c r="AH71" s="19">
        <v>1</v>
      </c>
      <c r="AI71" s="19">
        <v>1</v>
      </c>
      <c r="AJ71" s="19">
        <v>1</v>
      </c>
      <c r="AK71" s="19">
        <v>1</v>
      </c>
      <c r="AL71" s="19">
        <v>1</v>
      </c>
      <c r="AM71" s="19">
        <v>1</v>
      </c>
      <c r="AN71" s="19">
        <v>1</v>
      </c>
      <c r="AO71" s="19">
        <v>1</v>
      </c>
      <c r="AP71" s="19">
        <v>1</v>
      </c>
      <c r="AQ71" s="19">
        <v>1</v>
      </c>
      <c r="AR71" s="19">
        <v>1</v>
      </c>
      <c r="AS71" s="19">
        <v>1</v>
      </c>
      <c r="AT71" s="19">
        <v>1</v>
      </c>
      <c r="AU71" s="19">
        <v>1</v>
      </c>
      <c r="AV71" s="19">
        <v>1</v>
      </c>
      <c r="AW71" s="19">
        <v>1</v>
      </c>
      <c r="AX71" s="19">
        <v>1</v>
      </c>
      <c r="AY71" s="19">
        <v>1</v>
      </c>
      <c r="AZ71" s="19">
        <v>1</v>
      </c>
      <c r="BA71" s="19">
        <v>1</v>
      </c>
      <c r="BB71" s="19">
        <v>1</v>
      </c>
      <c r="BC71" s="19">
        <v>1</v>
      </c>
      <c r="BD71" s="19">
        <v>1</v>
      </c>
      <c r="BE71" s="19">
        <v>1</v>
      </c>
      <c r="BF71" s="19">
        <v>1</v>
      </c>
      <c r="BG71" s="19">
        <v>1</v>
      </c>
      <c r="BH71" s="19">
        <v>1</v>
      </c>
      <c r="BI71" s="19">
        <v>1</v>
      </c>
      <c r="BJ71" s="19">
        <v>1</v>
      </c>
      <c r="BK71" s="19">
        <v>1</v>
      </c>
      <c r="BL71" s="19">
        <v>1</v>
      </c>
      <c r="BM71" s="19">
        <v>1</v>
      </c>
      <c r="BN71" s="19">
        <v>1</v>
      </c>
      <c r="BO71" s="19">
        <v>1</v>
      </c>
    </row>
    <row r="72" spans="1:67" ht="21" customHeight="1">
      <c r="A72" s="34"/>
      <c r="B72" s="35"/>
      <c r="C72" s="35"/>
      <c r="D72" s="35" t="s">
        <v>35</v>
      </c>
      <c r="E72" s="33"/>
      <c r="F72" s="33"/>
      <c r="G72" s="33"/>
      <c r="H72" s="1" t="s">
        <v>36</v>
      </c>
      <c r="I72" s="1"/>
      <c r="J72" s="1"/>
      <c r="K72" s="1"/>
      <c r="L72" s="1"/>
      <c r="M72" s="1"/>
      <c r="N72" s="1"/>
      <c r="O72" s="1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/>
      <c r="BG72" s="19"/>
      <c r="BH72" s="19"/>
      <c r="BI72" s="19"/>
      <c r="BJ72" s="19"/>
      <c r="BK72" s="19"/>
      <c r="BL72" s="19"/>
      <c r="BM72" s="19"/>
      <c r="BN72" s="19"/>
      <c r="BO72" s="19"/>
    </row>
    <row r="73" spans="1:67" ht="21" customHeight="1">
      <c r="A73" s="34"/>
      <c r="B73" s="35"/>
      <c r="C73" s="35"/>
      <c r="D73" s="35" t="s">
        <v>35</v>
      </c>
      <c r="E73" s="33"/>
      <c r="F73" s="33" t="s">
        <v>115</v>
      </c>
      <c r="G73" s="33" t="s">
        <v>66</v>
      </c>
      <c r="H73" s="1" t="s">
        <v>33</v>
      </c>
      <c r="I73" s="1"/>
      <c r="J73" s="2"/>
      <c r="K73" s="1"/>
      <c r="L73" s="1"/>
      <c r="M73" s="1"/>
      <c r="N73" s="1"/>
      <c r="O73" s="1" t="s">
        <v>50</v>
      </c>
      <c r="P73" s="19">
        <v>1</v>
      </c>
      <c r="Q73" s="19">
        <v>1</v>
      </c>
      <c r="R73" s="19">
        <v>1</v>
      </c>
      <c r="S73" s="19">
        <v>1</v>
      </c>
      <c r="T73" s="19">
        <v>1</v>
      </c>
      <c r="U73" s="19">
        <v>1</v>
      </c>
      <c r="V73" s="19">
        <v>1</v>
      </c>
      <c r="W73" s="19">
        <v>1</v>
      </c>
      <c r="X73" s="19">
        <v>1</v>
      </c>
      <c r="Y73" s="19">
        <v>1</v>
      </c>
      <c r="Z73" s="19">
        <v>1</v>
      </c>
      <c r="AA73" s="19">
        <v>1</v>
      </c>
      <c r="AB73" s="19">
        <v>1</v>
      </c>
      <c r="AC73" s="19">
        <v>1</v>
      </c>
      <c r="AD73" s="19">
        <v>1</v>
      </c>
      <c r="AE73" s="19">
        <v>1</v>
      </c>
      <c r="AF73" s="19">
        <v>1</v>
      </c>
      <c r="AG73" s="19">
        <v>1</v>
      </c>
      <c r="AH73" s="19">
        <v>1</v>
      </c>
      <c r="AI73" s="19">
        <v>1</v>
      </c>
      <c r="AJ73" s="19">
        <v>1</v>
      </c>
      <c r="AK73" s="19">
        <v>1</v>
      </c>
      <c r="AL73" s="19">
        <v>1</v>
      </c>
      <c r="AM73" s="19">
        <v>1</v>
      </c>
      <c r="AN73" s="19">
        <v>1</v>
      </c>
      <c r="AO73" s="19">
        <v>1</v>
      </c>
      <c r="AP73" s="19">
        <v>1</v>
      </c>
      <c r="AQ73" s="19">
        <v>1</v>
      </c>
      <c r="AR73" s="19">
        <v>1</v>
      </c>
      <c r="AS73" s="19">
        <v>1</v>
      </c>
      <c r="AT73" s="19">
        <v>1</v>
      </c>
      <c r="AU73" s="19">
        <v>1</v>
      </c>
      <c r="AV73" s="19">
        <v>1</v>
      </c>
      <c r="AW73" s="19">
        <v>1</v>
      </c>
      <c r="AX73" s="19">
        <v>1</v>
      </c>
      <c r="AY73" s="19">
        <v>1</v>
      </c>
      <c r="AZ73" s="19">
        <v>1</v>
      </c>
      <c r="BA73" s="19">
        <v>1</v>
      </c>
      <c r="BB73" s="19">
        <v>1</v>
      </c>
      <c r="BC73" s="19">
        <v>1</v>
      </c>
      <c r="BD73" s="19">
        <v>1</v>
      </c>
      <c r="BE73" s="19">
        <v>1</v>
      </c>
      <c r="BF73" s="19">
        <v>1</v>
      </c>
      <c r="BG73" s="19">
        <v>1</v>
      </c>
      <c r="BH73" s="19">
        <v>1</v>
      </c>
      <c r="BI73" s="19">
        <v>1</v>
      </c>
      <c r="BJ73" s="19">
        <v>1</v>
      </c>
      <c r="BK73" s="19">
        <v>1</v>
      </c>
      <c r="BL73" s="19">
        <v>1</v>
      </c>
      <c r="BM73" s="19">
        <v>1</v>
      </c>
      <c r="BN73" s="19">
        <v>1</v>
      </c>
      <c r="BO73" s="19">
        <v>1</v>
      </c>
    </row>
    <row r="74" spans="1:67" ht="21" customHeight="1">
      <c r="A74" s="34"/>
      <c r="B74" s="35"/>
      <c r="C74" s="35"/>
      <c r="D74" s="35" t="s">
        <v>35</v>
      </c>
      <c r="E74" s="33"/>
      <c r="F74" s="33"/>
      <c r="G74" s="33"/>
      <c r="H74" s="1" t="s">
        <v>36</v>
      </c>
      <c r="I74" s="1"/>
      <c r="J74" s="1"/>
      <c r="K74" s="1"/>
      <c r="L74" s="1"/>
      <c r="M74" s="1"/>
      <c r="N74" s="1"/>
      <c r="O74" s="1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/>
      <c r="BG74" s="19"/>
      <c r="BH74" s="19"/>
      <c r="BI74" s="19"/>
      <c r="BJ74" s="19"/>
      <c r="BK74" s="19"/>
      <c r="BL74" s="19"/>
      <c r="BM74" s="19"/>
      <c r="BN74" s="19"/>
      <c r="BO74" s="19"/>
    </row>
    <row r="75" spans="1:67" ht="21" customHeight="1">
      <c r="A75" s="34"/>
      <c r="B75" s="35"/>
      <c r="C75" s="35"/>
      <c r="D75" s="35" t="s">
        <v>35</v>
      </c>
      <c r="E75" s="33"/>
      <c r="F75" s="33" t="s">
        <v>116</v>
      </c>
      <c r="G75" s="33" t="s">
        <v>66</v>
      </c>
      <c r="H75" s="1" t="s">
        <v>33</v>
      </c>
      <c r="I75" s="1"/>
      <c r="J75" s="2"/>
      <c r="K75" s="1"/>
      <c r="L75" s="1"/>
      <c r="M75" s="1"/>
      <c r="N75" s="1"/>
      <c r="O75" s="1" t="s">
        <v>77</v>
      </c>
      <c r="P75" s="19">
        <v>1</v>
      </c>
      <c r="Q75" s="19">
        <v>1</v>
      </c>
      <c r="R75" s="19">
        <v>1</v>
      </c>
      <c r="S75" s="19">
        <v>1</v>
      </c>
      <c r="T75" s="19">
        <v>1</v>
      </c>
      <c r="U75" s="19">
        <v>1</v>
      </c>
      <c r="V75" s="19">
        <v>1</v>
      </c>
      <c r="W75" s="19">
        <v>1</v>
      </c>
      <c r="X75" s="19">
        <v>1</v>
      </c>
      <c r="Y75" s="19">
        <v>1</v>
      </c>
      <c r="Z75" s="19">
        <v>1</v>
      </c>
      <c r="AA75" s="19">
        <v>1</v>
      </c>
      <c r="AB75" s="19">
        <v>1</v>
      </c>
      <c r="AC75" s="19">
        <v>1</v>
      </c>
      <c r="AD75" s="19">
        <v>1</v>
      </c>
      <c r="AE75" s="19">
        <v>1</v>
      </c>
      <c r="AF75" s="19">
        <v>1</v>
      </c>
      <c r="AG75" s="19">
        <v>1</v>
      </c>
      <c r="AH75" s="19">
        <v>1</v>
      </c>
      <c r="AI75" s="19">
        <v>1</v>
      </c>
      <c r="AJ75" s="19">
        <v>1</v>
      </c>
      <c r="AK75" s="19">
        <v>1</v>
      </c>
      <c r="AL75" s="19">
        <v>1</v>
      </c>
      <c r="AM75" s="19">
        <v>1</v>
      </c>
      <c r="AN75" s="19">
        <v>1</v>
      </c>
      <c r="AO75" s="19">
        <v>1</v>
      </c>
      <c r="AP75" s="19">
        <v>1</v>
      </c>
      <c r="AQ75" s="19">
        <v>1</v>
      </c>
      <c r="AR75" s="19">
        <v>1</v>
      </c>
      <c r="AS75" s="19">
        <v>1</v>
      </c>
      <c r="AT75" s="19">
        <v>1</v>
      </c>
      <c r="AU75" s="19">
        <v>1</v>
      </c>
      <c r="AV75" s="19">
        <v>1</v>
      </c>
      <c r="AW75" s="19">
        <v>1</v>
      </c>
      <c r="AX75" s="19">
        <v>1</v>
      </c>
      <c r="AY75" s="19">
        <v>1</v>
      </c>
      <c r="AZ75" s="19">
        <v>1</v>
      </c>
      <c r="BA75" s="19">
        <v>1</v>
      </c>
      <c r="BB75" s="19">
        <v>1</v>
      </c>
      <c r="BC75" s="19">
        <v>1</v>
      </c>
      <c r="BD75" s="19">
        <v>1</v>
      </c>
      <c r="BE75" s="19">
        <v>1</v>
      </c>
      <c r="BF75" s="19">
        <v>1</v>
      </c>
      <c r="BG75" s="19">
        <v>1</v>
      </c>
      <c r="BH75" s="19">
        <v>1</v>
      </c>
      <c r="BI75" s="19">
        <v>1</v>
      </c>
      <c r="BJ75" s="19">
        <v>1</v>
      </c>
      <c r="BK75" s="19">
        <v>1</v>
      </c>
      <c r="BL75" s="19">
        <v>1</v>
      </c>
      <c r="BM75" s="19">
        <v>1</v>
      </c>
      <c r="BN75" s="19">
        <v>1</v>
      </c>
      <c r="BO75" s="19">
        <v>1</v>
      </c>
    </row>
    <row r="76" spans="1:67" ht="21" customHeight="1">
      <c r="A76" s="34"/>
      <c r="B76" s="35"/>
      <c r="C76" s="35"/>
      <c r="D76" s="35" t="s">
        <v>35</v>
      </c>
      <c r="E76" s="33"/>
      <c r="F76" s="33"/>
      <c r="G76" s="33"/>
      <c r="H76" s="1" t="s">
        <v>36</v>
      </c>
      <c r="I76" s="1"/>
      <c r="J76" s="1"/>
      <c r="K76" s="1"/>
      <c r="L76" s="1"/>
      <c r="M76" s="1"/>
      <c r="N76" s="1"/>
      <c r="O76" s="1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19"/>
      <c r="BJ76" s="19"/>
      <c r="BK76" s="19"/>
      <c r="BL76" s="19"/>
      <c r="BM76" s="19"/>
      <c r="BN76" s="19"/>
      <c r="BO76" s="19"/>
    </row>
    <row r="77" spans="1:67" ht="21" customHeight="1">
      <c r="A77" s="34"/>
      <c r="B77" s="35"/>
      <c r="C77" s="35"/>
      <c r="D77" s="35" t="s">
        <v>35</v>
      </c>
      <c r="E77" s="33"/>
      <c r="F77" s="33" t="s">
        <v>117</v>
      </c>
      <c r="G77" s="33" t="s">
        <v>66</v>
      </c>
      <c r="H77" s="1" t="s">
        <v>33</v>
      </c>
      <c r="I77" s="1"/>
      <c r="J77" s="2"/>
      <c r="K77" s="1"/>
      <c r="L77" s="1"/>
      <c r="M77" s="1"/>
      <c r="N77" s="1"/>
      <c r="O77" s="1" t="s">
        <v>34</v>
      </c>
      <c r="P77" s="19">
        <v>1</v>
      </c>
      <c r="Q77" s="19">
        <v>1</v>
      </c>
      <c r="R77" s="19">
        <v>1</v>
      </c>
      <c r="S77" s="19">
        <v>1</v>
      </c>
      <c r="T77" s="19">
        <v>1</v>
      </c>
      <c r="U77" s="19">
        <v>1</v>
      </c>
      <c r="V77" s="19">
        <v>1</v>
      </c>
      <c r="W77" s="19">
        <v>1</v>
      </c>
      <c r="X77" s="19">
        <v>1</v>
      </c>
      <c r="Y77" s="19">
        <v>1</v>
      </c>
      <c r="Z77" s="19">
        <v>1</v>
      </c>
      <c r="AA77" s="19">
        <v>1</v>
      </c>
      <c r="AB77" s="19">
        <v>1</v>
      </c>
      <c r="AC77" s="19">
        <v>1</v>
      </c>
      <c r="AD77" s="19">
        <v>1</v>
      </c>
      <c r="AE77" s="19">
        <v>1</v>
      </c>
      <c r="AF77" s="19">
        <v>1</v>
      </c>
      <c r="AG77" s="19">
        <v>1</v>
      </c>
      <c r="AH77" s="19">
        <v>1</v>
      </c>
      <c r="AI77" s="19">
        <v>1</v>
      </c>
      <c r="AJ77" s="19">
        <v>1</v>
      </c>
      <c r="AK77" s="19">
        <v>1</v>
      </c>
      <c r="AL77" s="19">
        <v>1</v>
      </c>
      <c r="AM77" s="19">
        <v>1</v>
      </c>
      <c r="AN77" s="19">
        <v>1</v>
      </c>
      <c r="AO77" s="19">
        <v>1</v>
      </c>
      <c r="AP77" s="19">
        <v>1</v>
      </c>
      <c r="AQ77" s="19">
        <v>1</v>
      </c>
      <c r="AR77" s="19">
        <v>1</v>
      </c>
      <c r="AS77" s="19">
        <v>1</v>
      </c>
      <c r="AT77" s="19">
        <v>1</v>
      </c>
      <c r="AU77" s="19">
        <v>1</v>
      </c>
      <c r="AV77" s="19">
        <v>1</v>
      </c>
      <c r="AW77" s="19">
        <v>1</v>
      </c>
      <c r="AX77" s="19">
        <v>1</v>
      </c>
      <c r="AY77" s="19">
        <v>1</v>
      </c>
      <c r="AZ77" s="19">
        <v>1</v>
      </c>
      <c r="BA77" s="19">
        <v>1</v>
      </c>
      <c r="BB77" s="19">
        <v>1</v>
      </c>
      <c r="BC77" s="19">
        <v>1</v>
      </c>
      <c r="BD77" s="19">
        <v>1</v>
      </c>
      <c r="BE77" s="19">
        <v>1</v>
      </c>
      <c r="BF77" s="19">
        <v>1</v>
      </c>
      <c r="BG77" s="19">
        <v>1</v>
      </c>
      <c r="BH77" s="19">
        <v>1</v>
      </c>
      <c r="BI77" s="19">
        <v>1</v>
      </c>
      <c r="BJ77" s="19">
        <v>1</v>
      </c>
      <c r="BK77" s="19">
        <v>1</v>
      </c>
      <c r="BL77" s="19">
        <v>1</v>
      </c>
      <c r="BM77" s="19">
        <v>1</v>
      </c>
      <c r="BN77" s="19">
        <v>1</v>
      </c>
      <c r="BO77" s="19">
        <v>1</v>
      </c>
    </row>
    <row r="78" spans="1:67" ht="21" customHeight="1">
      <c r="A78" s="34"/>
      <c r="B78" s="35"/>
      <c r="C78" s="35"/>
      <c r="D78" s="35" t="s">
        <v>35</v>
      </c>
      <c r="E78" s="33"/>
      <c r="F78" s="33"/>
      <c r="G78" s="33"/>
      <c r="H78" s="1" t="s">
        <v>36</v>
      </c>
      <c r="I78" s="1"/>
      <c r="J78" s="1"/>
      <c r="K78" s="1"/>
      <c r="L78" s="1"/>
      <c r="M78" s="1"/>
      <c r="N78" s="1"/>
      <c r="O78" s="1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/>
      <c r="BG78" s="19"/>
      <c r="BH78" s="19"/>
      <c r="BI78" s="19"/>
      <c r="BJ78" s="19"/>
      <c r="BK78" s="19"/>
      <c r="BL78" s="19"/>
      <c r="BM78" s="19"/>
      <c r="BN78" s="19"/>
      <c r="BO78" s="19"/>
    </row>
    <row r="79" spans="1:67" ht="21" customHeight="1">
      <c r="A79" s="34"/>
      <c r="B79" s="35" t="s">
        <v>118</v>
      </c>
      <c r="C79" s="35" t="s">
        <v>119</v>
      </c>
      <c r="D79" s="35" t="s">
        <v>120</v>
      </c>
      <c r="E79" s="33" t="s">
        <v>55</v>
      </c>
      <c r="F79" s="33" t="s">
        <v>31</v>
      </c>
      <c r="G79" s="33" t="s">
        <v>56</v>
      </c>
      <c r="H79" s="1" t="s">
        <v>33</v>
      </c>
      <c r="I79" s="1"/>
      <c r="J79" s="2"/>
      <c r="K79" s="1"/>
      <c r="L79" s="1"/>
      <c r="M79" s="1"/>
      <c r="N79" s="1"/>
      <c r="O79" s="1" t="s">
        <v>34</v>
      </c>
      <c r="P79" s="19">
        <v>1</v>
      </c>
      <c r="Q79" s="19">
        <v>1</v>
      </c>
      <c r="R79" s="19">
        <v>1</v>
      </c>
      <c r="S79" s="19">
        <v>1</v>
      </c>
      <c r="T79" s="19">
        <v>1</v>
      </c>
      <c r="U79" s="19">
        <v>1</v>
      </c>
      <c r="V79" s="19">
        <v>1</v>
      </c>
      <c r="W79" s="19">
        <v>1</v>
      </c>
      <c r="X79" s="19">
        <v>1</v>
      </c>
      <c r="Y79" s="19">
        <v>1</v>
      </c>
      <c r="Z79" s="19">
        <v>1</v>
      </c>
      <c r="AA79" s="19">
        <v>1</v>
      </c>
      <c r="AB79" s="19">
        <v>1</v>
      </c>
      <c r="AC79" s="19">
        <v>1</v>
      </c>
      <c r="AD79" s="19">
        <v>1</v>
      </c>
      <c r="AE79" s="19">
        <v>1</v>
      </c>
      <c r="AF79" s="19">
        <v>1</v>
      </c>
      <c r="AG79" s="19">
        <v>1</v>
      </c>
      <c r="AH79" s="19">
        <v>1</v>
      </c>
      <c r="AI79" s="19">
        <v>1</v>
      </c>
      <c r="AJ79" s="19">
        <v>1</v>
      </c>
      <c r="AK79" s="19">
        <v>1</v>
      </c>
      <c r="AL79" s="19">
        <v>1</v>
      </c>
      <c r="AM79" s="19">
        <v>1</v>
      </c>
      <c r="AN79" s="19">
        <v>1</v>
      </c>
      <c r="AO79" s="19">
        <v>1</v>
      </c>
      <c r="AP79" s="19">
        <v>1</v>
      </c>
      <c r="AQ79" s="19">
        <v>1</v>
      </c>
      <c r="AR79" s="19">
        <v>1</v>
      </c>
      <c r="AS79" s="19">
        <v>1</v>
      </c>
      <c r="AT79" s="19">
        <v>1</v>
      </c>
      <c r="AU79" s="19">
        <v>1</v>
      </c>
      <c r="AV79" s="19">
        <v>1</v>
      </c>
      <c r="AW79" s="19">
        <v>1</v>
      </c>
      <c r="AX79" s="19">
        <v>1</v>
      </c>
      <c r="AY79" s="19">
        <v>1</v>
      </c>
      <c r="AZ79" s="19">
        <v>1</v>
      </c>
      <c r="BA79" s="19">
        <v>1</v>
      </c>
      <c r="BB79" s="19">
        <v>1</v>
      </c>
      <c r="BC79" s="19">
        <v>1</v>
      </c>
      <c r="BD79" s="19">
        <v>1</v>
      </c>
      <c r="BE79" s="19">
        <v>1</v>
      </c>
      <c r="BF79" s="19">
        <v>1</v>
      </c>
      <c r="BG79" s="19">
        <v>1</v>
      </c>
      <c r="BH79" s="19">
        <v>1</v>
      </c>
      <c r="BI79" s="19">
        <v>1</v>
      </c>
      <c r="BJ79" s="19">
        <v>1</v>
      </c>
      <c r="BK79" s="19">
        <v>1</v>
      </c>
      <c r="BL79" s="19">
        <v>1</v>
      </c>
      <c r="BM79" s="19">
        <v>1</v>
      </c>
      <c r="BN79" s="19">
        <v>1</v>
      </c>
      <c r="BO79" s="19">
        <v>1</v>
      </c>
    </row>
    <row r="80" spans="1:67" ht="21" customHeight="1">
      <c r="A80" s="34"/>
      <c r="B80" s="35"/>
      <c r="C80" s="35"/>
      <c r="D80" s="35" t="s">
        <v>35</v>
      </c>
      <c r="E80" s="33"/>
      <c r="F80" s="33"/>
      <c r="G80" s="33"/>
      <c r="H80" s="1" t="s">
        <v>36</v>
      </c>
      <c r="I80" s="1"/>
      <c r="J80" s="1"/>
      <c r="K80" s="1"/>
      <c r="L80" s="1"/>
      <c r="M80" s="1"/>
      <c r="N80" s="1"/>
      <c r="O80" s="1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/>
      <c r="BG80" s="19"/>
      <c r="BH80" s="19"/>
      <c r="BI80" s="19"/>
      <c r="BJ80" s="19"/>
      <c r="BK80" s="19"/>
      <c r="BL80" s="19"/>
      <c r="BM80" s="19"/>
      <c r="BN80" s="19"/>
      <c r="BO80" s="19"/>
    </row>
    <row r="81" spans="1:67" ht="21" customHeight="1">
      <c r="A81" s="34"/>
      <c r="B81" s="35"/>
      <c r="C81" s="35"/>
      <c r="D81" s="35" t="s">
        <v>35</v>
      </c>
      <c r="E81" s="33"/>
      <c r="F81" s="33" t="s">
        <v>57</v>
      </c>
      <c r="G81" s="33" t="s">
        <v>40</v>
      </c>
      <c r="H81" s="1" t="s">
        <v>33</v>
      </c>
      <c r="I81" s="1"/>
      <c r="J81" s="1"/>
      <c r="K81" s="1"/>
      <c r="L81" s="1"/>
      <c r="M81" s="1"/>
      <c r="N81" s="3"/>
      <c r="O81" s="1" t="s">
        <v>41</v>
      </c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/>
      <c r="BG81" s="19"/>
      <c r="BH81" s="19"/>
      <c r="BI81" s="19"/>
      <c r="BJ81" s="19">
        <v>5</v>
      </c>
      <c r="BK81" s="19"/>
      <c r="BL81" s="19"/>
      <c r="BM81" s="19"/>
      <c r="BN81" s="19"/>
      <c r="BO81" s="19"/>
    </row>
    <row r="82" spans="1:67" ht="21" customHeight="1">
      <c r="A82" s="34"/>
      <c r="B82" s="35"/>
      <c r="C82" s="35"/>
      <c r="D82" s="35" t="s">
        <v>35</v>
      </c>
      <c r="E82" s="33"/>
      <c r="F82" s="33"/>
      <c r="G82" s="33"/>
      <c r="H82" s="1" t="s">
        <v>36</v>
      </c>
      <c r="I82" s="1"/>
      <c r="J82" s="1"/>
      <c r="K82" s="1"/>
      <c r="L82" s="1"/>
      <c r="M82" s="1"/>
      <c r="N82" s="1"/>
      <c r="O82" s="1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/>
      <c r="BG82" s="19"/>
      <c r="BH82" s="19"/>
      <c r="BI82" s="19"/>
      <c r="BJ82" s="19"/>
      <c r="BK82" s="19"/>
      <c r="BL82" s="19"/>
      <c r="BM82" s="19"/>
      <c r="BN82" s="19"/>
      <c r="BO82" s="19"/>
    </row>
    <row r="83" spans="1:67" ht="21" customHeight="1">
      <c r="A83" s="34"/>
      <c r="B83" s="35"/>
      <c r="C83" s="35"/>
      <c r="D83" s="35" t="s">
        <v>35</v>
      </c>
      <c r="E83" s="33"/>
      <c r="F83" s="33" t="s">
        <v>121</v>
      </c>
      <c r="G83" s="33" t="s">
        <v>66</v>
      </c>
      <c r="H83" s="1" t="s">
        <v>33</v>
      </c>
      <c r="I83" s="1"/>
      <c r="J83" s="2"/>
      <c r="K83" s="1"/>
      <c r="L83" s="1"/>
      <c r="M83" s="1"/>
      <c r="N83" s="1"/>
      <c r="O83" s="1" t="s">
        <v>114</v>
      </c>
      <c r="P83" s="19">
        <v>1</v>
      </c>
      <c r="Q83" s="19">
        <v>1</v>
      </c>
      <c r="R83" s="19">
        <v>1</v>
      </c>
      <c r="S83" s="19">
        <v>1</v>
      </c>
      <c r="T83" s="19">
        <v>1</v>
      </c>
      <c r="U83" s="19">
        <v>1</v>
      </c>
      <c r="V83" s="19">
        <v>1</v>
      </c>
      <c r="W83" s="19">
        <v>1</v>
      </c>
      <c r="X83" s="19">
        <v>1</v>
      </c>
      <c r="Y83" s="19">
        <v>1</v>
      </c>
      <c r="Z83" s="19">
        <v>1</v>
      </c>
      <c r="AA83" s="19">
        <v>1</v>
      </c>
      <c r="AB83" s="19">
        <v>1</v>
      </c>
      <c r="AC83" s="19">
        <v>1</v>
      </c>
      <c r="AD83" s="19">
        <v>1</v>
      </c>
      <c r="AE83" s="19">
        <v>1</v>
      </c>
      <c r="AF83" s="19">
        <v>1</v>
      </c>
      <c r="AG83" s="19">
        <v>1</v>
      </c>
      <c r="AH83" s="19">
        <v>1</v>
      </c>
      <c r="AI83" s="19">
        <v>1</v>
      </c>
      <c r="AJ83" s="19">
        <v>1</v>
      </c>
      <c r="AK83" s="19">
        <v>1</v>
      </c>
      <c r="AL83" s="19">
        <v>1</v>
      </c>
      <c r="AM83" s="19">
        <v>1</v>
      </c>
      <c r="AN83" s="19">
        <v>1</v>
      </c>
      <c r="AO83" s="19">
        <v>1</v>
      </c>
      <c r="AP83" s="19">
        <v>1</v>
      </c>
      <c r="AQ83" s="19">
        <v>1</v>
      </c>
      <c r="AR83" s="19">
        <v>1</v>
      </c>
      <c r="AS83" s="19">
        <v>1</v>
      </c>
      <c r="AT83" s="19">
        <v>1</v>
      </c>
      <c r="AU83" s="19">
        <v>1</v>
      </c>
      <c r="AV83" s="19">
        <v>1</v>
      </c>
      <c r="AW83" s="19">
        <v>1</v>
      </c>
      <c r="AX83" s="19">
        <v>1</v>
      </c>
      <c r="AY83" s="19">
        <v>1</v>
      </c>
      <c r="AZ83" s="19">
        <v>1</v>
      </c>
      <c r="BA83" s="19">
        <v>1</v>
      </c>
      <c r="BB83" s="19">
        <v>1</v>
      </c>
      <c r="BC83" s="19">
        <v>1</v>
      </c>
      <c r="BD83" s="19">
        <v>1</v>
      </c>
      <c r="BE83" s="19">
        <v>1</v>
      </c>
      <c r="BF83" s="19">
        <v>1</v>
      </c>
      <c r="BG83" s="19">
        <v>1</v>
      </c>
      <c r="BH83" s="19">
        <v>1</v>
      </c>
      <c r="BI83" s="19">
        <v>1</v>
      </c>
      <c r="BJ83" s="19">
        <v>1</v>
      </c>
      <c r="BK83" s="19">
        <v>1</v>
      </c>
      <c r="BL83" s="19">
        <v>1</v>
      </c>
      <c r="BM83" s="19">
        <v>1</v>
      </c>
      <c r="BN83" s="19">
        <v>1</v>
      </c>
      <c r="BO83" s="19">
        <v>1</v>
      </c>
    </row>
    <row r="84" spans="1:67" ht="21" customHeight="1">
      <c r="A84" s="34"/>
      <c r="B84" s="35"/>
      <c r="C84" s="35"/>
      <c r="D84" s="35" t="s">
        <v>35</v>
      </c>
      <c r="E84" s="33"/>
      <c r="F84" s="33"/>
      <c r="G84" s="33"/>
      <c r="H84" s="1" t="s">
        <v>36</v>
      </c>
      <c r="I84" s="1"/>
      <c r="J84" s="1"/>
      <c r="K84" s="1"/>
      <c r="L84" s="1"/>
      <c r="M84" s="1"/>
      <c r="N84" s="1"/>
      <c r="O84" s="1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/>
      <c r="BG84" s="19"/>
      <c r="BH84" s="19"/>
      <c r="BI84" s="19"/>
      <c r="BJ84" s="19"/>
      <c r="BK84" s="19"/>
      <c r="BL84" s="19"/>
      <c r="BM84" s="19"/>
      <c r="BN84" s="19"/>
      <c r="BO84" s="19"/>
    </row>
    <row r="85" spans="1:67" ht="21" customHeight="1">
      <c r="A85" s="34"/>
      <c r="B85" s="35"/>
      <c r="C85" s="35"/>
      <c r="D85" s="35" t="s">
        <v>35</v>
      </c>
      <c r="E85" s="33"/>
      <c r="F85" s="33" t="s">
        <v>122</v>
      </c>
      <c r="G85" s="33" t="s">
        <v>66</v>
      </c>
      <c r="H85" s="1" t="s">
        <v>33</v>
      </c>
      <c r="I85" s="1"/>
      <c r="J85" s="2"/>
      <c r="K85" s="1"/>
      <c r="L85" s="1"/>
      <c r="M85" s="1"/>
      <c r="N85" s="1"/>
      <c r="O85" s="1" t="s">
        <v>50</v>
      </c>
      <c r="P85" s="19">
        <v>1</v>
      </c>
      <c r="Q85" s="19">
        <v>1</v>
      </c>
      <c r="R85" s="19">
        <v>1</v>
      </c>
      <c r="S85" s="19">
        <v>1</v>
      </c>
      <c r="T85" s="19">
        <v>1</v>
      </c>
      <c r="U85" s="19">
        <v>1</v>
      </c>
      <c r="V85" s="19">
        <v>1</v>
      </c>
      <c r="W85" s="19">
        <v>1</v>
      </c>
      <c r="X85" s="19">
        <v>1</v>
      </c>
      <c r="Y85" s="19">
        <v>1</v>
      </c>
      <c r="Z85" s="19">
        <v>1</v>
      </c>
      <c r="AA85" s="19">
        <v>1</v>
      </c>
      <c r="AB85" s="19">
        <v>1</v>
      </c>
      <c r="AC85" s="19">
        <v>1</v>
      </c>
      <c r="AD85" s="19">
        <v>1</v>
      </c>
      <c r="AE85" s="19">
        <v>1</v>
      </c>
      <c r="AF85" s="19">
        <v>1</v>
      </c>
      <c r="AG85" s="19">
        <v>1</v>
      </c>
      <c r="AH85" s="19">
        <v>1</v>
      </c>
      <c r="AI85" s="19">
        <v>1</v>
      </c>
      <c r="AJ85" s="19">
        <v>1</v>
      </c>
      <c r="AK85" s="19">
        <v>1</v>
      </c>
      <c r="AL85" s="19">
        <v>1</v>
      </c>
      <c r="AM85" s="19">
        <v>1</v>
      </c>
      <c r="AN85" s="19">
        <v>1</v>
      </c>
      <c r="AO85" s="19">
        <v>1</v>
      </c>
      <c r="AP85" s="19">
        <v>1</v>
      </c>
      <c r="AQ85" s="19">
        <v>1</v>
      </c>
      <c r="AR85" s="19">
        <v>1</v>
      </c>
      <c r="AS85" s="19">
        <v>1</v>
      </c>
      <c r="AT85" s="19">
        <v>1</v>
      </c>
      <c r="AU85" s="19">
        <v>1</v>
      </c>
      <c r="AV85" s="19">
        <v>1</v>
      </c>
      <c r="AW85" s="19">
        <v>1</v>
      </c>
      <c r="AX85" s="19">
        <v>1</v>
      </c>
      <c r="AY85" s="19">
        <v>1</v>
      </c>
      <c r="AZ85" s="19">
        <v>1</v>
      </c>
      <c r="BA85" s="19">
        <v>1</v>
      </c>
      <c r="BB85" s="19">
        <v>1</v>
      </c>
      <c r="BC85" s="19">
        <v>1</v>
      </c>
      <c r="BD85" s="19">
        <v>1</v>
      </c>
      <c r="BE85" s="19">
        <v>1</v>
      </c>
      <c r="BF85" s="19">
        <v>1</v>
      </c>
      <c r="BG85" s="19">
        <v>1</v>
      </c>
      <c r="BH85" s="19">
        <v>1</v>
      </c>
      <c r="BI85" s="19">
        <v>1</v>
      </c>
      <c r="BJ85" s="19">
        <v>1</v>
      </c>
      <c r="BK85" s="19">
        <v>1</v>
      </c>
      <c r="BL85" s="19">
        <v>1</v>
      </c>
      <c r="BM85" s="19">
        <v>1</v>
      </c>
      <c r="BN85" s="19">
        <v>1</v>
      </c>
      <c r="BO85" s="19">
        <v>1</v>
      </c>
    </row>
    <row r="86" spans="1:67" ht="21" customHeight="1">
      <c r="A86" s="34"/>
      <c r="B86" s="35"/>
      <c r="C86" s="35"/>
      <c r="D86" s="35" t="s">
        <v>35</v>
      </c>
      <c r="E86" s="33"/>
      <c r="F86" s="33"/>
      <c r="G86" s="33"/>
      <c r="H86" s="1" t="s">
        <v>36</v>
      </c>
      <c r="I86" s="1"/>
      <c r="J86" s="1"/>
      <c r="K86" s="1"/>
      <c r="L86" s="1"/>
      <c r="M86" s="1"/>
      <c r="N86" s="1"/>
      <c r="O86" s="1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/>
      <c r="BG86" s="19"/>
      <c r="BH86" s="19"/>
      <c r="BI86" s="19"/>
      <c r="BJ86" s="19"/>
      <c r="BK86" s="19"/>
      <c r="BL86" s="19"/>
      <c r="BM86" s="19"/>
      <c r="BN86" s="19"/>
      <c r="BO86" s="19"/>
    </row>
    <row r="87" spans="1:67" ht="21" customHeight="1">
      <c r="A87" s="34"/>
      <c r="B87" s="35"/>
      <c r="C87" s="35"/>
      <c r="D87" s="35" t="s">
        <v>35</v>
      </c>
      <c r="E87" s="33"/>
      <c r="F87" s="33" t="s">
        <v>123</v>
      </c>
      <c r="G87" s="33" t="s">
        <v>66</v>
      </c>
      <c r="H87" s="1" t="s">
        <v>33</v>
      </c>
      <c r="I87" s="1"/>
      <c r="J87" s="2"/>
      <c r="K87" s="1"/>
      <c r="L87" s="1"/>
      <c r="M87" s="1"/>
      <c r="N87" s="1"/>
      <c r="O87" s="1" t="s">
        <v>77</v>
      </c>
      <c r="P87" s="19">
        <v>1</v>
      </c>
      <c r="Q87" s="19">
        <v>1</v>
      </c>
      <c r="R87" s="19">
        <v>1</v>
      </c>
      <c r="S87" s="19">
        <v>1</v>
      </c>
      <c r="T87" s="19">
        <v>1</v>
      </c>
      <c r="U87" s="19">
        <v>1</v>
      </c>
      <c r="V87" s="19">
        <v>1</v>
      </c>
      <c r="W87" s="19">
        <v>1</v>
      </c>
      <c r="X87" s="19">
        <v>1</v>
      </c>
      <c r="Y87" s="19">
        <v>1</v>
      </c>
      <c r="Z87" s="19">
        <v>1</v>
      </c>
      <c r="AA87" s="19">
        <v>1</v>
      </c>
      <c r="AB87" s="19">
        <v>1</v>
      </c>
      <c r="AC87" s="19">
        <v>1</v>
      </c>
      <c r="AD87" s="19">
        <v>1</v>
      </c>
      <c r="AE87" s="19">
        <v>1</v>
      </c>
      <c r="AF87" s="19">
        <v>1</v>
      </c>
      <c r="AG87" s="19">
        <v>1</v>
      </c>
      <c r="AH87" s="19">
        <v>1</v>
      </c>
      <c r="AI87" s="19">
        <v>1</v>
      </c>
      <c r="AJ87" s="19">
        <v>1</v>
      </c>
      <c r="AK87" s="19">
        <v>1</v>
      </c>
      <c r="AL87" s="19">
        <v>1</v>
      </c>
      <c r="AM87" s="19">
        <v>1</v>
      </c>
      <c r="AN87" s="19">
        <v>1</v>
      </c>
      <c r="AO87" s="19">
        <v>1</v>
      </c>
      <c r="AP87" s="19">
        <v>1</v>
      </c>
      <c r="AQ87" s="19">
        <v>1</v>
      </c>
      <c r="AR87" s="19">
        <v>1</v>
      </c>
      <c r="AS87" s="19">
        <v>1</v>
      </c>
      <c r="AT87" s="19">
        <v>1</v>
      </c>
      <c r="AU87" s="19">
        <v>1</v>
      </c>
      <c r="AV87" s="19">
        <v>1</v>
      </c>
      <c r="AW87" s="19">
        <v>1</v>
      </c>
      <c r="AX87" s="19">
        <v>1</v>
      </c>
      <c r="AY87" s="19">
        <v>1</v>
      </c>
      <c r="AZ87" s="19">
        <v>1</v>
      </c>
      <c r="BA87" s="19">
        <v>1</v>
      </c>
      <c r="BB87" s="19">
        <v>1</v>
      </c>
      <c r="BC87" s="19">
        <v>1</v>
      </c>
      <c r="BD87" s="19">
        <v>1</v>
      </c>
      <c r="BE87" s="19">
        <v>1</v>
      </c>
      <c r="BF87" s="19">
        <v>1</v>
      </c>
      <c r="BG87" s="19">
        <v>1</v>
      </c>
      <c r="BH87" s="19">
        <v>1</v>
      </c>
      <c r="BI87" s="19">
        <v>1</v>
      </c>
      <c r="BJ87" s="19">
        <v>1</v>
      </c>
      <c r="BK87" s="19">
        <v>1</v>
      </c>
      <c r="BL87" s="19">
        <v>1</v>
      </c>
      <c r="BM87" s="19">
        <v>1</v>
      </c>
      <c r="BN87" s="19">
        <v>1</v>
      </c>
      <c r="BO87" s="19">
        <v>1</v>
      </c>
    </row>
    <row r="88" spans="1:67" ht="21" customHeight="1">
      <c r="A88" s="34"/>
      <c r="B88" s="35"/>
      <c r="C88" s="35"/>
      <c r="D88" s="35" t="s">
        <v>35</v>
      </c>
      <c r="E88" s="33"/>
      <c r="F88" s="33"/>
      <c r="G88" s="33"/>
      <c r="H88" s="1" t="s">
        <v>36</v>
      </c>
      <c r="I88" s="1"/>
      <c r="J88" s="1"/>
      <c r="K88" s="1"/>
      <c r="L88" s="1"/>
      <c r="M88" s="1"/>
      <c r="N88" s="1"/>
      <c r="O88" s="1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/>
      <c r="BG88" s="19"/>
      <c r="BH88" s="19"/>
      <c r="BI88" s="19"/>
      <c r="BJ88" s="19"/>
      <c r="BK88" s="19"/>
      <c r="BL88" s="19"/>
      <c r="BM88" s="19"/>
      <c r="BN88" s="19"/>
      <c r="BO88" s="19"/>
    </row>
    <row r="89" spans="1:67" ht="21" customHeight="1">
      <c r="A89" s="34"/>
      <c r="B89" s="35"/>
      <c r="C89" s="35"/>
      <c r="D89" s="35" t="s">
        <v>35</v>
      </c>
      <c r="E89" s="33"/>
      <c r="F89" s="33" t="s">
        <v>117</v>
      </c>
      <c r="G89" s="33" t="s">
        <v>66</v>
      </c>
      <c r="H89" s="1" t="s">
        <v>33</v>
      </c>
      <c r="I89" s="1"/>
      <c r="J89" s="2"/>
      <c r="K89" s="1"/>
      <c r="L89" s="1"/>
      <c r="M89" s="1"/>
      <c r="N89" s="1"/>
      <c r="O89" s="1" t="s">
        <v>34</v>
      </c>
      <c r="P89" s="19">
        <v>1</v>
      </c>
      <c r="Q89" s="19">
        <v>1</v>
      </c>
      <c r="R89" s="19">
        <v>1</v>
      </c>
      <c r="S89" s="19">
        <v>1</v>
      </c>
      <c r="T89" s="19">
        <v>1</v>
      </c>
      <c r="U89" s="19">
        <v>1</v>
      </c>
      <c r="V89" s="19">
        <v>1</v>
      </c>
      <c r="W89" s="19">
        <v>1</v>
      </c>
      <c r="X89" s="19">
        <v>1</v>
      </c>
      <c r="Y89" s="19">
        <v>1</v>
      </c>
      <c r="Z89" s="19">
        <v>1</v>
      </c>
      <c r="AA89" s="19">
        <v>1</v>
      </c>
      <c r="AB89" s="19">
        <v>1</v>
      </c>
      <c r="AC89" s="19">
        <v>1</v>
      </c>
      <c r="AD89" s="19">
        <v>1</v>
      </c>
      <c r="AE89" s="19">
        <v>1</v>
      </c>
      <c r="AF89" s="19">
        <v>1</v>
      </c>
      <c r="AG89" s="19">
        <v>1</v>
      </c>
      <c r="AH89" s="19">
        <v>1</v>
      </c>
      <c r="AI89" s="19">
        <v>1</v>
      </c>
      <c r="AJ89" s="19">
        <v>1</v>
      </c>
      <c r="AK89" s="19">
        <v>1</v>
      </c>
      <c r="AL89" s="19">
        <v>1</v>
      </c>
      <c r="AM89" s="19">
        <v>1</v>
      </c>
      <c r="AN89" s="19">
        <v>1</v>
      </c>
      <c r="AO89" s="19">
        <v>1</v>
      </c>
      <c r="AP89" s="19">
        <v>1</v>
      </c>
      <c r="AQ89" s="19">
        <v>1</v>
      </c>
      <c r="AR89" s="19">
        <v>1</v>
      </c>
      <c r="AS89" s="19">
        <v>1</v>
      </c>
      <c r="AT89" s="19">
        <v>1</v>
      </c>
      <c r="AU89" s="19">
        <v>1</v>
      </c>
      <c r="AV89" s="19">
        <v>1</v>
      </c>
      <c r="AW89" s="19">
        <v>1</v>
      </c>
      <c r="AX89" s="19">
        <v>1</v>
      </c>
      <c r="AY89" s="19">
        <v>1</v>
      </c>
      <c r="AZ89" s="19">
        <v>1</v>
      </c>
      <c r="BA89" s="19">
        <v>1</v>
      </c>
      <c r="BB89" s="19">
        <v>1</v>
      </c>
      <c r="BC89" s="19">
        <v>1</v>
      </c>
      <c r="BD89" s="19">
        <v>1</v>
      </c>
      <c r="BE89" s="19">
        <v>1</v>
      </c>
      <c r="BF89" s="19">
        <v>1</v>
      </c>
      <c r="BG89" s="19">
        <v>1</v>
      </c>
      <c r="BH89" s="19">
        <v>1</v>
      </c>
      <c r="BI89" s="19">
        <v>1</v>
      </c>
      <c r="BJ89" s="19">
        <v>1</v>
      </c>
      <c r="BK89" s="19">
        <v>1</v>
      </c>
      <c r="BL89" s="19">
        <v>1</v>
      </c>
      <c r="BM89" s="19">
        <v>1</v>
      </c>
      <c r="BN89" s="19">
        <v>1</v>
      </c>
      <c r="BO89" s="19">
        <v>1</v>
      </c>
    </row>
    <row r="90" spans="1:67" ht="21" customHeight="1">
      <c r="A90" s="34"/>
      <c r="B90" s="35"/>
      <c r="C90" s="35"/>
      <c r="D90" s="35" t="s">
        <v>35</v>
      </c>
      <c r="E90" s="33"/>
      <c r="F90" s="33"/>
      <c r="G90" s="33"/>
      <c r="H90" s="1" t="s">
        <v>36</v>
      </c>
      <c r="I90" s="1"/>
      <c r="J90" s="1"/>
      <c r="K90" s="1"/>
      <c r="L90" s="1"/>
      <c r="M90" s="1"/>
      <c r="N90" s="1"/>
      <c r="O90" s="1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/>
      <c r="BG90" s="19"/>
      <c r="BH90" s="19"/>
      <c r="BI90" s="19"/>
      <c r="BJ90" s="19"/>
      <c r="BK90" s="19"/>
      <c r="BL90" s="19"/>
      <c r="BM90" s="19"/>
      <c r="BN90" s="19"/>
      <c r="BO90" s="19"/>
    </row>
    <row r="91" spans="1:67" ht="21" customHeight="1">
      <c r="A91" s="34" t="s">
        <v>124</v>
      </c>
      <c r="B91" s="35" t="s">
        <v>125</v>
      </c>
      <c r="C91" s="35" t="s">
        <v>126</v>
      </c>
      <c r="D91" s="35" t="s">
        <v>127</v>
      </c>
      <c r="E91" s="33" t="s">
        <v>128</v>
      </c>
      <c r="F91" s="33" t="s">
        <v>31</v>
      </c>
      <c r="G91" s="33" t="s">
        <v>56</v>
      </c>
      <c r="H91" s="1" t="s">
        <v>33</v>
      </c>
      <c r="I91" s="1"/>
      <c r="J91" s="2"/>
      <c r="K91" s="1"/>
      <c r="L91" s="1"/>
      <c r="M91" s="1"/>
      <c r="N91" s="1"/>
      <c r="O91" s="1" t="s">
        <v>34</v>
      </c>
      <c r="P91" s="19">
        <v>1</v>
      </c>
      <c r="Q91" s="19">
        <v>1</v>
      </c>
      <c r="R91" s="19">
        <v>1</v>
      </c>
      <c r="S91" s="19">
        <v>1</v>
      </c>
      <c r="T91" s="19">
        <v>1</v>
      </c>
      <c r="U91" s="19">
        <v>1</v>
      </c>
      <c r="V91" s="19">
        <v>1</v>
      </c>
      <c r="W91" s="19">
        <v>1</v>
      </c>
      <c r="X91" s="19">
        <v>1</v>
      </c>
      <c r="Y91" s="19">
        <v>1</v>
      </c>
      <c r="Z91" s="19">
        <v>1</v>
      </c>
      <c r="AA91" s="19">
        <v>1</v>
      </c>
      <c r="AB91" s="19">
        <v>1</v>
      </c>
      <c r="AC91" s="19">
        <v>1</v>
      </c>
      <c r="AD91" s="19">
        <v>1</v>
      </c>
      <c r="AE91" s="19">
        <v>1</v>
      </c>
      <c r="AF91" s="19">
        <v>1</v>
      </c>
      <c r="AG91" s="19">
        <v>1</v>
      </c>
      <c r="AH91" s="19">
        <v>1</v>
      </c>
      <c r="AI91" s="19">
        <v>1</v>
      </c>
      <c r="AJ91" s="19">
        <v>1</v>
      </c>
      <c r="AK91" s="19">
        <v>1</v>
      </c>
      <c r="AL91" s="19">
        <v>1</v>
      </c>
      <c r="AM91" s="19">
        <v>1</v>
      </c>
      <c r="AN91" s="19">
        <v>1</v>
      </c>
      <c r="AO91" s="19">
        <v>1</v>
      </c>
      <c r="AP91" s="19">
        <v>1</v>
      </c>
      <c r="AQ91" s="19">
        <v>1</v>
      </c>
      <c r="AR91" s="19">
        <v>1</v>
      </c>
      <c r="AS91" s="19">
        <v>1</v>
      </c>
      <c r="AT91" s="19">
        <v>1</v>
      </c>
      <c r="AU91" s="19">
        <v>1</v>
      </c>
      <c r="AV91" s="19">
        <v>1</v>
      </c>
      <c r="AW91" s="19">
        <v>1</v>
      </c>
      <c r="AX91" s="19">
        <v>1</v>
      </c>
      <c r="AY91" s="19">
        <v>1</v>
      </c>
      <c r="AZ91" s="19">
        <v>1</v>
      </c>
      <c r="BA91" s="19">
        <v>1</v>
      </c>
      <c r="BB91" s="19">
        <v>1</v>
      </c>
      <c r="BC91" s="19">
        <v>1</v>
      </c>
      <c r="BD91" s="19">
        <v>1</v>
      </c>
      <c r="BE91" s="19">
        <v>1</v>
      </c>
      <c r="BF91" s="19">
        <v>1</v>
      </c>
      <c r="BG91" s="19">
        <v>1</v>
      </c>
      <c r="BH91" s="19">
        <v>1</v>
      </c>
      <c r="BI91" s="19">
        <v>1</v>
      </c>
      <c r="BJ91" s="19">
        <v>1</v>
      </c>
      <c r="BK91" s="19">
        <v>1</v>
      </c>
      <c r="BL91" s="19">
        <v>1</v>
      </c>
      <c r="BM91" s="19">
        <v>1</v>
      </c>
      <c r="BN91" s="19">
        <v>1</v>
      </c>
      <c r="BO91" s="19">
        <v>1</v>
      </c>
    </row>
    <row r="92" spans="1:67" ht="21" customHeight="1">
      <c r="A92" s="34"/>
      <c r="B92" s="35"/>
      <c r="C92" s="35"/>
      <c r="D92" s="35" t="s">
        <v>35</v>
      </c>
      <c r="E92" s="33"/>
      <c r="F92" s="33"/>
      <c r="G92" s="33"/>
      <c r="H92" s="1" t="s">
        <v>36</v>
      </c>
      <c r="I92" s="1"/>
      <c r="J92" s="1"/>
      <c r="K92" s="1"/>
      <c r="L92" s="1"/>
      <c r="M92" s="1"/>
      <c r="N92" s="1"/>
      <c r="O92" s="1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  <c r="AS92" s="19"/>
      <c r="AT92" s="19"/>
      <c r="AU92" s="19"/>
      <c r="AV92" s="19"/>
      <c r="AW92" s="19"/>
      <c r="AX92" s="19"/>
      <c r="AY92" s="19"/>
      <c r="AZ92" s="19"/>
      <c r="BA92" s="19"/>
      <c r="BB92" s="19"/>
      <c r="BC92" s="19"/>
      <c r="BD92" s="19"/>
      <c r="BE92" s="19"/>
      <c r="BF92" s="19"/>
      <c r="BG92" s="19"/>
      <c r="BH92" s="19"/>
      <c r="BI92" s="19"/>
      <c r="BJ92" s="19"/>
      <c r="BK92" s="19"/>
      <c r="BL92" s="19"/>
      <c r="BM92" s="19"/>
      <c r="BN92" s="19"/>
      <c r="BO92" s="19"/>
    </row>
    <row r="93" spans="1:67" ht="21" customHeight="1">
      <c r="A93" s="34"/>
      <c r="B93" s="35"/>
      <c r="C93" s="35"/>
      <c r="D93" s="35" t="s">
        <v>35</v>
      </c>
      <c r="E93" s="33"/>
      <c r="F93" s="33" t="s">
        <v>129</v>
      </c>
      <c r="G93" s="33" t="s">
        <v>130</v>
      </c>
      <c r="H93" s="1" t="s">
        <v>33</v>
      </c>
      <c r="I93" s="1"/>
      <c r="J93" s="1"/>
      <c r="K93" s="5"/>
      <c r="L93" s="1"/>
      <c r="M93" s="1"/>
      <c r="N93" s="1"/>
      <c r="O93" s="1" t="s">
        <v>61</v>
      </c>
      <c r="P93" s="19"/>
      <c r="Q93" s="19"/>
      <c r="R93" s="19">
        <v>2</v>
      </c>
      <c r="S93" s="19"/>
      <c r="T93" s="19"/>
      <c r="U93" s="19"/>
      <c r="V93" s="19"/>
      <c r="W93" s="19">
        <v>2</v>
      </c>
      <c r="X93" s="19"/>
      <c r="Y93" s="19"/>
      <c r="Z93" s="19"/>
      <c r="AA93" s="19">
        <v>2</v>
      </c>
      <c r="AB93" s="19"/>
      <c r="AC93" s="19"/>
      <c r="AD93" s="19"/>
      <c r="AE93" s="19">
        <v>2</v>
      </c>
      <c r="AF93" s="19"/>
      <c r="AG93" s="19"/>
      <c r="AH93" s="19"/>
      <c r="AI93" s="19">
        <v>2</v>
      </c>
      <c r="AJ93" s="19"/>
      <c r="AK93" s="19"/>
      <c r="AL93" s="19"/>
      <c r="AM93" s="19"/>
      <c r="AN93" s="19">
        <v>2</v>
      </c>
      <c r="AO93" s="19"/>
      <c r="AP93" s="19"/>
      <c r="AQ93" s="19"/>
      <c r="AR93" s="19">
        <v>2</v>
      </c>
      <c r="AS93" s="19"/>
      <c r="AT93" s="19"/>
      <c r="AU93" s="19"/>
      <c r="AV93" s="19"/>
      <c r="AW93" s="19">
        <v>2</v>
      </c>
      <c r="AX93" s="19"/>
      <c r="AY93" s="19"/>
      <c r="AZ93" s="19"/>
      <c r="BA93" s="19">
        <v>2</v>
      </c>
      <c r="BB93" s="19"/>
      <c r="BC93" s="19"/>
      <c r="BD93" s="19"/>
      <c r="BE93" s="19">
        <v>2</v>
      </c>
      <c r="BF93" s="19"/>
      <c r="BG93" s="19"/>
      <c r="BH93" s="19"/>
      <c r="BI93" s="19"/>
      <c r="BJ93" s="19">
        <v>2</v>
      </c>
      <c r="BK93" s="19"/>
      <c r="BL93" s="19"/>
      <c r="BM93" s="19"/>
      <c r="BN93" s="19">
        <v>2</v>
      </c>
      <c r="BO93" s="19"/>
    </row>
    <row r="94" spans="1:67" ht="21" customHeight="1">
      <c r="A94" s="34"/>
      <c r="B94" s="35"/>
      <c r="C94" s="35"/>
      <c r="D94" s="35" t="s">
        <v>35</v>
      </c>
      <c r="E94" s="33"/>
      <c r="F94" s="33"/>
      <c r="G94" s="33"/>
      <c r="H94" s="1" t="s">
        <v>36</v>
      </c>
      <c r="I94" s="1"/>
      <c r="J94" s="1"/>
      <c r="K94" s="1"/>
      <c r="L94" s="1"/>
      <c r="M94" s="1"/>
      <c r="N94" s="1"/>
      <c r="O94" s="1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R94" s="19"/>
      <c r="AS94" s="19"/>
      <c r="AT94" s="19"/>
      <c r="AU94" s="19"/>
      <c r="AV94" s="19"/>
      <c r="AW94" s="19"/>
      <c r="AX94" s="19"/>
      <c r="AY94" s="19"/>
      <c r="AZ94" s="19"/>
      <c r="BA94" s="19"/>
      <c r="BB94" s="19"/>
      <c r="BC94" s="19"/>
      <c r="BD94" s="19"/>
      <c r="BE94" s="19"/>
      <c r="BF94" s="19"/>
      <c r="BG94" s="19"/>
      <c r="BH94" s="19"/>
      <c r="BI94" s="19"/>
      <c r="BJ94" s="19"/>
      <c r="BK94" s="19"/>
      <c r="BL94" s="19"/>
      <c r="BM94" s="19"/>
      <c r="BN94" s="19"/>
      <c r="BO94" s="19"/>
    </row>
    <row r="95" spans="1:67" ht="21" customHeight="1">
      <c r="A95" s="34"/>
      <c r="B95" s="35"/>
      <c r="C95" s="35"/>
      <c r="D95" s="35"/>
      <c r="E95" s="33"/>
      <c r="F95" s="39" t="s">
        <v>129</v>
      </c>
      <c r="G95" s="39" t="s">
        <v>131</v>
      </c>
      <c r="H95" s="1" t="s">
        <v>33</v>
      </c>
      <c r="I95" s="1"/>
      <c r="J95" s="1"/>
      <c r="K95" s="1"/>
      <c r="L95" s="1"/>
      <c r="M95" s="1"/>
      <c r="N95" s="3"/>
      <c r="O95" s="1" t="s">
        <v>132</v>
      </c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  <c r="AS95" s="19"/>
      <c r="AT95" s="19"/>
      <c r="AU95" s="19"/>
      <c r="AV95" s="19"/>
      <c r="AW95" s="19"/>
      <c r="AX95" s="19"/>
      <c r="AY95" s="19"/>
      <c r="AZ95" s="19"/>
      <c r="BA95" s="19"/>
      <c r="BB95" s="19"/>
      <c r="BC95" s="19"/>
      <c r="BD95" s="19"/>
      <c r="BE95" s="19"/>
      <c r="BF95" s="19"/>
      <c r="BG95" s="19"/>
      <c r="BH95" s="19"/>
      <c r="BI95" s="19"/>
      <c r="BJ95" s="19">
        <v>5</v>
      </c>
      <c r="BK95" s="19"/>
      <c r="BL95" s="19"/>
      <c r="BM95" s="19"/>
      <c r="BN95" s="19"/>
      <c r="BO95" s="19"/>
    </row>
    <row r="96" spans="1:67" ht="21" customHeight="1">
      <c r="A96" s="34"/>
      <c r="B96" s="35"/>
      <c r="C96" s="35"/>
      <c r="D96" s="35"/>
      <c r="E96" s="33"/>
      <c r="F96" s="40"/>
      <c r="G96" s="40"/>
      <c r="H96" s="1" t="s">
        <v>36</v>
      </c>
      <c r="I96" s="1"/>
      <c r="J96" s="1"/>
      <c r="K96" s="1"/>
      <c r="L96" s="1"/>
      <c r="M96" s="1"/>
      <c r="N96" s="1"/>
      <c r="O96" s="1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19"/>
      <c r="AN96" s="19"/>
      <c r="AO96" s="19"/>
      <c r="AP96" s="19"/>
      <c r="AQ96" s="19"/>
      <c r="AR96" s="19"/>
      <c r="AS96" s="19"/>
      <c r="AT96" s="19"/>
      <c r="AU96" s="19"/>
      <c r="AV96" s="19"/>
      <c r="AW96" s="19"/>
      <c r="AX96" s="19"/>
      <c r="AY96" s="19"/>
      <c r="AZ96" s="19"/>
      <c r="BA96" s="19"/>
      <c r="BB96" s="19"/>
      <c r="BC96" s="19"/>
      <c r="BD96" s="19"/>
      <c r="BE96" s="19"/>
      <c r="BF96" s="19"/>
      <c r="BG96" s="19"/>
      <c r="BH96" s="19"/>
      <c r="BI96" s="19"/>
      <c r="BJ96" s="19"/>
      <c r="BK96" s="19"/>
      <c r="BL96" s="19"/>
      <c r="BM96" s="19"/>
      <c r="BN96" s="19"/>
      <c r="BO96" s="19"/>
    </row>
    <row r="97" spans="1:67" ht="21" customHeight="1">
      <c r="A97" s="34"/>
      <c r="B97" s="35"/>
      <c r="C97" s="35"/>
      <c r="D97" s="35" t="s">
        <v>35</v>
      </c>
      <c r="E97" s="33"/>
      <c r="F97" s="33" t="s">
        <v>57</v>
      </c>
      <c r="G97" s="33" t="s">
        <v>58</v>
      </c>
      <c r="H97" s="1" t="s">
        <v>33</v>
      </c>
      <c r="I97" s="1"/>
      <c r="J97" s="1"/>
      <c r="K97" s="1"/>
      <c r="L97" s="7"/>
      <c r="M97" s="1"/>
      <c r="N97" s="1"/>
      <c r="O97" s="13" t="s">
        <v>73</v>
      </c>
      <c r="P97" s="19"/>
      <c r="Q97" s="19"/>
      <c r="R97" s="19">
        <v>3</v>
      </c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>
        <v>3</v>
      </c>
      <c r="AF97" s="19"/>
      <c r="AG97" s="19"/>
      <c r="AH97" s="19"/>
      <c r="AI97" s="19"/>
      <c r="AJ97" s="19"/>
      <c r="AK97" s="19"/>
      <c r="AL97" s="19"/>
      <c r="AM97" s="19"/>
      <c r="AN97" s="19"/>
      <c r="AO97" s="19"/>
      <c r="AP97" s="19"/>
      <c r="AQ97" s="19"/>
      <c r="AR97" s="19">
        <v>3</v>
      </c>
      <c r="AS97" s="19"/>
      <c r="AT97" s="19"/>
      <c r="AU97" s="19"/>
      <c r="AV97" s="19"/>
      <c r="AW97" s="19"/>
      <c r="AX97" s="19"/>
      <c r="AY97" s="19"/>
      <c r="AZ97" s="19"/>
      <c r="BA97" s="19"/>
      <c r="BB97" s="19"/>
      <c r="BC97" s="19"/>
      <c r="BD97" s="19"/>
      <c r="BE97" s="19">
        <v>3</v>
      </c>
      <c r="BF97" s="19"/>
      <c r="BG97" s="19"/>
      <c r="BH97" s="19"/>
      <c r="BI97" s="19"/>
      <c r="BJ97" s="19"/>
      <c r="BK97" s="19"/>
      <c r="BL97" s="19"/>
      <c r="BM97" s="19"/>
      <c r="BN97" s="19"/>
      <c r="BO97" s="19"/>
    </row>
    <row r="98" spans="1:67" ht="21" customHeight="1">
      <c r="A98" s="34"/>
      <c r="B98" s="35"/>
      <c r="C98" s="35"/>
      <c r="D98" s="35" t="s">
        <v>35</v>
      </c>
      <c r="E98" s="33"/>
      <c r="F98" s="33"/>
      <c r="G98" s="33"/>
      <c r="H98" s="1" t="s">
        <v>36</v>
      </c>
      <c r="I98" s="1"/>
      <c r="J98" s="1"/>
      <c r="K98" s="1"/>
      <c r="L98" s="1"/>
      <c r="M98" s="1"/>
      <c r="N98" s="1"/>
      <c r="O98" s="13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N98" s="19"/>
      <c r="AO98" s="19"/>
      <c r="AP98" s="19"/>
      <c r="AQ98" s="19"/>
      <c r="AR98" s="19"/>
      <c r="AS98" s="19"/>
      <c r="AT98" s="19"/>
      <c r="AU98" s="19"/>
      <c r="AV98" s="19"/>
      <c r="AW98" s="19"/>
      <c r="AX98" s="19"/>
      <c r="AY98" s="19"/>
      <c r="AZ98" s="19"/>
      <c r="BA98" s="19"/>
      <c r="BB98" s="19"/>
      <c r="BC98" s="19"/>
      <c r="BD98" s="19"/>
      <c r="BE98" s="19"/>
      <c r="BF98" s="19"/>
      <c r="BG98" s="19"/>
      <c r="BH98" s="19"/>
      <c r="BI98" s="19"/>
      <c r="BJ98" s="19"/>
      <c r="BK98" s="19"/>
      <c r="BL98" s="19"/>
      <c r="BM98" s="19"/>
      <c r="BN98" s="19"/>
      <c r="BO98" s="19"/>
    </row>
    <row r="99" spans="1:67" ht="21" customHeight="1">
      <c r="A99" s="34"/>
      <c r="B99" s="35"/>
      <c r="C99" s="35"/>
      <c r="D99" s="35" t="s">
        <v>35</v>
      </c>
      <c r="E99" s="33"/>
      <c r="F99" s="33"/>
      <c r="G99" s="33" t="s">
        <v>40</v>
      </c>
      <c r="H99" s="1" t="s">
        <v>33</v>
      </c>
      <c r="I99" s="1"/>
      <c r="J99" s="1"/>
      <c r="K99" s="1"/>
      <c r="L99" s="1"/>
      <c r="M99" s="1"/>
      <c r="N99" s="3"/>
      <c r="O99" s="1" t="s">
        <v>41</v>
      </c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  <c r="AM99" s="19"/>
      <c r="AN99" s="19"/>
      <c r="AO99" s="19"/>
      <c r="AP99" s="19"/>
      <c r="AQ99" s="19"/>
      <c r="AR99" s="19"/>
      <c r="AS99" s="19"/>
      <c r="AT99" s="19"/>
      <c r="AU99" s="19"/>
      <c r="AV99" s="19"/>
      <c r="AW99" s="19"/>
      <c r="AX99" s="19"/>
      <c r="AY99" s="19"/>
      <c r="AZ99" s="19"/>
      <c r="BA99" s="19"/>
      <c r="BB99" s="19"/>
      <c r="BC99" s="19"/>
      <c r="BD99" s="19"/>
      <c r="BE99" s="19"/>
      <c r="BF99" s="19"/>
      <c r="BG99" s="19"/>
      <c r="BH99" s="19"/>
      <c r="BI99" s="19"/>
      <c r="BJ99" s="19">
        <v>5</v>
      </c>
      <c r="BK99" s="19"/>
      <c r="BL99" s="19"/>
      <c r="BM99" s="19"/>
      <c r="BN99" s="19"/>
      <c r="BO99" s="19"/>
    </row>
    <row r="100" spans="1:67" ht="21" customHeight="1">
      <c r="A100" s="34"/>
      <c r="B100" s="35"/>
      <c r="C100" s="35"/>
      <c r="D100" s="35" t="s">
        <v>35</v>
      </c>
      <c r="E100" s="33"/>
      <c r="F100" s="33"/>
      <c r="G100" s="33"/>
      <c r="H100" s="1" t="s">
        <v>36</v>
      </c>
      <c r="I100" s="1"/>
      <c r="J100" s="1"/>
      <c r="K100" s="1"/>
      <c r="L100" s="1"/>
      <c r="M100" s="1"/>
      <c r="N100" s="1"/>
      <c r="O100" s="1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  <c r="AO100" s="19"/>
      <c r="AP100" s="19"/>
      <c r="AQ100" s="19"/>
      <c r="AR100" s="19"/>
      <c r="AS100" s="19"/>
      <c r="AT100" s="19"/>
      <c r="AU100" s="19"/>
      <c r="AV100" s="19"/>
      <c r="AW100" s="19"/>
      <c r="AX100" s="19"/>
      <c r="AY100" s="19"/>
      <c r="AZ100" s="19"/>
      <c r="BA100" s="19"/>
      <c r="BB100" s="19"/>
      <c r="BC100" s="19"/>
      <c r="BD100" s="19"/>
      <c r="BE100" s="19"/>
      <c r="BF100" s="19"/>
      <c r="BG100" s="19"/>
      <c r="BH100" s="19"/>
      <c r="BI100" s="19"/>
      <c r="BJ100" s="19"/>
      <c r="BK100" s="19"/>
      <c r="BL100" s="19"/>
      <c r="BM100" s="19"/>
      <c r="BN100" s="19"/>
      <c r="BO100" s="19"/>
    </row>
    <row r="101" spans="1:67" ht="21" customHeight="1">
      <c r="A101" s="34"/>
      <c r="B101" s="35"/>
      <c r="C101" s="35"/>
      <c r="D101" s="35" t="s">
        <v>35</v>
      </c>
      <c r="E101" s="33"/>
      <c r="F101" s="33" t="s">
        <v>133</v>
      </c>
      <c r="G101" s="33" t="s">
        <v>134</v>
      </c>
      <c r="H101" s="1" t="s">
        <v>33</v>
      </c>
      <c r="I101" s="1"/>
      <c r="J101" s="1"/>
      <c r="K101" s="1"/>
      <c r="L101" s="1"/>
      <c r="M101" s="1"/>
      <c r="N101" s="1"/>
      <c r="O101" s="1" t="s">
        <v>135</v>
      </c>
      <c r="P101" s="19"/>
      <c r="Q101" s="19"/>
      <c r="R101" s="19">
        <v>2</v>
      </c>
      <c r="S101" s="19"/>
      <c r="T101" s="19"/>
      <c r="U101" s="19"/>
      <c r="V101" s="19"/>
      <c r="W101" s="19">
        <v>2</v>
      </c>
      <c r="X101" s="19"/>
      <c r="Y101" s="19"/>
      <c r="Z101" s="19"/>
      <c r="AA101" s="19">
        <v>2</v>
      </c>
      <c r="AB101" s="19"/>
      <c r="AC101" s="19"/>
      <c r="AD101" s="19"/>
      <c r="AE101" s="19">
        <v>2</v>
      </c>
      <c r="AF101" s="19"/>
      <c r="AG101" s="19"/>
      <c r="AH101" s="19"/>
      <c r="AI101" s="19">
        <v>2</v>
      </c>
      <c r="AJ101" s="19"/>
      <c r="AK101" s="19"/>
      <c r="AL101" s="19"/>
      <c r="AM101" s="19"/>
      <c r="AN101" s="19">
        <v>2</v>
      </c>
      <c r="AO101" s="19"/>
      <c r="AP101" s="19"/>
      <c r="AQ101" s="19"/>
      <c r="AR101" s="19">
        <v>2</v>
      </c>
      <c r="AS101" s="19"/>
      <c r="AT101" s="19"/>
      <c r="AU101" s="19"/>
      <c r="AV101" s="19"/>
      <c r="AW101" s="19">
        <v>2</v>
      </c>
      <c r="AX101" s="19"/>
      <c r="AY101" s="19"/>
      <c r="AZ101" s="19"/>
      <c r="BA101" s="19">
        <v>2</v>
      </c>
      <c r="BB101" s="19"/>
      <c r="BC101" s="19"/>
      <c r="BD101" s="19"/>
      <c r="BE101" s="19">
        <v>2</v>
      </c>
      <c r="BF101" s="19"/>
      <c r="BG101" s="19"/>
      <c r="BH101" s="19"/>
      <c r="BI101" s="19"/>
      <c r="BJ101" s="19">
        <v>2</v>
      </c>
      <c r="BK101" s="19"/>
      <c r="BL101" s="19"/>
      <c r="BM101" s="19"/>
      <c r="BN101" s="19">
        <v>2</v>
      </c>
      <c r="BO101" s="19"/>
    </row>
    <row r="102" spans="1:67" ht="21" customHeight="1">
      <c r="A102" s="34"/>
      <c r="B102" s="35"/>
      <c r="C102" s="35"/>
      <c r="D102" s="35" t="s">
        <v>35</v>
      </c>
      <c r="E102" s="33"/>
      <c r="F102" s="33"/>
      <c r="G102" s="33"/>
      <c r="H102" s="1" t="s">
        <v>36</v>
      </c>
      <c r="I102" s="1"/>
      <c r="J102" s="1"/>
      <c r="K102" s="1"/>
      <c r="L102" s="1"/>
      <c r="M102" s="1"/>
      <c r="N102" s="1"/>
      <c r="O102" s="1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  <c r="AS102" s="19"/>
      <c r="AT102" s="19"/>
      <c r="AU102" s="19"/>
      <c r="AV102" s="19"/>
      <c r="AW102" s="19"/>
      <c r="AX102" s="19"/>
      <c r="AY102" s="19"/>
      <c r="AZ102" s="19"/>
      <c r="BA102" s="19"/>
      <c r="BB102" s="19"/>
      <c r="BC102" s="19"/>
      <c r="BD102" s="19"/>
      <c r="BE102" s="19"/>
      <c r="BF102" s="19"/>
      <c r="BG102" s="19"/>
      <c r="BH102" s="19"/>
      <c r="BI102" s="19"/>
      <c r="BJ102" s="19"/>
      <c r="BK102" s="19"/>
      <c r="BL102" s="19"/>
      <c r="BM102" s="19"/>
      <c r="BN102" s="19"/>
      <c r="BO102" s="19"/>
    </row>
    <row r="103" spans="1:67" ht="21" customHeight="1">
      <c r="A103" s="34"/>
      <c r="B103" s="35"/>
      <c r="C103" s="35"/>
      <c r="D103" s="35" t="s">
        <v>35</v>
      </c>
      <c r="E103" s="33"/>
      <c r="F103" s="33" t="s">
        <v>136</v>
      </c>
      <c r="G103" s="33" t="s">
        <v>137</v>
      </c>
      <c r="H103" s="1" t="s">
        <v>33</v>
      </c>
      <c r="I103" s="1"/>
      <c r="J103" s="1"/>
      <c r="K103" s="5"/>
      <c r="L103" s="1"/>
      <c r="M103" s="1"/>
      <c r="N103" s="1"/>
      <c r="O103" s="1" t="s">
        <v>61</v>
      </c>
      <c r="P103" s="19"/>
      <c r="Q103" s="19"/>
      <c r="R103" s="19">
        <v>2</v>
      </c>
      <c r="S103" s="19"/>
      <c r="T103" s="19"/>
      <c r="U103" s="19"/>
      <c r="V103" s="19"/>
      <c r="W103" s="19">
        <v>2</v>
      </c>
      <c r="X103" s="19"/>
      <c r="Y103" s="19"/>
      <c r="Z103" s="19"/>
      <c r="AA103" s="19">
        <v>2</v>
      </c>
      <c r="AB103" s="19"/>
      <c r="AC103" s="19"/>
      <c r="AD103" s="19"/>
      <c r="AE103" s="19">
        <v>2</v>
      </c>
      <c r="AF103" s="19"/>
      <c r="AG103" s="19"/>
      <c r="AH103" s="19"/>
      <c r="AI103" s="19">
        <v>2</v>
      </c>
      <c r="AJ103" s="19"/>
      <c r="AK103" s="19"/>
      <c r="AL103" s="19"/>
      <c r="AM103" s="19"/>
      <c r="AN103" s="19">
        <v>2</v>
      </c>
      <c r="AO103" s="19"/>
      <c r="AP103" s="19"/>
      <c r="AQ103" s="19"/>
      <c r="AR103" s="19">
        <v>2</v>
      </c>
      <c r="AS103" s="19"/>
      <c r="AT103" s="19"/>
      <c r="AU103" s="19"/>
      <c r="AV103" s="19"/>
      <c r="AW103" s="19">
        <v>2</v>
      </c>
      <c r="AX103" s="19"/>
      <c r="AY103" s="19"/>
      <c r="AZ103" s="19"/>
      <c r="BA103" s="19">
        <v>2</v>
      </c>
      <c r="BB103" s="19"/>
      <c r="BC103" s="19"/>
      <c r="BD103" s="19"/>
      <c r="BE103" s="19">
        <v>2</v>
      </c>
      <c r="BF103" s="19"/>
      <c r="BG103" s="19"/>
      <c r="BH103" s="19"/>
      <c r="BI103" s="19"/>
      <c r="BJ103" s="19">
        <v>2</v>
      </c>
      <c r="BK103" s="19"/>
      <c r="BL103" s="19"/>
      <c r="BM103" s="19"/>
      <c r="BN103" s="19">
        <v>2</v>
      </c>
      <c r="BO103" s="19"/>
    </row>
    <row r="104" spans="1:67" ht="21" customHeight="1">
      <c r="A104" s="34"/>
      <c r="B104" s="35"/>
      <c r="C104" s="35"/>
      <c r="D104" s="35" t="s">
        <v>35</v>
      </c>
      <c r="E104" s="33"/>
      <c r="F104" s="33"/>
      <c r="G104" s="33"/>
      <c r="H104" s="1" t="s">
        <v>36</v>
      </c>
      <c r="I104" s="1"/>
      <c r="J104" s="1"/>
      <c r="K104" s="1"/>
      <c r="L104" s="1"/>
      <c r="M104" s="1"/>
      <c r="N104" s="1"/>
      <c r="O104" s="1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/>
      <c r="AR104" s="19"/>
      <c r="AS104" s="19"/>
      <c r="AT104" s="19"/>
      <c r="AU104" s="19"/>
      <c r="AV104" s="19"/>
      <c r="AW104" s="19"/>
      <c r="AX104" s="19"/>
      <c r="AY104" s="19"/>
      <c r="AZ104" s="19"/>
      <c r="BA104" s="19"/>
      <c r="BB104" s="19"/>
      <c r="BC104" s="19"/>
      <c r="BD104" s="19"/>
      <c r="BE104" s="19"/>
      <c r="BF104" s="19"/>
      <c r="BG104" s="19"/>
      <c r="BH104" s="19"/>
      <c r="BI104" s="19"/>
      <c r="BJ104" s="19"/>
      <c r="BK104" s="19"/>
      <c r="BL104" s="19"/>
      <c r="BM104" s="19"/>
      <c r="BN104" s="19"/>
      <c r="BO104" s="19"/>
    </row>
    <row r="105" spans="1:67" ht="21" customHeight="1">
      <c r="A105" s="34"/>
      <c r="B105" s="35"/>
      <c r="C105" s="35"/>
      <c r="D105" s="35" t="s">
        <v>35</v>
      </c>
      <c r="E105" s="33"/>
      <c r="F105" s="33" t="s">
        <v>138</v>
      </c>
      <c r="G105" s="33" t="s">
        <v>139</v>
      </c>
      <c r="H105" s="1" t="s">
        <v>33</v>
      </c>
      <c r="I105" s="1"/>
      <c r="J105" s="1"/>
      <c r="K105" s="5"/>
      <c r="L105" s="1"/>
      <c r="M105" s="1"/>
      <c r="N105" s="1"/>
      <c r="O105" s="1" t="s">
        <v>61</v>
      </c>
      <c r="P105" s="19"/>
      <c r="Q105" s="19"/>
      <c r="R105" s="19">
        <v>2</v>
      </c>
      <c r="S105" s="19"/>
      <c r="T105" s="19"/>
      <c r="U105" s="19"/>
      <c r="V105" s="19"/>
      <c r="W105" s="19">
        <v>2</v>
      </c>
      <c r="X105" s="19"/>
      <c r="Y105" s="19"/>
      <c r="Z105" s="19"/>
      <c r="AA105" s="19">
        <v>2</v>
      </c>
      <c r="AB105" s="19"/>
      <c r="AC105" s="19"/>
      <c r="AD105" s="19"/>
      <c r="AE105" s="19">
        <v>2</v>
      </c>
      <c r="AF105" s="19"/>
      <c r="AG105" s="19"/>
      <c r="AH105" s="19"/>
      <c r="AI105" s="19">
        <v>2</v>
      </c>
      <c r="AJ105" s="19"/>
      <c r="AK105" s="19"/>
      <c r="AL105" s="19"/>
      <c r="AM105" s="19"/>
      <c r="AN105" s="19">
        <v>2</v>
      </c>
      <c r="AO105" s="19"/>
      <c r="AP105" s="19"/>
      <c r="AQ105" s="19"/>
      <c r="AR105" s="19">
        <v>2</v>
      </c>
      <c r="AS105" s="19"/>
      <c r="AT105" s="19"/>
      <c r="AU105" s="19"/>
      <c r="AV105" s="19"/>
      <c r="AW105" s="19">
        <v>2</v>
      </c>
      <c r="AX105" s="19"/>
      <c r="AY105" s="19"/>
      <c r="AZ105" s="19"/>
      <c r="BA105" s="19">
        <v>2</v>
      </c>
      <c r="BB105" s="19"/>
      <c r="BC105" s="19"/>
      <c r="BD105" s="19"/>
      <c r="BE105" s="19">
        <v>2</v>
      </c>
      <c r="BF105" s="19"/>
      <c r="BG105" s="19"/>
      <c r="BH105" s="19"/>
      <c r="BI105" s="19"/>
      <c r="BJ105" s="19">
        <v>2</v>
      </c>
      <c r="BK105" s="19"/>
      <c r="BL105" s="19"/>
      <c r="BM105" s="19"/>
      <c r="BN105" s="19">
        <v>2</v>
      </c>
      <c r="BO105" s="19"/>
    </row>
    <row r="106" spans="1:67" ht="21" customHeight="1">
      <c r="A106" s="34"/>
      <c r="B106" s="35"/>
      <c r="C106" s="35"/>
      <c r="D106" s="35" t="s">
        <v>35</v>
      </c>
      <c r="E106" s="33"/>
      <c r="F106" s="33"/>
      <c r="G106" s="33"/>
      <c r="H106" s="1" t="s">
        <v>36</v>
      </c>
      <c r="I106" s="1"/>
      <c r="J106" s="1"/>
      <c r="K106" s="1"/>
      <c r="L106" s="1"/>
      <c r="M106" s="1"/>
      <c r="N106" s="1"/>
      <c r="O106" s="1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  <c r="AO106" s="19"/>
      <c r="AP106" s="19"/>
      <c r="AQ106" s="19"/>
      <c r="AR106" s="19"/>
      <c r="AS106" s="19"/>
      <c r="AT106" s="19"/>
      <c r="AU106" s="19"/>
      <c r="AV106" s="19"/>
      <c r="AW106" s="19"/>
      <c r="AX106" s="19"/>
      <c r="AY106" s="19"/>
      <c r="AZ106" s="19"/>
      <c r="BA106" s="19"/>
      <c r="BB106" s="19"/>
      <c r="BC106" s="19"/>
      <c r="BD106" s="19"/>
      <c r="BE106" s="19"/>
      <c r="BF106" s="19"/>
      <c r="BG106" s="19"/>
      <c r="BH106" s="19"/>
      <c r="BI106" s="19"/>
      <c r="BJ106" s="19"/>
      <c r="BK106" s="19"/>
      <c r="BL106" s="19"/>
      <c r="BM106" s="19"/>
      <c r="BN106" s="19"/>
      <c r="BO106" s="19"/>
    </row>
    <row r="107" spans="1:67" ht="21" customHeight="1">
      <c r="A107" s="34"/>
      <c r="B107" s="35"/>
      <c r="C107" s="35"/>
      <c r="D107" s="35" t="s">
        <v>35</v>
      </c>
      <c r="E107" s="33"/>
      <c r="F107" s="33" t="s">
        <v>140</v>
      </c>
      <c r="G107" s="33" t="s">
        <v>141</v>
      </c>
      <c r="H107" s="1" t="s">
        <v>33</v>
      </c>
      <c r="I107" s="1"/>
      <c r="J107" s="2"/>
      <c r="K107" s="1"/>
      <c r="L107" s="1"/>
      <c r="M107" s="1"/>
      <c r="N107" s="1"/>
      <c r="O107" s="1" t="s">
        <v>34</v>
      </c>
      <c r="P107" s="19">
        <v>1</v>
      </c>
      <c r="Q107" s="19">
        <v>1</v>
      </c>
      <c r="R107" s="19">
        <v>1</v>
      </c>
      <c r="S107" s="19">
        <v>1</v>
      </c>
      <c r="T107" s="19">
        <v>1</v>
      </c>
      <c r="U107" s="19">
        <v>1</v>
      </c>
      <c r="V107" s="19">
        <v>1</v>
      </c>
      <c r="W107" s="19">
        <v>1</v>
      </c>
      <c r="X107" s="19">
        <v>1</v>
      </c>
      <c r="Y107" s="19">
        <v>1</v>
      </c>
      <c r="Z107" s="19">
        <v>1</v>
      </c>
      <c r="AA107" s="19">
        <v>1</v>
      </c>
      <c r="AB107" s="19">
        <v>1</v>
      </c>
      <c r="AC107" s="19">
        <v>1</v>
      </c>
      <c r="AD107" s="19">
        <v>1</v>
      </c>
      <c r="AE107" s="19">
        <v>1</v>
      </c>
      <c r="AF107" s="19">
        <v>1</v>
      </c>
      <c r="AG107" s="19">
        <v>1</v>
      </c>
      <c r="AH107" s="19">
        <v>1</v>
      </c>
      <c r="AI107" s="19">
        <v>1</v>
      </c>
      <c r="AJ107" s="19">
        <v>1</v>
      </c>
      <c r="AK107" s="19">
        <v>1</v>
      </c>
      <c r="AL107" s="19">
        <v>1</v>
      </c>
      <c r="AM107" s="19">
        <v>1</v>
      </c>
      <c r="AN107" s="19">
        <v>1</v>
      </c>
      <c r="AO107" s="19">
        <v>1</v>
      </c>
      <c r="AP107" s="19">
        <v>1</v>
      </c>
      <c r="AQ107" s="19">
        <v>1</v>
      </c>
      <c r="AR107" s="19">
        <v>1</v>
      </c>
      <c r="AS107" s="19">
        <v>1</v>
      </c>
      <c r="AT107" s="19">
        <v>1</v>
      </c>
      <c r="AU107" s="19">
        <v>1</v>
      </c>
      <c r="AV107" s="19">
        <v>1</v>
      </c>
      <c r="AW107" s="19">
        <v>1</v>
      </c>
      <c r="AX107" s="19">
        <v>1</v>
      </c>
      <c r="AY107" s="19">
        <v>1</v>
      </c>
      <c r="AZ107" s="19">
        <v>1</v>
      </c>
      <c r="BA107" s="19">
        <v>1</v>
      </c>
      <c r="BB107" s="19">
        <v>1</v>
      </c>
      <c r="BC107" s="19">
        <v>1</v>
      </c>
      <c r="BD107" s="19">
        <v>1</v>
      </c>
      <c r="BE107" s="19">
        <v>1</v>
      </c>
      <c r="BF107" s="19">
        <v>1</v>
      </c>
      <c r="BG107" s="19">
        <v>1</v>
      </c>
      <c r="BH107" s="19">
        <v>1</v>
      </c>
      <c r="BI107" s="19">
        <v>1</v>
      </c>
      <c r="BJ107" s="19">
        <v>1</v>
      </c>
      <c r="BK107" s="19">
        <v>1</v>
      </c>
      <c r="BL107" s="19">
        <v>1</v>
      </c>
      <c r="BM107" s="19">
        <v>1</v>
      </c>
      <c r="BN107" s="19">
        <v>1</v>
      </c>
      <c r="BO107" s="19">
        <v>1</v>
      </c>
    </row>
    <row r="108" spans="1:67" ht="21" customHeight="1">
      <c r="A108" s="34"/>
      <c r="B108" s="35"/>
      <c r="C108" s="35"/>
      <c r="D108" s="35" t="s">
        <v>35</v>
      </c>
      <c r="E108" s="33"/>
      <c r="F108" s="33"/>
      <c r="G108" s="33"/>
      <c r="H108" s="1" t="s">
        <v>36</v>
      </c>
      <c r="I108" s="1"/>
      <c r="J108" s="1"/>
      <c r="K108" s="1"/>
      <c r="L108" s="1"/>
      <c r="M108" s="1"/>
      <c r="N108" s="1"/>
      <c r="O108" s="1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  <c r="AX108" s="19"/>
      <c r="AY108" s="19"/>
      <c r="AZ108" s="19"/>
      <c r="BA108" s="19"/>
      <c r="BB108" s="19"/>
      <c r="BC108" s="19"/>
      <c r="BD108" s="19"/>
      <c r="BE108" s="19"/>
      <c r="BF108" s="19"/>
      <c r="BG108" s="19"/>
      <c r="BH108" s="19"/>
      <c r="BI108" s="19"/>
      <c r="BJ108" s="19"/>
      <c r="BK108" s="19"/>
      <c r="BL108" s="19"/>
      <c r="BM108" s="19"/>
      <c r="BN108" s="19"/>
      <c r="BO108" s="19"/>
    </row>
    <row r="109" spans="1:67" ht="21" customHeight="1">
      <c r="A109" s="34"/>
      <c r="B109" s="35"/>
      <c r="C109" s="35"/>
      <c r="D109" s="35" t="s">
        <v>35</v>
      </c>
      <c r="E109" s="33"/>
      <c r="F109" s="33" t="s">
        <v>142</v>
      </c>
      <c r="G109" s="33" t="s">
        <v>143</v>
      </c>
      <c r="H109" s="1" t="s">
        <v>33</v>
      </c>
      <c r="I109" s="1"/>
      <c r="J109" s="2"/>
      <c r="K109" s="1"/>
      <c r="L109" s="1"/>
      <c r="M109" s="1"/>
      <c r="N109" s="1"/>
      <c r="O109" s="1" t="s">
        <v>34</v>
      </c>
      <c r="P109" s="19">
        <v>1</v>
      </c>
      <c r="Q109" s="19">
        <v>1</v>
      </c>
      <c r="R109" s="19">
        <v>1</v>
      </c>
      <c r="S109" s="19">
        <v>1</v>
      </c>
      <c r="T109" s="19">
        <v>1</v>
      </c>
      <c r="U109" s="19">
        <v>1</v>
      </c>
      <c r="V109" s="19">
        <v>1</v>
      </c>
      <c r="W109" s="19">
        <v>1</v>
      </c>
      <c r="X109" s="19">
        <v>1</v>
      </c>
      <c r="Y109" s="19">
        <v>1</v>
      </c>
      <c r="Z109" s="19">
        <v>1</v>
      </c>
      <c r="AA109" s="19">
        <v>1</v>
      </c>
      <c r="AB109" s="19">
        <v>1</v>
      </c>
      <c r="AC109" s="19">
        <v>1</v>
      </c>
      <c r="AD109" s="19">
        <v>1</v>
      </c>
      <c r="AE109" s="19">
        <v>1</v>
      </c>
      <c r="AF109" s="19">
        <v>1</v>
      </c>
      <c r="AG109" s="19">
        <v>1</v>
      </c>
      <c r="AH109" s="19">
        <v>1</v>
      </c>
      <c r="AI109" s="19">
        <v>1</v>
      </c>
      <c r="AJ109" s="19">
        <v>1</v>
      </c>
      <c r="AK109" s="19">
        <v>1</v>
      </c>
      <c r="AL109" s="19">
        <v>1</v>
      </c>
      <c r="AM109" s="19">
        <v>1</v>
      </c>
      <c r="AN109" s="19">
        <v>1</v>
      </c>
      <c r="AO109" s="19">
        <v>1</v>
      </c>
      <c r="AP109" s="19">
        <v>1</v>
      </c>
      <c r="AQ109" s="19">
        <v>1</v>
      </c>
      <c r="AR109" s="19">
        <v>1</v>
      </c>
      <c r="AS109" s="19">
        <v>1</v>
      </c>
      <c r="AT109" s="19">
        <v>1</v>
      </c>
      <c r="AU109" s="19">
        <v>1</v>
      </c>
      <c r="AV109" s="19">
        <v>1</v>
      </c>
      <c r="AW109" s="19">
        <v>1</v>
      </c>
      <c r="AX109" s="19">
        <v>1</v>
      </c>
      <c r="AY109" s="19">
        <v>1</v>
      </c>
      <c r="AZ109" s="19">
        <v>1</v>
      </c>
      <c r="BA109" s="19">
        <v>1</v>
      </c>
      <c r="BB109" s="19">
        <v>1</v>
      </c>
      <c r="BC109" s="19">
        <v>1</v>
      </c>
      <c r="BD109" s="19">
        <v>1</v>
      </c>
      <c r="BE109" s="19">
        <v>1</v>
      </c>
      <c r="BF109" s="19">
        <v>1</v>
      </c>
      <c r="BG109" s="19">
        <v>1</v>
      </c>
      <c r="BH109" s="19">
        <v>1</v>
      </c>
      <c r="BI109" s="19">
        <v>1</v>
      </c>
      <c r="BJ109" s="19">
        <v>1</v>
      </c>
      <c r="BK109" s="19">
        <v>1</v>
      </c>
      <c r="BL109" s="19">
        <v>1</v>
      </c>
      <c r="BM109" s="19">
        <v>1</v>
      </c>
      <c r="BN109" s="19">
        <v>1</v>
      </c>
      <c r="BO109" s="19">
        <v>1</v>
      </c>
    </row>
    <row r="110" spans="1:67" ht="21" customHeight="1">
      <c r="A110" s="34"/>
      <c r="B110" s="35"/>
      <c r="C110" s="35"/>
      <c r="D110" s="35" t="s">
        <v>35</v>
      </c>
      <c r="E110" s="33"/>
      <c r="F110" s="33"/>
      <c r="G110" s="33"/>
      <c r="H110" s="1" t="s">
        <v>36</v>
      </c>
      <c r="I110" s="1"/>
      <c r="J110" s="1"/>
      <c r="K110" s="1"/>
      <c r="L110" s="1"/>
      <c r="M110" s="1"/>
      <c r="N110" s="1"/>
      <c r="O110" s="1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  <c r="AS110" s="19"/>
      <c r="AT110" s="19"/>
      <c r="AU110" s="19"/>
      <c r="AV110" s="19"/>
      <c r="AW110" s="19"/>
      <c r="AX110" s="19"/>
      <c r="AY110" s="19"/>
      <c r="AZ110" s="19"/>
      <c r="BA110" s="19"/>
      <c r="BB110" s="19"/>
      <c r="BC110" s="19"/>
      <c r="BD110" s="19"/>
      <c r="BE110" s="19"/>
      <c r="BF110" s="19"/>
      <c r="BG110" s="19"/>
      <c r="BH110" s="19"/>
      <c r="BI110" s="19"/>
      <c r="BJ110" s="19"/>
      <c r="BK110" s="19"/>
      <c r="BL110" s="19"/>
      <c r="BM110" s="19"/>
      <c r="BN110" s="19"/>
      <c r="BO110" s="19"/>
    </row>
    <row r="111" spans="1:67" ht="21" customHeight="1">
      <c r="A111" s="34" t="s">
        <v>144</v>
      </c>
      <c r="B111" s="35" t="s">
        <v>145</v>
      </c>
      <c r="C111" s="35" t="s">
        <v>146</v>
      </c>
      <c r="D111" s="35" t="s">
        <v>147</v>
      </c>
      <c r="E111" s="33" t="s">
        <v>128</v>
      </c>
      <c r="F111" s="33" t="s">
        <v>31</v>
      </c>
      <c r="G111" s="33" t="s">
        <v>56</v>
      </c>
      <c r="H111" s="1" t="s">
        <v>33</v>
      </c>
      <c r="I111" s="1"/>
      <c r="J111" s="2"/>
      <c r="K111" s="1"/>
      <c r="L111" s="1"/>
      <c r="M111" s="1"/>
      <c r="N111" s="1"/>
      <c r="O111" s="1" t="s">
        <v>34</v>
      </c>
      <c r="P111" s="19">
        <v>1</v>
      </c>
      <c r="Q111" s="19">
        <v>1</v>
      </c>
      <c r="R111" s="19">
        <v>1</v>
      </c>
      <c r="S111" s="19">
        <v>1</v>
      </c>
      <c r="T111" s="19">
        <v>1</v>
      </c>
      <c r="U111" s="19">
        <v>1</v>
      </c>
      <c r="V111" s="19">
        <v>1</v>
      </c>
      <c r="W111" s="19">
        <v>1</v>
      </c>
      <c r="X111" s="19">
        <v>1</v>
      </c>
      <c r="Y111" s="19">
        <v>1</v>
      </c>
      <c r="Z111" s="19">
        <v>1</v>
      </c>
      <c r="AA111" s="19">
        <v>1</v>
      </c>
      <c r="AB111" s="19">
        <v>1</v>
      </c>
      <c r="AC111" s="19">
        <v>1</v>
      </c>
      <c r="AD111" s="19">
        <v>1</v>
      </c>
      <c r="AE111" s="19">
        <v>1</v>
      </c>
      <c r="AF111" s="19">
        <v>1</v>
      </c>
      <c r="AG111" s="19">
        <v>1</v>
      </c>
      <c r="AH111" s="19">
        <v>1</v>
      </c>
      <c r="AI111" s="19">
        <v>1</v>
      </c>
      <c r="AJ111" s="19">
        <v>1</v>
      </c>
      <c r="AK111" s="19">
        <v>1</v>
      </c>
      <c r="AL111" s="19">
        <v>1</v>
      </c>
      <c r="AM111" s="19">
        <v>1</v>
      </c>
      <c r="AN111" s="19">
        <v>1</v>
      </c>
      <c r="AO111" s="19">
        <v>1</v>
      </c>
      <c r="AP111" s="19">
        <v>1</v>
      </c>
      <c r="AQ111" s="19">
        <v>1</v>
      </c>
      <c r="AR111" s="19">
        <v>1</v>
      </c>
      <c r="AS111" s="19">
        <v>1</v>
      </c>
      <c r="AT111" s="19">
        <v>1</v>
      </c>
      <c r="AU111" s="19">
        <v>1</v>
      </c>
      <c r="AV111" s="19">
        <v>1</v>
      </c>
      <c r="AW111" s="19">
        <v>1</v>
      </c>
      <c r="AX111" s="19">
        <v>1</v>
      </c>
      <c r="AY111" s="19">
        <v>1</v>
      </c>
      <c r="AZ111" s="19">
        <v>1</v>
      </c>
      <c r="BA111" s="19">
        <v>1</v>
      </c>
      <c r="BB111" s="19">
        <v>1</v>
      </c>
      <c r="BC111" s="19">
        <v>1</v>
      </c>
      <c r="BD111" s="19">
        <v>1</v>
      </c>
      <c r="BE111" s="19">
        <v>1</v>
      </c>
      <c r="BF111" s="19">
        <v>1</v>
      </c>
      <c r="BG111" s="19">
        <v>1</v>
      </c>
      <c r="BH111" s="19">
        <v>1</v>
      </c>
      <c r="BI111" s="19">
        <v>1</v>
      </c>
      <c r="BJ111" s="19">
        <v>1</v>
      </c>
      <c r="BK111" s="19">
        <v>1</v>
      </c>
      <c r="BL111" s="19">
        <v>1</v>
      </c>
      <c r="BM111" s="19">
        <v>1</v>
      </c>
      <c r="BN111" s="19">
        <v>1</v>
      </c>
      <c r="BO111" s="19">
        <v>1</v>
      </c>
    </row>
    <row r="112" spans="1:67" ht="21" customHeight="1">
      <c r="A112" s="34"/>
      <c r="B112" s="35"/>
      <c r="C112" s="35"/>
      <c r="D112" s="35" t="s">
        <v>35</v>
      </c>
      <c r="E112" s="33"/>
      <c r="F112" s="33"/>
      <c r="G112" s="33"/>
      <c r="H112" s="1" t="s">
        <v>36</v>
      </c>
      <c r="I112" s="1"/>
      <c r="J112" s="1"/>
      <c r="K112" s="1"/>
      <c r="L112" s="1"/>
      <c r="M112" s="1"/>
      <c r="N112" s="1"/>
      <c r="O112" s="1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X112" s="19"/>
      <c r="AY112" s="19"/>
      <c r="AZ112" s="19"/>
      <c r="BA112" s="19"/>
      <c r="BB112" s="19"/>
      <c r="BC112" s="19"/>
      <c r="BD112" s="19"/>
      <c r="BE112" s="19"/>
      <c r="BF112" s="19"/>
      <c r="BG112" s="19"/>
      <c r="BH112" s="19"/>
      <c r="BI112" s="19"/>
      <c r="BJ112" s="19"/>
      <c r="BK112" s="19"/>
      <c r="BL112" s="19"/>
      <c r="BM112" s="19"/>
      <c r="BN112" s="19"/>
      <c r="BO112" s="19"/>
    </row>
    <row r="113" spans="1:67" ht="21" customHeight="1">
      <c r="A113" s="34"/>
      <c r="B113" s="35"/>
      <c r="C113" s="35"/>
      <c r="D113" s="35" t="s">
        <v>35</v>
      </c>
      <c r="E113" s="33"/>
      <c r="F113" s="33" t="s">
        <v>57</v>
      </c>
      <c r="G113" s="33" t="s">
        <v>58</v>
      </c>
      <c r="H113" s="1" t="s">
        <v>33</v>
      </c>
      <c r="I113" s="1"/>
      <c r="J113" s="1"/>
      <c r="K113" s="1"/>
      <c r="L113" s="7"/>
      <c r="M113" s="1"/>
      <c r="N113" s="1"/>
      <c r="O113" s="1" t="s">
        <v>73</v>
      </c>
      <c r="P113" s="19"/>
      <c r="Q113" s="19"/>
      <c r="R113" s="19">
        <v>3</v>
      </c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>
        <v>3</v>
      </c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>
        <v>3</v>
      </c>
      <c r="AS113" s="19"/>
      <c r="AT113" s="19"/>
      <c r="AU113" s="19"/>
      <c r="AV113" s="19"/>
      <c r="AW113" s="19"/>
      <c r="AX113" s="19"/>
      <c r="AY113" s="19"/>
      <c r="AZ113" s="19"/>
      <c r="BA113" s="19"/>
      <c r="BB113" s="19"/>
      <c r="BC113" s="19"/>
      <c r="BD113" s="19"/>
      <c r="BE113" s="19">
        <v>3</v>
      </c>
      <c r="BF113" s="19"/>
      <c r="BG113" s="19"/>
      <c r="BH113" s="19"/>
      <c r="BI113" s="19"/>
      <c r="BJ113" s="19"/>
      <c r="BK113" s="19"/>
      <c r="BL113" s="19"/>
      <c r="BM113" s="19"/>
      <c r="BN113" s="19"/>
      <c r="BO113" s="19"/>
    </row>
    <row r="114" spans="1:67" ht="21" customHeight="1">
      <c r="A114" s="34"/>
      <c r="B114" s="35"/>
      <c r="C114" s="35"/>
      <c r="D114" s="35" t="s">
        <v>35</v>
      </c>
      <c r="E114" s="33"/>
      <c r="F114" s="33"/>
      <c r="G114" s="33"/>
      <c r="H114" s="1" t="s">
        <v>36</v>
      </c>
      <c r="I114" s="1"/>
      <c r="J114" s="1"/>
      <c r="K114" s="1"/>
      <c r="L114" s="1"/>
      <c r="M114" s="1"/>
      <c r="N114" s="1"/>
      <c r="O114" s="1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  <c r="AX114" s="19"/>
      <c r="AY114" s="19"/>
      <c r="AZ114" s="19"/>
      <c r="BA114" s="19"/>
      <c r="BB114" s="19"/>
      <c r="BC114" s="19"/>
      <c r="BD114" s="19"/>
      <c r="BE114" s="19"/>
      <c r="BF114" s="19"/>
      <c r="BG114" s="19"/>
      <c r="BH114" s="19"/>
      <c r="BI114" s="19"/>
      <c r="BJ114" s="19"/>
      <c r="BK114" s="19"/>
      <c r="BL114" s="19"/>
      <c r="BM114" s="19"/>
      <c r="BN114" s="19"/>
      <c r="BO114" s="19"/>
    </row>
    <row r="115" spans="1:67" ht="21" customHeight="1">
      <c r="A115" s="34"/>
      <c r="B115" s="35"/>
      <c r="C115" s="35"/>
      <c r="D115" s="35" t="s">
        <v>35</v>
      </c>
      <c r="E115" s="33"/>
      <c r="F115" s="33"/>
      <c r="G115" s="33" t="s">
        <v>40</v>
      </c>
      <c r="H115" s="1" t="s">
        <v>33</v>
      </c>
      <c r="I115" s="1"/>
      <c r="J115" s="1"/>
      <c r="K115" s="1"/>
      <c r="L115" s="1"/>
      <c r="M115" s="1"/>
      <c r="N115" s="3"/>
      <c r="O115" s="1" t="s">
        <v>41</v>
      </c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  <c r="AS115" s="19"/>
      <c r="AT115" s="19"/>
      <c r="AU115" s="19"/>
      <c r="AV115" s="19"/>
      <c r="AW115" s="19"/>
      <c r="AX115" s="19"/>
      <c r="AY115" s="19"/>
      <c r="AZ115" s="19"/>
      <c r="BA115" s="19"/>
      <c r="BB115" s="19"/>
      <c r="BC115" s="19"/>
      <c r="BD115" s="19"/>
      <c r="BE115" s="19"/>
      <c r="BF115" s="19"/>
      <c r="BG115" s="19"/>
      <c r="BH115" s="19"/>
      <c r="BI115" s="19"/>
      <c r="BJ115" s="19">
        <v>5</v>
      </c>
      <c r="BK115" s="19"/>
      <c r="BL115" s="19"/>
      <c r="BM115" s="19"/>
      <c r="BN115" s="19"/>
      <c r="BO115" s="19"/>
    </row>
    <row r="116" spans="1:67" ht="21" customHeight="1">
      <c r="A116" s="34"/>
      <c r="B116" s="35"/>
      <c r="C116" s="35"/>
      <c r="D116" s="35" t="s">
        <v>35</v>
      </c>
      <c r="E116" s="33"/>
      <c r="F116" s="33"/>
      <c r="G116" s="33"/>
      <c r="H116" s="1" t="s">
        <v>36</v>
      </c>
      <c r="I116" s="1"/>
      <c r="J116" s="1"/>
      <c r="K116" s="1"/>
      <c r="L116" s="1"/>
      <c r="M116" s="1"/>
      <c r="N116" s="1"/>
      <c r="O116" s="1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  <c r="AM116" s="19"/>
      <c r="AN116" s="19"/>
      <c r="AO116" s="19"/>
      <c r="AP116" s="19"/>
      <c r="AQ116" s="19"/>
      <c r="AR116" s="19"/>
      <c r="AS116" s="19"/>
      <c r="AT116" s="19"/>
      <c r="AU116" s="19"/>
      <c r="AV116" s="19"/>
      <c r="AW116" s="19"/>
      <c r="AX116" s="19"/>
      <c r="AY116" s="19"/>
      <c r="AZ116" s="19"/>
      <c r="BA116" s="19"/>
      <c r="BB116" s="19"/>
      <c r="BC116" s="19"/>
      <c r="BD116" s="19"/>
      <c r="BE116" s="19"/>
      <c r="BF116" s="19"/>
      <c r="BG116" s="19"/>
      <c r="BH116" s="19"/>
      <c r="BI116" s="19"/>
      <c r="BJ116" s="19"/>
      <c r="BK116" s="19"/>
      <c r="BL116" s="19"/>
      <c r="BM116" s="19"/>
      <c r="BN116" s="19"/>
      <c r="BO116" s="19"/>
    </row>
    <row r="117" spans="1:67" ht="21" customHeight="1">
      <c r="A117" s="34"/>
      <c r="B117" s="35"/>
      <c r="C117" s="35"/>
      <c r="D117" s="35" t="s">
        <v>35</v>
      </c>
      <c r="E117" s="33"/>
      <c r="F117" s="33" t="s">
        <v>136</v>
      </c>
      <c r="G117" s="33" t="s">
        <v>148</v>
      </c>
      <c r="H117" s="1" t="s">
        <v>33</v>
      </c>
      <c r="I117" s="1"/>
      <c r="J117" s="1"/>
      <c r="K117" s="5"/>
      <c r="L117" s="1"/>
      <c r="M117" s="1"/>
      <c r="N117" s="1"/>
      <c r="O117" s="1" t="s">
        <v>61</v>
      </c>
      <c r="P117" s="19"/>
      <c r="Q117" s="19"/>
      <c r="R117" s="19">
        <v>2</v>
      </c>
      <c r="S117" s="19"/>
      <c r="T117" s="19"/>
      <c r="U117" s="19"/>
      <c r="V117" s="19"/>
      <c r="W117" s="19">
        <v>2</v>
      </c>
      <c r="X117" s="19"/>
      <c r="Y117" s="19"/>
      <c r="Z117" s="19"/>
      <c r="AA117" s="19">
        <v>2</v>
      </c>
      <c r="AB117" s="19"/>
      <c r="AC117" s="19"/>
      <c r="AD117" s="19"/>
      <c r="AE117" s="19">
        <v>2</v>
      </c>
      <c r="AF117" s="19"/>
      <c r="AG117" s="19"/>
      <c r="AH117" s="19"/>
      <c r="AI117" s="19">
        <v>2</v>
      </c>
      <c r="AJ117" s="19"/>
      <c r="AK117" s="19"/>
      <c r="AL117" s="19"/>
      <c r="AM117" s="19"/>
      <c r="AN117" s="19">
        <v>2</v>
      </c>
      <c r="AO117" s="19"/>
      <c r="AP117" s="19"/>
      <c r="AQ117" s="19"/>
      <c r="AR117" s="19">
        <v>2</v>
      </c>
      <c r="AS117" s="19"/>
      <c r="AT117" s="19"/>
      <c r="AU117" s="19"/>
      <c r="AV117" s="19"/>
      <c r="AW117" s="19">
        <v>2</v>
      </c>
      <c r="AX117" s="19"/>
      <c r="AY117" s="19"/>
      <c r="AZ117" s="19"/>
      <c r="BA117" s="19">
        <v>2</v>
      </c>
      <c r="BB117" s="19"/>
      <c r="BC117" s="19"/>
      <c r="BD117" s="19"/>
      <c r="BE117" s="19">
        <v>2</v>
      </c>
      <c r="BF117" s="19"/>
      <c r="BG117" s="19"/>
      <c r="BH117" s="19"/>
      <c r="BI117" s="19"/>
      <c r="BJ117" s="19">
        <v>2</v>
      </c>
      <c r="BK117" s="19"/>
      <c r="BL117" s="19"/>
      <c r="BM117" s="19"/>
      <c r="BN117" s="19">
        <v>2</v>
      </c>
      <c r="BO117" s="19"/>
    </row>
    <row r="118" spans="1:67" ht="21" customHeight="1">
      <c r="A118" s="34"/>
      <c r="B118" s="35"/>
      <c r="C118" s="35"/>
      <c r="D118" s="35" t="s">
        <v>35</v>
      </c>
      <c r="E118" s="33"/>
      <c r="F118" s="33"/>
      <c r="G118" s="33"/>
      <c r="H118" s="1" t="s">
        <v>36</v>
      </c>
      <c r="I118" s="1"/>
      <c r="J118" s="1"/>
      <c r="K118" s="1"/>
      <c r="L118" s="1"/>
      <c r="M118" s="1"/>
      <c r="N118" s="1"/>
      <c r="O118" s="1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  <c r="AM118" s="19"/>
      <c r="AN118" s="19"/>
      <c r="AO118" s="19"/>
      <c r="AP118" s="19"/>
      <c r="AQ118" s="19"/>
      <c r="AR118" s="19"/>
      <c r="AS118" s="19"/>
      <c r="AT118" s="19"/>
      <c r="AU118" s="19"/>
      <c r="AV118" s="19"/>
      <c r="AW118" s="19"/>
      <c r="AX118" s="19"/>
      <c r="AY118" s="19"/>
      <c r="AZ118" s="19"/>
      <c r="BA118" s="19"/>
      <c r="BB118" s="19"/>
      <c r="BC118" s="19"/>
      <c r="BD118" s="19"/>
      <c r="BE118" s="19"/>
      <c r="BF118" s="19"/>
      <c r="BG118" s="19"/>
      <c r="BH118" s="19"/>
      <c r="BI118" s="19"/>
      <c r="BJ118" s="19"/>
      <c r="BK118" s="19"/>
      <c r="BL118" s="19"/>
      <c r="BM118" s="19"/>
      <c r="BN118" s="19"/>
      <c r="BO118" s="19"/>
    </row>
    <row r="119" spans="1:67" ht="21" customHeight="1">
      <c r="A119" s="34"/>
      <c r="B119" s="35" t="s">
        <v>149</v>
      </c>
      <c r="C119" s="35" t="s">
        <v>150</v>
      </c>
      <c r="D119" s="35" t="s">
        <v>151</v>
      </c>
      <c r="E119" s="33" t="s">
        <v>152</v>
      </c>
      <c r="F119" s="33" t="s">
        <v>31</v>
      </c>
      <c r="G119" s="33" t="s">
        <v>153</v>
      </c>
      <c r="H119" s="1" t="s">
        <v>33</v>
      </c>
      <c r="I119" s="1"/>
      <c r="J119" s="2"/>
      <c r="K119" s="1"/>
      <c r="L119" s="1"/>
      <c r="M119" s="1"/>
      <c r="N119" s="1"/>
      <c r="O119" s="1" t="s">
        <v>34</v>
      </c>
      <c r="P119" s="19">
        <v>1</v>
      </c>
      <c r="Q119" s="19">
        <v>1</v>
      </c>
      <c r="R119" s="19">
        <v>1</v>
      </c>
      <c r="S119" s="19">
        <v>1</v>
      </c>
      <c r="T119" s="19">
        <v>1</v>
      </c>
      <c r="U119" s="19">
        <v>1</v>
      </c>
      <c r="V119" s="19">
        <v>1</v>
      </c>
      <c r="W119" s="19">
        <v>1</v>
      </c>
      <c r="X119" s="19">
        <v>1</v>
      </c>
      <c r="Y119" s="19">
        <v>1</v>
      </c>
      <c r="Z119" s="19">
        <v>1</v>
      </c>
      <c r="AA119" s="19">
        <v>1</v>
      </c>
      <c r="AB119" s="19">
        <v>1</v>
      </c>
      <c r="AC119" s="19">
        <v>1</v>
      </c>
      <c r="AD119" s="19">
        <v>1</v>
      </c>
      <c r="AE119" s="19">
        <v>1</v>
      </c>
      <c r="AF119" s="19">
        <v>1</v>
      </c>
      <c r="AG119" s="19">
        <v>1</v>
      </c>
      <c r="AH119" s="19">
        <v>1</v>
      </c>
      <c r="AI119" s="19">
        <v>1</v>
      </c>
      <c r="AJ119" s="19">
        <v>1</v>
      </c>
      <c r="AK119" s="19">
        <v>1</v>
      </c>
      <c r="AL119" s="19">
        <v>1</v>
      </c>
      <c r="AM119" s="19">
        <v>1</v>
      </c>
      <c r="AN119" s="19">
        <v>1</v>
      </c>
      <c r="AO119" s="19">
        <v>1</v>
      </c>
      <c r="AP119" s="19">
        <v>1</v>
      </c>
      <c r="AQ119" s="19">
        <v>1</v>
      </c>
      <c r="AR119" s="19">
        <v>1</v>
      </c>
      <c r="AS119" s="19">
        <v>1</v>
      </c>
      <c r="AT119" s="19">
        <v>1</v>
      </c>
      <c r="AU119" s="19">
        <v>1</v>
      </c>
      <c r="AV119" s="19">
        <v>1</v>
      </c>
      <c r="AW119" s="19">
        <v>1</v>
      </c>
      <c r="AX119" s="19">
        <v>1</v>
      </c>
      <c r="AY119" s="19">
        <v>1</v>
      </c>
      <c r="AZ119" s="19">
        <v>1</v>
      </c>
      <c r="BA119" s="19">
        <v>1</v>
      </c>
      <c r="BB119" s="19">
        <v>1</v>
      </c>
      <c r="BC119" s="19">
        <v>1</v>
      </c>
      <c r="BD119" s="19">
        <v>1</v>
      </c>
      <c r="BE119" s="19">
        <v>1</v>
      </c>
      <c r="BF119" s="19">
        <v>1</v>
      </c>
      <c r="BG119" s="19">
        <v>1</v>
      </c>
      <c r="BH119" s="19">
        <v>1</v>
      </c>
      <c r="BI119" s="19">
        <v>1</v>
      </c>
      <c r="BJ119" s="19">
        <v>1</v>
      </c>
      <c r="BK119" s="19">
        <v>1</v>
      </c>
      <c r="BL119" s="19">
        <v>1</v>
      </c>
      <c r="BM119" s="19">
        <v>1</v>
      </c>
      <c r="BN119" s="19">
        <v>1</v>
      </c>
      <c r="BO119" s="19">
        <v>1</v>
      </c>
    </row>
    <row r="120" spans="1:67" ht="21" customHeight="1">
      <c r="A120" s="34"/>
      <c r="B120" s="35"/>
      <c r="C120" s="35"/>
      <c r="D120" s="35" t="s">
        <v>35</v>
      </c>
      <c r="E120" s="33"/>
      <c r="F120" s="33"/>
      <c r="G120" s="33"/>
      <c r="H120" s="1" t="s">
        <v>36</v>
      </c>
      <c r="I120" s="1"/>
      <c r="J120" s="1"/>
      <c r="K120" s="1"/>
      <c r="L120" s="1"/>
      <c r="M120" s="1"/>
      <c r="N120" s="1"/>
      <c r="O120" s="1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  <c r="AO120" s="19"/>
      <c r="AP120" s="19"/>
      <c r="AQ120" s="19"/>
      <c r="AR120" s="19"/>
      <c r="AS120" s="19"/>
      <c r="AT120" s="19"/>
      <c r="AU120" s="19"/>
      <c r="AV120" s="19"/>
      <c r="AW120" s="19"/>
      <c r="AX120" s="19"/>
      <c r="AY120" s="19"/>
      <c r="AZ120" s="19"/>
      <c r="BA120" s="19"/>
      <c r="BB120" s="19"/>
      <c r="BC120" s="19"/>
      <c r="BD120" s="19"/>
      <c r="BE120" s="19"/>
      <c r="BF120" s="19"/>
      <c r="BG120" s="19"/>
      <c r="BH120" s="19"/>
      <c r="BI120" s="19"/>
      <c r="BJ120" s="19"/>
      <c r="BK120" s="19"/>
      <c r="BL120" s="19"/>
      <c r="BM120" s="19"/>
      <c r="BN120" s="19"/>
      <c r="BO120" s="19"/>
    </row>
    <row r="121" spans="1:67" ht="21" customHeight="1">
      <c r="A121" s="34"/>
      <c r="B121" s="35"/>
      <c r="C121" s="35"/>
      <c r="D121" s="35" t="s">
        <v>35</v>
      </c>
      <c r="E121" s="33"/>
      <c r="F121" s="33" t="s">
        <v>57</v>
      </c>
      <c r="G121" s="33" t="s">
        <v>154</v>
      </c>
      <c r="H121" s="1" t="s">
        <v>33</v>
      </c>
      <c r="I121" s="1"/>
      <c r="J121" s="1"/>
      <c r="K121" s="1"/>
      <c r="L121" s="7"/>
      <c r="M121" s="1"/>
      <c r="N121" s="1"/>
      <c r="O121" s="1" t="s">
        <v>73</v>
      </c>
      <c r="P121" s="19"/>
      <c r="Q121" s="19"/>
      <c r="R121" s="19">
        <v>3</v>
      </c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>
        <v>3</v>
      </c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>
        <v>3</v>
      </c>
      <c r="AS121" s="19"/>
      <c r="AT121" s="19"/>
      <c r="AU121" s="19"/>
      <c r="AV121" s="19"/>
      <c r="AW121" s="19"/>
      <c r="AX121" s="19"/>
      <c r="AY121" s="19"/>
      <c r="AZ121" s="19"/>
      <c r="BA121" s="19"/>
      <c r="BB121" s="19"/>
      <c r="BC121" s="19"/>
      <c r="BD121" s="19"/>
      <c r="BE121" s="19">
        <v>3</v>
      </c>
      <c r="BF121" s="19"/>
      <c r="BG121" s="19"/>
      <c r="BH121" s="19"/>
      <c r="BI121" s="19"/>
      <c r="BJ121" s="19"/>
      <c r="BK121" s="19"/>
      <c r="BL121" s="19"/>
      <c r="BM121" s="19"/>
      <c r="BN121" s="19"/>
      <c r="BO121" s="19"/>
    </row>
    <row r="122" spans="1:67" ht="21" customHeight="1">
      <c r="A122" s="34"/>
      <c r="B122" s="35"/>
      <c r="C122" s="35"/>
      <c r="D122" s="35" t="s">
        <v>35</v>
      </c>
      <c r="E122" s="33"/>
      <c r="F122" s="33"/>
      <c r="G122" s="33"/>
      <c r="H122" s="1" t="s">
        <v>36</v>
      </c>
      <c r="I122" s="1"/>
      <c r="J122" s="1"/>
      <c r="K122" s="1"/>
      <c r="L122" s="1"/>
      <c r="M122" s="1"/>
      <c r="N122" s="1"/>
      <c r="O122" s="1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  <c r="AS122" s="19"/>
      <c r="AT122" s="19"/>
      <c r="AU122" s="19"/>
      <c r="AV122" s="19"/>
      <c r="AW122" s="19"/>
      <c r="AX122" s="19"/>
      <c r="AY122" s="19"/>
      <c r="AZ122" s="19"/>
      <c r="BA122" s="19"/>
      <c r="BB122" s="19"/>
      <c r="BC122" s="19"/>
      <c r="BD122" s="19"/>
      <c r="BE122" s="19"/>
      <c r="BF122" s="19"/>
      <c r="BG122" s="19"/>
      <c r="BH122" s="19"/>
      <c r="BI122" s="19"/>
      <c r="BJ122" s="19"/>
      <c r="BK122" s="19"/>
      <c r="BL122" s="19"/>
      <c r="BM122" s="19"/>
      <c r="BN122" s="19"/>
      <c r="BO122" s="19"/>
    </row>
    <row r="123" spans="1:67" ht="21" customHeight="1">
      <c r="A123" s="34"/>
      <c r="B123" s="35"/>
      <c r="C123" s="35"/>
      <c r="D123" s="35" t="s">
        <v>35</v>
      </c>
      <c r="E123" s="33"/>
      <c r="F123" s="33"/>
      <c r="G123" s="33" t="s">
        <v>155</v>
      </c>
      <c r="H123" s="1" t="s">
        <v>33</v>
      </c>
      <c r="I123" s="1"/>
      <c r="J123" s="1"/>
      <c r="K123" s="1"/>
      <c r="L123" s="1"/>
      <c r="M123" s="1"/>
      <c r="N123" s="3"/>
      <c r="O123" s="1" t="s">
        <v>41</v>
      </c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  <c r="AM123" s="19"/>
      <c r="AN123" s="19"/>
      <c r="AO123" s="19"/>
      <c r="AP123" s="19"/>
      <c r="AQ123" s="19"/>
      <c r="AR123" s="19"/>
      <c r="AS123" s="19"/>
      <c r="AT123" s="19"/>
      <c r="AU123" s="19"/>
      <c r="AV123" s="19"/>
      <c r="AW123" s="19"/>
      <c r="AX123" s="19"/>
      <c r="AY123" s="19"/>
      <c r="AZ123" s="19"/>
      <c r="BA123" s="19"/>
      <c r="BB123" s="19"/>
      <c r="BC123" s="19"/>
      <c r="BD123" s="19"/>
      <c r="BE123" s="19"/>
      <c r="BF123" s="19"/>
      <c r="BG123" s="19"/>
      <c r="BH123" s="19"/>
      <c r="BI123" s="19"/>
      <c r="BJ123" s="19">
        <v>5</v>
      </c>
      <c r="BK123" s="19"/>
      <c r="BL123" s="19"/>
      <c r="BM123" s="19"/>
      <c r="BN123" s="19"/>
      <c r="BO123" s="19"/>
    </row>
    <row r="124" spans="1:67" ht="21" customHeight="1">
      <c r="A124" s="34"/>
      <c r="B124" s="35"/>
      <c r="C124" s="35"/>
      <c r="D124" s="35" t="s">
        <v>35</v>
      </c>
      <c r="E124" s="33"/>
      <c r="F124" s="33"/>
      <c r="G124" s="33"/>
      <c r="H124" s="1" t="s">
        <v>36</v>
      </c>
      <c r="I124" s="1"/>
      <c r="J124" s="1"/>
      <c r="K124" s="1"/>
      <c r="L124" s="1"/>
      <c r="M124" s="1"/>
      <c r="N124" s="1"/>
      <c r="O124" s="1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  <c r="AM124" s="19"/>
      <c r="AN124" s="19"/>
      <c r="AO124" s="19"/>
      <c r="AP124" s="19"/>
      <c r="AQ124" s="19"/>
      <c r="AR124" s="19"/>
      <c r="AS124" s="19"/>
      <c r="AT124" s="19"/>
      <c r="AU124" s="19"/>
      <c r="AV124" s="19"/>
      <c r="AW124" s="19"/>
      <c r="AX124" s="19"/>
      <c r="AY124" s="19"/>
      <c r="AZ124" s="19"/>
      <c r="BA124" s="19"/>
      <c r="BB124" s="19"/>
      <c r="BC124" s="19"/>
      <c r="BD124" s="19"/>
      <c r="BE124" s="19"/>
      <c r="BF124" s="19"/>
      <c r="BG124" s="19"/>
      <c r="BH124" s="19"/>
      <c r="BI124" s="19"/>
      <c r="BJ124" s="19"/>
      <c r="BK124" s="19"/>
      <c r="BL124" s="19"/>
      <c r="BM124" s="19"/>
      <c r="BN124" s="19"/>
      <c r="BO124" s="19"/>
    </row>
    <row r="125" spans="1:67" ht="21" customHeight="1">
      <c r="A125" s="34"/>
      <c r="B125" s="35"/>
      <c r="C125" s="35"/>
      <c r="D125" s="35" t="s">
        <v>35</v>
      </c>
      <c r="E125" s="33"/>
      <c r="F125" s="33" t="s">
        <v>156</v>
      </c>
      <c r="G125" s="33" t="s">
        <v>157</v>
      </c>
      <c r="H125" s="1" t="s">
        <v>33</v>
      </c>
      <c r="I125" s="1"/>
      <c r="J125" s="1"/>
      <c r="K125" s="5"/>
      <c r="L125" s="1"/>
      <c r="M125" s="1"/>
      <c r="N125" s="1"/>
      <c r="O125" s="1" t="s">
        <v>46</v>
      </c>
      <c r="P125" s="19"/>
      <c r="Q125" s="19"/>
      <c r="R125" s="19">
        <v>2</v>
      </c>
      <c r="S125" s="19"/>
      <c r="T125" s="19"/>
      <c r="U125" s="19"/>
      <c r="V125" s="19"/>
      <c r="W125" s="19">
        <v>2</v>
      </c>
      <c r="X125" s="19"/>
      <c r="Y125" s="19"/>
      <c r="Z125" s="19"/>
      <c r="AA125" s="19">
        <v>2</v>
      </c>
      <c r="AB125" s="19"/>
      <c r="AC125" s="19"/>
      <c r="AD125" s="19"/>
      <c r="AE125" s="19">
        <v>2</v>
      </c>
      <c r="AF125" s="19"/>
      <c r="AG125" s="19"/>
      <c r="AH125" s="19"/>
      <c r="AI125" s="19">
        <v>2</v>
      </c>
      <c r="AJ125" s="19"/>
      <c r="AK125" s="19"/>
      <c r="AL125" s="19"/>
      <c r="AM125" s="19"/>
      <c r="AN125" s="19">
        <v>2</v>
      </c>
      <c r="AO125" s="19"/>
      <c r="AP125" s="19"/>
      <c r="AQ125" s="19"/>
      <c r="AR125" s="19">
        <v>2</v>
      </c>
      <c r="AS125" s="19"/>
      <c r="AT125" s="19"/>
      <c r="AU125" s="19"/>
      <c r="AV125" s="19"/>
      <c r="AW125" s="19">
        <v>2</v>
      </c>
      <c r="AX125" s="19"/>
      <c r="AY125" s="19"/>
      <c r="AZ125" s="19"/>
      <c r="BA125" s="19">
        <v>2</v>
      </c>
      <c r="BB125" s="19"/>
      <c r="BC125" s="19"/>
      <c r="BD125" s="19"/>
      <c r="BE125" s="19">
        <v>2</v>
      </c>
      <c r="BF125" s="19"/>
      <c r="BG125" s="19"/>
      <c r="BH125" s="19"/>
      <c r="BI125" s="19"/>
      <c r="BJ125" s="19">
        <v>2</v>
      </c>
      <c r="BK125" s="19"/>
      <c r="BL125" s="19"/>
      <c r="BM125" s="19"/>
      <c r="BN125" s="19">
        <v>2</v>
      </c>
      <c r="BO125" s="19"/>
    </row>
    <row r="126" spans="1:67" ht="21" customHeight="1">
      <c r="A126" s="34"/>
      <c r="B126" s="35"/>
      <c r="C126" s="35"/>
      <c r="D126" s="35" t="s">
        <v>35</v>
      </c>
      <c r="E126" s="33"/>
      <c r="F126" s="33"/>
      <c r="G126" s="33"/>
      <c r="H126" s="1" t="s">
        <v>36</v>
      </c>
      <c r="I126" s="1"/>
      <c r="J126" s="1"/>
      <c r="K126" s="1"/>
      <c r="L126" s="1"/>
      <c r="M126" s="1"/>
      <c r="N126" s="1"/>
      <c r="O126" s="1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  <c r="AM126" s="19"/>
      <c r="AN126" s="19"/>
      <c r="AO126" s="19"/>
      <c r="AP126" s="19"/>
      <c r="AQ126" s="19"/>
      <c r="AR126" s="19"/>
      <c r="AS126" s="19"/>
      <c r="AT126" s="19"/>
      <c r="AU126" s="19"/>
      <c r="AV126" s="19"/>
      <c r="AW126" s="19"/>
      <c r="AX126" s="19"/>
      <c r="AY126" s="19"/>
      <c r="AZ126" s="19"/>
      <c r="BA126" s="19"/>
      <c r="BB126" s="19"/>
      <c r="BC126" s="19"/>
      <c r="BD126" s="19"/>
      <c r="BE126" s="19"/>
      <c r="BF126" s="19"/>
      <c r="BG126" s="19"/>
      <c r="BH126" s="19"/>
      <c r="BI126" s="19"/>
      <c r="BJ126" s="19"/>
      <c r="BK126" s="19"/>
      <c r="BL126" s="19"/>
      <c r="BM126" s="19"/>
      <c r="BN126" s="19"/>
      <c r="BO126" s="19"/>
    </row>
    <row r="127" spans="1:67" ht="21" customHeight="1">
      <c r="A127" s="34"/>
      <c r="B127" s="35" t="s">
        <v>158</v>
      </c>
      <c r="C127" s="35" t="s">
        <v>159</v>
      </c>
      <c r="D127" s="35" t="s">
        <v>160</v>
      </c>
      <c r="E127" s="33" t="s">
        <v>152</v>
      </c>
      <c r="F127" s="33" t="s">
        <v>31</v>
      </c>
      <c r="G127" s="33" t="s">
        <v>153</v>
      </c>
      <c r="H127" s="1" t="s">
        <v>33</v>
      </c>
      <c r="I127" s="1"/>
      <c r="J127" s="2"/>
      <c r="K127" s="1"/>
      <c r="L127" s="1"/>
      <c r="M127" s="1"/>
      <c r="N127" s="1"/>
      <c r="O127" s="1" t="s">
        <v>34</v>
      </c>
      <c r="P127" s="19">
        <v>1</v>
      </c>
      <c r="Q127" s="19">
        <v>1</v>
      </c>
      <c r="R127" s="19">
        <v>1</v>
      </c>
      <c r="S127" s="19">
        <v>1</v>
      </c>
      <c r="T127" s="19">
        <v>1</v>
      </c>
      <c r="U127" s="19">
        <v>1</v>
      </c>
      <c r="V127" s="19">
        <v>1</v>
      </c>
      <c r="W127" s="19">
        <v>1</v>
      </c>
      <c r="X127" s="19">
        <v>1</v>
      </c>
      <c r="Y127" s="19">
        <v>1</v>
      </c>
      <c r="Z127" s="19">
        <v>1</v>
      </c>
      <c r="AA127" s="19">
        <v>1</v>
      </c>
      <c r="AB127" s="19">
        <v>1</v>
      </c>
      <c r="AC127" s="19">
        <v>1</v>
      </c>
      <c r="AD127" s="19">
        <v>1</v>
      </c>
      <c r="AE127" s="19">
        <v>1</v>
      </c>
      <c r="AF127" s="19">
        <v>1</v>
      </c>
      <c r="AG127" s="19">
        <v>1</v>
      </c>
      <c r="AH127" s="19">
        <v>1</v>
      </c>
      <c r="AI127" s="19">
        <v>1</v>
      </c>
      <c r="AJ127" s="19">
        <v>1</v>
      </c>
      <c r="AK127" s="19">
        <v>1</v>
      </c>
      <c r="AL127" s="19">
        <v>1</v>
      </c>
      <c r="AM127" s="19">
        <v>1</v>
      </c>
      <c r="AN127" s="19">
        <v>1</v>
      </c>
      <c r="AO127" s="19">
        <v>1</v>
      </c>
      <c r="AP127" s="19">
        <v>1</v>
      </c>
      <c r="AQ127" s="19">
        <v>1</v>
      </c>
      <c r="AR127" s="19">
        <v>1</v>
      </c>
      <c r="AS127" s="19">
        <v>1</v>
      </c>
      <c r="AT127" s="19">
        <v>1</v>
      </c>
      <c r="AU127" s="19">
        <v>1</v>
      </c>
      <c r="AV127" s="19">
        <v>1</v>
      </c>
      <c r="AW127" s="19">
        <v>1</v>
      </c>
      <c r="AX127" s="19">
        <v>1</v>
      </c>
      <c r="AY127" s="19">
        <v>1</v>
      </c>
      <c r="AZ127" s="19">
        <v>1</v>
      </c>
      <c r="BA127" s="19">
        <v>1</v>
      </c>
      <c r="BB127" s="19">
        <v>1</v>
      </c>
      <c r="BC127" s="19">
        <v>1</v>
      </c>
      <c r="BD127" s="19">
        <v>1</v>
      </c>
      <c r="BE127" s="19">
        <v>1</v>
      </c>
      <c r="BF127" s="19">
        <v>1</v>
      </c>
      <c r="BG127" s="19">
        <v>1</v>
      </c>
      <c r="BH127" s="19">
        <v>1</v>
      </c>
      <c r="BI127" s="19">
        <v>1</v>
      </c>
      <c r="BJ127" s="19">
        <v>1</v>
      </c>
      <c r="BK127" s="19">
        <v>1</v>
      </c>
      <c r="BL127" s="19">
        <v>1</v>
      </c>
      <c r="BM127" s="19">
        <v>1</v>
      </c>
      <c r="BN127" s="19">
        <v>1</v>
      </c>
      <c r="BO127" s="19">
        <v>1</v>
      </c>
    </row>
    <row r="128" spans="1:67" ht="21" customHeight="1">
      <c r="A128" s="34"/>
      <c r="B128" s="35"/>
      <c r="C128" s="35"/>
      <c r="D128" s="35" t="s">
        <v>35</v>
      </c>
      <c r="E128" s="33"/>
      <c r="F128" s="33"/>
      <c r="G128" s="33"/>
      <c r="H128" s="1" t="s">
        <v>36</v>
      </c>
      <c r="I128" s="1"/>
      <c r="J128" s="1"/>
      <c r="K128" s="1"/>
      <c r="L128" s="1"/>
      <c r="M128" s="1"/>
      <c r="N128" s="1"/>
      <c r="O128" s="1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  <c r="AM128" s="19"/>
      <c r="AN128" s="19"/>
      <c r="AO128" s="19"/>
      <c r="AP128" s="19"/>
      <c r="AQ128" s="19"/>
      <c r="AR128" s="19"/>
      <c r="AS128" s="19"/>
      <c r="AT128" s="19"/>
      <c r="AU128" s="19"/>
      <c r="AV128" s="19"/>
      <c r="AW128" s="19"/>
      <c r="AX128" s="19"/>
      <c r="AY128" s="19"/>
      <c r="AZ128" s="19"/>
      <c r="BA128" s="19"/>
      <c r="BB128" s="19"/>
      <c r="BC128" s="19"/>
      <c r="BD128" s="19"/>
      <c r="BE128" s="19"/>
      <c r="BF128" s="19"/>
      <c r="BG128" s="19"/>
      <c r="BH128" s="19"/>
      <c r="BI128" s="19"/>
      <c r="BJ128" s="19"/>
      <c r="BK128" s="19"/>
      <c r="BL128" s="19"/>
      <c r="BM128" s="19"/>
      <c r="BN128" s="19"/>
      <c r="BO128" s="19"/>
    </row>
    <row r="129" spans="1:67" ht="21" customHeight="1">
      <c r="A129" s="34"/>
      <c r="B129" s="35"/>
      <c r="C129" s="35"/>
      <c r="D129" s="35" t="s">
        <v>35</v>
      </c>
      <c r="E129" s="33"/>
      <c r="F129" s="33" t="s">
        <v>57</v>
      </c>
      <c r="G129" s="33" t="s">
        <v>154</v>
      </c>
      <c r="H129" s="1" t="s">
        <v>33</v>
      </c>
      <c r="I129" s="1"/>
      <c r="J129" s="1"/>
      <c r="K129" s="1"/>
      <c r="L129" s="7"/>
      <c r="M129" s="1"/>
      <c r="N129" s="1"/>
      <c r="O129" s="1" t="s">
        <v>73</v>
      </c>
      <c r="P129" s="19"/>
      <c r="Q129" s="19"/>
      <c r="R129" s="19">
        <v>3</v>
      </c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>
        <v>3</v>
      </c>
      <c r="AF129" s="19"/>
      <c r="AG129" s="19"/>
      <c r="AH129" s="19"/>
      <c r="AI129" s="19"/>
      <c r="AJ129" s="19"/>
      <c r="AK129" s="19"/>
      <c r="AL129" s="19"/>
      <c r="AM129" s="19"/>
      <c r="AN129" s="19"/>
      <c r="AO129" s="19"/>
      <c r="AP129" s="19"/>
      <c r="AQ129" s="19"/>
      <c r="AR129" s="19">
        <v>3</v>
      </c>
      <c r="AS129" s="19"/>
      <c r="AT129" s="19"/>
      <c r="AU129" s="19"/>
      <c r="AV129" s="19"/>
      <c r="AW129" s="19"/>
      <c r="AX129" s="19"/>
      <c r="AY129" s="19"/>
      <c r="AZ129" s="19"/>
      <c r="BA129" s="19"/>
      <c r="BB129" s="19"/>
      <c r="BC129" s="19"/>
      <c r="BD129" s="19"/>
      <c r="BE129" s="19">
        <v>3</v>
      </c>
      <c r="BF129" s="19"/>
      <c r="BG129" s="19"/>
      <c r="BH129" s="19"/>
      <c r="BI129" s="19"/>
      <c r="BJ129" s="19"/>
      <c r="BK129" s="19"/>
      <c r="BL129" s="19"/>
      <c r="BM129" s="19"/>
      <c r="BN129" s="19"/>
      <c r="BO129" s="19"/>
    </row>
    <row r="130" spans="1:67" ht="21" customHeight="1">
      <c r="A130" s="34"/>
      <c r="B130" s="35"/>
      <c r="C130" s="35"/>
      <c r="D130" s="35" t="s">
        <v>35</v>
      </c>
      <c r="E130" s="33"/>
      <c r="F130" s="33"/>
      <c r="G130" s="33"/>
      <c r="H130" s="1" t="s">
        <v>36</v>
      </c>
      <c r="I130" s="1"/>
      <c r="J130" s="1"/>
      <c r="K130" s="1"/>
      <c r="L130" s="1"/>
      <c r="M130" s="1"/>
      <c r="N130" s="1"/>
      <c r="O130" s="1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  <c r="AM130" s="19"/>
      <c r="AN130" s="19"/>
      <c r="AO130" s="19"/>
      <c r="AP130" s="19"/>
      <c r="AQ130" s="19"/>
      <c r="AR130" s="19"/>
      <c r="AS130" s="19"/>
      <c r="AT130" s="19"/>
      <c r="AU130" s="19"/>
      <c r="AV130" s="19"/>
      <c r="AW130" s="19"/>
      <c r="AX130" s="19"/>
      <c r="AY130" s="19"/>
      <c r="AZ130" s="19"/>
      <c r="BA130" s="19"/>
      <c r="BB130" s="19"/>
      <c r="BC130" s="19"/>
      <c r="BD130" s="19"/>
      <c r="BE130" s="19"/>
      <c r="BF130" s="19"/>
      <c r="BG130" s="19"/>
      <c r="BH130" s="19"/>
      <c r="BI130" s="19"/>
      <c r="BJ130" s="19"/>
      <c r="BK130" s="19"/>
      <c r="BL130" s="19"/>
      <c r="BM130" s="19"/>
      <c r="BN130" s="19"/>
      <c r="BO130" s="19"/>
    </row>
    <row r="131" spans="1:67" ht="21" customHeight="1">
      <c r="A131" s="34"/>
      <c r="B131" s="35"/>
      <c r="C131" s="35"/>
      <c r="D131" s="35" t="s">
        <v>35</v>
      </c>
      <c r="E131" s="33"/>
      <c r="F131" s="33"/>
      <c r="G131" s="33" t="s">
        <v>155</v>
      </c>
      <c r="H131" s="1" t="s">
        <v>33</v>
      </c>
      <c r="I131" s="1"/>
      <c r="J131" s="1"/>
      <c r="K131" s="1"/>
      <c r="L131" s="1"/>
      <c r="M131" s="1"/>
      <c r="N131" s="3"/>
      <c r="O131" s="1" t="s">
        <v>41</v>
      </c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  <c r="AM131" s="19"/>
      <c r="AN131" s="19"/>
      <c r="AO131" s="19"/>
      <c r="AP131" s="19"/>
      <c r="AQ131" s="19"/>
      <c r="AR131" s="19"/>
      <c r="AS131" s="19"/>
      <c r="AT131" s="19"/>
      <c r="AU131" s="19"/>
      <c r="AV131" s="19"/>
      <c r="AW131" s="19"/>
      <c r="AX131" s="19"/>
      <c r="AY131" s="19"/>
      <c r="AZ131" s="19"/>
      <c r="BA131" s="19"/>
      <c r="BB131" s="19"/>
      <c r="BC131" s="19"/>
      <c r="BD131" s="19"/>
      <c r="BE131" s="19"/>
      <c r="BF131" s="19"/>
      <c r="BG131" s="19"/>
      <c r="BH131" s="19"/>
      <c r="BI131" s="19"/>
      <c r="BJ131" s="19">
        <v>5</v>
      </c>
      <c r="BK131" s="19"/>
      <c r="BL131" s="19"/>
      <c r="BM131" s="19"/>
      <c r="BN131" s="19"/>
      <c r="BO131" s="19"/>
    </row>
    <row r="132" spans="1:67" ht="21" customHeight="1">
      <c r="A132" s="34"/>
      <c r="B132" s="35"/>
      <c r="C132" s="35"/>
      <c r="D132" s="35" t="s">
        <v>35</v>
      </c>
      <c r="E132" s="33"/>
      <c r="F132" s="33"/>
      <c r="G132" s="33"/>
      <c r="H132" s="1" t="s">
        <v>36</v>
      </c>
      <c r="I132" s="1"/>
      <c r="J132" s="1"/>
      <c r="K132" s="1"/>
      <c r="L132" s="1"/>
      <c r="M132" s="1"/>
      <c r="N132" s="1"/>
      <c r="O132" s="1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  <c r="AM132" s="19"/>
      <c r="AN132" s="19"/>
      <c r="AO132" s="19"/>
      <c r="AP132" s="19"/>
      <c r="AQ132" s="19"/>
      <c r="AR132" s="19"/>
      <c r="AS132" s="19"/>
      <c r="AT132" s="19"/>
      <c r="AU132" s="19"/>
      <c r="AV132" s="19"/>
      <c r="AW132" s="19"/>
      <c r="AX132" s="19"/>
      <c r="AY132" s="19"/>
      <c r="AZ132" s="19"/>
      <c r="BA132" s="19"/>
      <c r="BB132" s="19"/>
      <c r="BC132" s="19"/>
      <c r="BD132" s="19"/>
      <c r="BE132" s="19"/>
      <c r="BF132" s="19"/>
      <c r="BG132" s="19"/>
      <c r="BH132" s="19"/>
      <c r="BI132" s="19"/>
      <c r="BJ132" s="19"/>
      <c r="BK132" s="19"/>
      <c r="BL132" s="19"/>
      <c r="BM132" s="19"/>
      <c r="BN132" s="19"/>
      <c r="BO132" s="19"/>
    </row>
    <row r="133" spans="1:67" ht="21" customHeight="1">
      <c r="A133" s="34"/>
      <c r="B133" s="35"/>
      <c r="C133" s="35"/>
      <c r="D133" s="35" t="s">
        <v>35</v>
      </c>
      <c r="E133" s="33"/>
      <c r="F133" s="33" t="s">
        <v>156</v>
      </c>
      <c r="G133" s="33" t="s">
        <v>157</v>
      </c>
      <c r="H133" s="1" t="s">
        <v>33</v>
      </c>
      <c r="I133" s="1"/>
      <c r="J133" s="1"/>
      <c r="K133" s="5"/>
      <c r="L133" s="1"/>
      <c r="M133" s="1"/>
      <c r="N133" s="1"/>
      <c r="O133" s="1" t="s">
        <v>46</v>
      </c>
      <c r="P133" s="19"/>
      <c r="Q133" s="19"/>
      <c r="R133" s="19">
        <v>2</v>
      </c>
      <c r="S133" s="19"/>
      <c r="T133" s="19"/>
      <c r="U133" s="19"/>
      <c r="V133" s="19"/>
      <c r="W133" s="19">
        <v>2</v>
      </c>
      <c r="X133" s="19"/>
      <c r="Y133" s="19"/>
      <c r="Z133" s="19"/>
      <c r="AA133" s="19">
        <v>2</v>
      </c>
      <c r="AB133" s="19"/>
      <c r="AC133" s="19"/>
      <c r="AD133" s="19"/>
      <c r="AE133" s="19">
        <v>2</v>
      </c>
      <c r="AF133" s="19"/>
      <c r="AG133" s="19"/>
      <c r="AH133" s="19"/>
      <c r="AI133" s="19">
        <v>2</v>
      </c>
      <c r="AJ133" s="19"/>
      <c r="AK133" s="19"/>
      <c r="AL133" s="19"/>
      <c r="AM133" s="19"/>
      <c r="AN133" s="19">
        <v>2</v>
      </c>
      <c r="AO133" s="19"/>
      <c r="AP133" s="19"/>
      <c r="AQ133" s="19"/>
      <c r="AR133" s="19">
        <v>2</v>
      </c>
      <c r="AS133" s="19"/>
      <c r="AT133" s="19"/>
      <c r="AU133" s="19"/>
      <c r="AV133" s="19"/>
      <c r="AW133" s="19">
        <v>2</v>
      </c>
      <c r="AX133" s="19"/>
      <c r="AY133" s="19"/>
      <c r="AZ133" s="19"/>
      <c r="BA133" s="19">
        <v>2</v>
      </c>
      <c r="BB133" s="19"/>
      <c r="BC133" s="19"/>
      <c r="BD133" s="19"/>
      <c r="BE133" s="19">
        <v>2</v>
      </c>
      <c r="BF133" s="19"/>
      <c r="BG133" s="19"/>
      <c r="BH133" s="19"/>
      <c r="BI133" s="19"/>
      <c r="BJ133" s="19">
        <v>2</v>
      </c>
      <c r="BK133" s="19"/>
      <c r="BL133" s="19"/>
      <c r="BM133" s="19"/>
      <c r="BN133" s="19">
        <v>2</v>
      </c>
      <c r="BO133" s="19"/>
    </row>
    <row r="134" spans="1:67" ht="21" customHeight="1">
      <c r="A134" s="34"/>
      <c r="B134" s="35"/>
      <c r="C134" s="35"/>
      <c r="D134" s="35" t="s">
        <v>35</v>
      </c>
      <c r="E134" s="33"/>
      <c r="F134" s="33"/>
      <c r="G134" s="33"/>
      <c r="H134" s="1" t="s">
        <v>36</v>
      </c>
      <c r="I134" s="1"/>
      <c r="J134" s="1"/>
      <c r="K134" s="1"/>
      <c r="L134" s="1"/>
      <c r="M134" s="1"/>
      <c r="N134" s="1"/>
      <c r="O134" s="1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19"/>
      <c r="AM134" s="19"/>
      <c r="AN134" s="19"/>
      <c r="AO134" s="19"/>
      <c r="AP134" s="19"/>
      <c r="AQ134" s="19"/>
      <c r="AR134" s="19"/>
      <c r="AS134" s="19"/>
      <c r="AT134" s="19"/>
      <c r="AU134" s="19"/>
      <c r="AV134" s="19"/>
      <c r="AW134" s="19"/>
      <c r="AX134" s="19"/>
      <c r="AY134" s="19"/>
      <c r="AZ134" s="19"/>
      <c r="BA134" s="19"/>
      <c r="BB134" s="19"/>
      <c r="BC134" s="19"/>
      <c r="BD134" s="19"/>
      <c r="BE134" s="19"/>
      <c r="BF134" s="19"/>
      <c r="BG134" s="19"/>
      <c r="BH134" s="19"/>
      <c r="BI134" s="19"/>
      <c r="BJ134" s="19"/>
      <c r="BK134" s="19"/>
      <c r="BL134" s="19"/>
      <c r="BM134" s="19"/>
      <c r="BN134" s="19"/>
      <c r="BO134" s="19"/>
    </row>
    <row r="135" spans="1:67" ht="21" customHeight="1">
      <c r="A135" s="34"/>
      <c r="B135" s="35" t="s">
        <v>161</v>
      </c>
      <c r="C135" s="35" t="s">
        <v>162</v>
      </c>
      <c r="D135" s="35" t="s">
        <v>163</v>
      </c>
      <c r="E135" s="33" t="s">
        <v>152</v>
      </c>
      <c r="F135" s="33" t="s">
        <v>31</v>
      </c>
      <c r="G135" s="33" t="s">
        <v>153</v>
      </c>
      <c r="H135" s="1" t="s">
        <v>33</v>
      </c>
      <c r="I135" s="1"/>
      <c r="J135" s="2"/>
      <c r="K135" s="1"/>
      <c r="L135" s="1"/>
      <c r="M135" s="1"/>
      <c r="N135" s="1"/>
      <c r="O135" s="1" t="s">
        <v>34</v>
      </c>
      <c r="P135" s="19">
        <v>1</v>
      </c>
      <c r="Q135" s="19">
        <v>1</v>
      </c>
      <c r="R135" s="19">
        <v>1</v>
      </c>
      <c r="S135" s="19">
        <v>1</v>
      </c>
      <c r="T135" s="19">
        <v>1</v>
      </c>
      <c r="U135" s="19">
        <v>1</v>
      </c>
      <c r="V135" s="19">
        <v>1</v>
      </c>
      <c r="W135" s="19">
        <v>1</v>
      </c>
      <c r="X135" s="19">
        <v>1</v>
      </c>
      <c r="Y135" s="19">
        <v>1</v>
      </c>
      <c r="Z135" s="19">
        <v>1</v>
      </c>
      <c r="AA135" s="19">
        <v>1</v>
      </c>
      <c r="AB135" s="19">
        <v>1</v>
      </c>
      <c r="AC135" s="19">
        <v>1</v>
      </c>
      <c r="AD135" s="19">
        <v>1</v>
      </c>
      <c r="AE135" s="19">
        <v>1</v>
      </c>
      <c r="AF135" s="19">
        <v>1</v>
      </c>
      <c r="AG135" s="19">
        <v>1</v>
      </c>
      <c r="AH135" s="19">
        <v>1</v>
      </c>
      <c r="AI135" s="19">
        <v>1</v>
      </c>
      <c r="AJ135" s="19">
        <v>1</v>
      </c>
      <c r="AK135" s="19">
        <v>1</v>
      </c>
      <c r="AL135" s="19">
        <v>1</v>
      </c>
      <c r="AM135" s="19">
        <v>1</v>
      </c>
      <c r="AN135" s="19">
        <v>1</v>
      </c>
      <c r="AO135" s="19">
        <v>1</v>
      </c>
      <c r="AP135" s="19">
        <v>1</v>
      </c>
      <c r="AQ135" s="19">
        <v>1</v>
      </c>
      <c r="AR135" s="19">
        <v>1</v>
      </c>
      <c r="AS135" s="19">
        <v>1</v>
      </c>
      <c r="AT135" s="19">
        <v>1</v>
      </c>
      <c r="AU135" s="19">
        <v>1</v>
      </c>
      <c r="AV135" s="19">
        <v>1</v>
      </c>
      <c r="AW135" s="19">
        <v>1</v>
      </c>
      <c r="AX135" s="19">
        <v>1</v>
      </c>
      <c r="AY135" s="19">
        <v>1</v>
      </c>
      <c r="AZ135" s="19">
        <v>1</v>
      </c>
      <c r="BA135" s="19">
        <v>1</v>
      </c>
      <c r="BB135" s="19">
        <v>1</v>
      </c>
      <c r="BC135" s="19">
        <v>1</v>
      </c>
      <c r="BD135" s="19">
        <v>1</v>
      </c>
      <c r="BE135" s="19">
        <v>1</v>
      </c>
      <c r="BF135" s="19">
        <v>1</v>
      </c>
      <c r="BG135" s="19">
        <v>1</v>
      </c>
      <c r="BH135" s="19">
        <v>1</v>
      </c>
      <c r="BI135" s="19">
        <v>1</v>
      </c>
      <c r="BJ135" s="19">
        <v>1</v>
      </c>
      <c r="BK135" s="19">
        <v>1</v>
      </c>
      <c r="BL135" s="19">
        <v>1</v>
      </c>
      <c r="BM135" s="19">
        <v>1</v>
      </c>
      <c r="BN135" s="19">
        <v>1</v>
      </c>
      <c r="BO135" s="19">
        <v>1</v>
      </c>
    </row>
    <row r="136" spans="1:67" ht="21" customHeight="1">
      <c r="A136" s="34"/>
      <c r="B136" s="35"/>
      <c r="C136" s="35"/>
      <c r="D136" s="35" t="s">
        <v>35</v>
      </c>
      <c r="E136" s="33"/>
      <c r="F136" s="33"/>
      <c r="G136" s="33"/>
      <c r="H136" s="1" t="s">
        <v>36</v>
      </c>
      <c r="I136" s="1"/>
      <c r="J136" s="1"/>
      <c r="K136" s="1"/>
      <c r="L136" s="1"/>
      <c r="M136" s="1"/>
      <c r="N136" s="1"/>
      <c r="O136" s="1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  <c r="AM136" s="19"/>
      <c r="AN136" s="19"/>
      <c r="AO136" s="19"/>
      <c r="AP136" s="19"/>
      <c r="AQ136" s="19"/>
      <c r="AR136" s="19"/>
      <c r="AS136" s="19"/>
      <c r="AT136" s="19"/>
      <c r="AU136" s="19"/>
      <c r="AV136" s="19"/>
      <c r="AW136" s="19"/>
      <c r="AX136" s="19"/>
      <c r="AY136" s="19"/>
      <c r="AZ136" s="19"/>
      <c r="BA136" s="19"/>
      <c r="BB136" s="19"/>
      <c r="BC136" s="19"/>
      <c r="BD136" s="19"/>
      <c r="BE136" s="19"/>
      <c r="BF136" s="19"/>
      <c r="BG136" s="19"/>
      <c r="BH136" s="19"/>
      <c r="BI136" s="19"/>
      <c r="BJ136" s="19"/>
      <c r="BK136" s="19"/>
      <c r="BL136" s="19"/>
      <c r="BM136" s="19"/>
      <c r="BN136" s="19"/>
      <c r="BO136" s="19"/>
    </row>
    <row r="137" spans="1:67" ht="21" customHeight="1">
      <c r="A137" s="34"/>
      <c r="B137" s="35"/>
      <c r="C137" s="35"/>
      <c r="D137" s="35" t="s">
        <v>35</v>
      </c>
      <c r="E137" s="33"/>
      <c r="F137" s="33" t="s">
        <v>57</v>
      </c>
      <c r="G137" s="33" t="s">
        <v>154</v>
      </c>
      <c r="H137" s="1" t="s">
        <v>33</v>
      </c>
      <c r="I137" s="1"/>
      <c r="J137" s="1"/>
      <c r="K137" s="1"/>
      <c r="L137" s="7"/>
      <c r="M137" s="1"/>
      <c r="N137" s="1"/>
      <c r="O137" s="1" t="s">
        <v>73</v>
      </c>
      <c r="P137" s="19"/>
      <c r="Q137" s="19"/>
      <c r="R137" s="19">
        <v>3</v>
      </c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>
        <v>3</v>
      </c>
      <c r="AF137" s="19"/>
      <c r="AG137" s="19"/>
      <c r="AH137" s="19"/>
      <c r="AI137" s="19"/>
      <c r="AJ137" s="19"/>
      <c r="AK137" s="19"/>
      <c r="AL137" s="19"/>
      <c r="AM137" s="19"/>
      <c r="AN137" s="19"/>
      <c r="AO137" s="19"/>
      <c r="AP137" s="19"/>
      <c r="AQ137" s="19"/>
      <c r="AR137" s="19">
        <v>3</v>
      </c>
      <c r="AS137" s="19"/>
      <c r="AT137" s="19"/>
      <c r="AU137" s="19"/>
      <c r="AV137" s="19"/>
      <c r="AW137" s="19"/>
      <c r="AX137" s="19"/>
      <c r="AY137" s="19"/>
      <c r="AZ137" s="19"/>
      <c r="BA137" s="19"/>
      <c r="BB137" s="19"/>
      <c r="BC137" s="19"/>
      <c r="BD137" s="19"/>
      <c r="BE137" s="19">
        <v>3</v>
      </c>
      <c r="BF137" s="19"/>
      <c r="BG137" s="19"/>
      <c r="BH137" s="19"/>
      <c r="BI137" s="19"/>
      <c r="BJ137" s="19"/>
      <c r="BK137" s="19"/>
      <c r="BL137" s="19"/>
      <c r="BM137" s="19"/>
      <c r="BN137" s="19"/>
      <c r="BO137" s="19"/>
    </row>
    <row r="138" spans="1:67" ht="21" customHeight="1">
      <c r="A138" s="34"/>
      <c r="B138" s="35"/>
      <c r="C138" s="35"/>
      <c r="D138" s="35" t="s">
        <v>35</v>
      </c>
      <c r="E138" s="33"/>
      <c r="F138" s="33"/>
      <c r="G138" s="33"/>
      <c r="H138" s="1" t="s">
        <v>36</v>
      </c>
      <c r="I138" s="1"/>
      <c r="J138" s="1"/>
      <c r="K138" s="1"/>
      <c r="L138" s="1"/>
      <c r="M138" s="1"/>
      <c r="N138" s="1"/>
      <c r="O138" s="1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  <c r="AM138" s="19"/>
      <c r="AN138" s="19"/>
      <c r="AO138" s="19"/>
      <c r="AP138" s="19"/>
      <c r="AQ138" s="19"/>
      <c r="AR138" s="19"/>
      <c r="AS138" s="19"/>
      <c r="AT138" s="19"/>
      <c r="AU138" s="19"/>
      <c r="AV138" s="19"/>
      <c r="AW138" s="19"/>
      <c r="AX138" s="19"/>
      <c r="AY138" s="19"/>
      <c r="AZ138" s="19"/>
      <c r="BA138" s="19"/>
      <c r="BB138" s="19"/>
      <c r="BC138" s="19"/>
      <c r="BD138" s="19"/>
      <c r="BE138" s="19"/>
      <c r="BF138" s="19"/>
      <c r="BG138" s="19"/>
      <c r="BH138" s="19"/>
      <c r="BI138" s="19"/>
      <c r="BJ138" s="19"/>
      <c r="BK138" s="19"/>
      <c r="BL138" s="19"/>
      <c r="BM138" s="19"/>
      <c r="BN138" s="19"/>
      <c r="BO138" s="19"/>
    </row>
    <row r="139" spans="1:67" ht="21" customHeight="1">
      <c r="A139" s="34"/>
      <c r="B139" s="35"/>
      <c r="C139" s="35"/>
      <c r="D139" s="35" t="s">
        <v>35</v>
      </c>
      <c r="E139" s="33"/>
      <c r="F139" s="33"/>
      <c r="G139" s="33" t="s">
        <v>155</v>
      </c>
      <c r="H139" s="1" t="s">
        <v>33</v>
      </c>
      <c r="I139" s="1"/>
      <c r="J139" s="1"/>
      <c r="K139" s="1"/>
      <c r="L139" s="1"/>
      <c r="M139" s="1"/>
      <c r="N139" s="3"/>
      <c r="O139" s="1" t="s">
        <v>41</v>
      </c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  <c r="AL139" s="19"/>
      <c r="AM139" s="19"/>
      <c r="AN139" s="19"/>
      <c r="AO139" s="19"/>
      <c r="AP139" s="19"/>
      <c r="AQ139" s="19"/>
      <c r="AR139" s="19"/>
      <c r="AS139" s="19"/>
      <c r="AT139" s="19"/>
      <c r="AU139" s="19"/>
      <c r="AV139" s="19"/>
      <c r="AW139" s="19"/>
      <c r="AX139" s="19"/>
      <c r="AY139" s="19"/>
      <c r="AZ139" s="19"/>
      <c r="BA139" s="19"/>
      <c r="BB139" s="19"/>
      <c r="BC139" s="19"/>
      <c r="BD139" s="19"/>
      <c r="BE139" s="19"/>
      <c r="BF139" s="19"/>
      <c r="BG139" s="19"/>
      <c r="BH139" s="19"/>
      <c r="BI139" s="19"/>
      <c r="BJ139" s="19">
        <v>5</v>
      </c>
      <c r="BK139" s="19"/>
      <c r="BL139" s="19"/>
      <c r="BM139" s="19"/>
      <c r="BN139" s="19"/>
      <c r="BO139" s="19"/>
    </row>
    <row r="140" spans="1:67" ht="21" customHeight="1">
      <c r="A140" s="34"/>
      <c r="B140" s="35"/>
      <c r="C140" s="35"/>
      <c r="D140" s="35" t="s">
        <v>35</v>
      </c>
      <c r="E140" s="33"/>
      <c r="F140" s="33"/>
      <c r="G140" s="33"/>
      <c r="H140" s="1" t="s">
        <v>36</v>
      </c>
      <c r="I140" s="1"/>
      <c r="J140" s="1"/>
      <c r="K140" s="1"/>
      <c r="L140" s="1"/>
      <c r="M140" s="1"/>
      <c r="N140" s="1"/>
      <c r="O140" s="1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  <c r="AM140" s="19"/>
      <c r="AN140" s="19"/>
      <c r="AO140" s="19"/>
      <c r="AP140" s="19"/>
      <c r="AQ140" s="19"/>
      <c r="AR140" s="19"/>
      <c r="AS140" s="19"/>
      <c r="AT140" s="19"/>
      <c r="AU140" s="19"/>
      <c r="AV140" s="19"/>
      <c r="AW140" s="19"/>
      <c r="AX140" s="19"/>
      <c r="AY140" s="19"/>
      <c r="AZ140" s="19"/>
      <c r="BA140" s="19"/>
      <c r="BB140" s="19"/>
      <c r="BC140" s="19"/>
      <c r="BD140" s="19"/>
      <c r="BE140" s="19"/>
      <c r="BF140" s="19"/>
      <c r="BG140" s="19"/>
      <c r="BH140" s="19"/>
      <c r="BI140" s="19"/>
      <c r="BJ140" s="19"/>
      <c r="BK140" s="19"/>
      <c r="BL140" s="19"/>
      <c r="BM140" s="19"/>
      <c r="BN140" s="19"/>
      <c r="BO140" s="19"/>
    </row>
    <row r="141" spans="1:67" ht="21" customHeight="1">
      <c r="A141" s="34"/>
      <c r="B141" s="35"/>
      <c r="C141" s="35"/>
      <c r="D141" s="35" t="s">
        <v>35</v>
      </c>
      <c r="E141" s="33"/>
      <c r="F141" s="33" t="s">
        <v>156</v>
      </c>
      <c r="G141" s="33" t="s">
        <v>157</v>
      </c>
      <c r="H141" s="1" t="s">
        <v>33</v>
      </c>
      <c r="I141" s="1"/>
      <c r="J141" s="1"/>
      <c r="K141" s="5"/>
      <c r="L141" s="1"/>
      <c r="M141" s="1"/>
      <c r="N141" s="1"/>
      <c r="O141" s="1" t="s">
        <v>46</v>
      </c>
      <c r="P141" s="19"/>
      <c r="Q141" s="19"/>
      <c r="R141" s="19">
        <v>2</v>
      </c>
      <c r="S141" s="19"/>
      <c r="T141" s="19"/>
      <c r="U141" s="19"/>
      <c r="V141" s="19"/>
      <c r="W141" s="19">
        <v>2</v>
      </c>
      <c r="X141" s="19"/>
      <c r="Y141" s="19"/>
      <c r="Z141" s="19"/>
      <c r="AA141" s="19">
        <v>2</v>
      </c>
      <c r="AB141" s="19"/>
      <c r="AC141" s="19"/>
      <c r="AD141" s="19"/>
      <c r="AE141" s="19">
        <v>2</v>
      </c>
      <c r="AF141" s="19"/>
      <c r="AG141" s="19"/>
      <c r="AH141" s="19"/>
      <c r="AI141" s="19">
        <v>2</v>
      </c>
      <c r="AJ141" s="19"/>
      <c r="AK141" s="19"/>
      <c r="AL141" s="19"/>
      <c r="AM141" s="19"/>
      <c r="AN141" s="19">
        <v>2</v>
      </c>
      <c r="AO141" s="19"/>
      <c r="AP141" s="19"/>
      <c r="AQ141" s="19"/>
      <c r="AR141" s="19">
        <v>2</v>
      </c>
      <c r="AS141" s="19"/>
      <c r="AT141" s="19"/>
      <c r="AU141" s="19"/>
      <c r="AV141" s="19"/>
      <c r="AW141" s="19">
        <v>2</v>
      </c>
      <c r="AX141" s="19"/>
      <c r="AY141" s="19"/>
      <c r="AZ141" s="19"/>
      <c r="BA141" s="19">
        <v>2</v>
      </c>
      <c r="BB141" s="19"/>
      <c r="BC141" s="19"/>
      <c r="BD141" s="19"/>
      <c r="BE141" s="19">
        <v>2</v>
      </c>
      <c r="BF141" s="19"/>
      <c r="BG141" s="19"/>
      <c r="BH141" s="19"/>
      <c r="BI141" s="19"/>
      <c r="BJ141" s="19">
        <v>2</v>
      </c>
      <c r="BK141" s="19"/>
      <c r="BL141" s="19"/>
      <c r="BM141" s="19"/>
      <c r="BN141" s="19">
        <v>2</v>
      </c>
      <c r="BO141" s="19"/>
    </row>
    <row r="142" spans="1:67" ht="21" customHeight="1">
      <c r="A142" s="34"/>
      <c r="B142" s="35"/>
      <c r="C142" s="35"/>
      <c r="D142" s="35" t="s">
        <v>35</v>
      </c>
      <c r="E142" s="33"/>
      <c r="F142" s="33"/>
      <c r="G142" s="33"/>
      <c r="H142" s="1" t="s">
        <v>36</v>
      </c>
      <c r="I142" s="1"/>
      <c r="J142" s="1"/>
      <c r="K142" s="1"/>
      <c r="L142" s="1"/>
      <c r="M142" s="1"/>
      <c r="N142" s="1"/>
      <c r="O142" s="1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  <c r="AJ142" s="19"/>
      <c r="AK142" s="19"/>
      <c r="AL142" s="19"/>
      <c r="AM142" s="19"/>
      <c r="AN142" s="19"/>
      <c r="AO142" s="19"/>
      <c r="AP142" s="19"/>
      <c r="AQ142" s="19"/>
      <c r="AR142" s="19"/>
      <c r="AS142" s="19"/>
      <c r="AT142" s="19"/>
      <c r="AU142" s="19"/>
      <c r="AV142" s="19"/>
      <c r="AW142" s="19"/>
      <c r="AX142" s="19"/>
      <c r="AY142" s="19"/>
      <c r="AZ142" s="19"/>
      <c r="BA142" s="19"/>
      <c r="BB142" s="19"/>
      <c r="BC142" s="19"/>
      <c r="BD142" s="19"/>
      <c r="BE142" s="19"/>
      <c r="BF142" s="19"/>
      <c r="BG142" s="19"/>
      <c r="BH142" s="19"/>
      <c r="BI142" s="19"/>
      <c r="BJ142" s="19"/>
      <c r="BK142" s="19"/>
      <c r="BL142" s="19"/>
      <c r="BM142" s="19"/>
      <c r="BN142" s="19"/>
      <c r="BO142" s="19"/>
    </row>
    <row r="143" spans="1:67" ht="21" customHeight="1">
      <c r="A143" s="34"/>
      <c r="B143" s="35" t="s">
        <v>164</v>
      </c>
      <c r="C143" s="35" t="s">
        <v>165</v>
      </c>
      <c r="D143" s="35" t="s">
        <v>166</v>
      </c>
      <c r="E143" s="33" t="s">
        <v>152</v>
      </c>
      <c r="F143" s="33" t="s">
        <v>31</v>
      </c>
      <c r="G143" s="33" t="s">
        <v>153</v>
      </c>
      <c r="H143" s="1" t="s">
        <v>33</v>
      </c>
      <c r="I143" s="1"/>
      <c r="J143" s="2"/>
      <c r="K143" s="1"/>
      <c r="L143" s="1"/>
      <c r="M143" s="1"/>
      <c r="N143" s="1"/>
      <c r="O143" s="1" t="s">
        <v>34</v>
      </c>
      <c r="P143" s="19">
        <v>1</v>
      </c>
      <c r="Q143" s="19">
        <v>1</v>
      </c>
      <c r="R143" s="19">
        <v>1</v>
      </c>
      <c r="S143" s="19">
        <v>1</v>
      </c>
      <c r="T143" s="19">
        <v>1</v>
      </c>
      <c r="U143" s="19">
        <v>1</v>
      </c>
      <c r="V143" s="19">
        <v>1</v>
      </c>
      <c r="W143" s="19">
        <v>1</v>
      </c>
      <c r="X143" s="19">
        <v>1</v>
      </c>
      <c r="Y143" s="19">
        <v>1</v>
      </c>
      <c r="Z143" s="19">
        <v>1</v>
      </c>
      <c r="AA143" s="19">
        <v>1</v>
      </c>
      <c r="AB143" s="19">
        <v>1</v>
      </c>
      <c r="AC143" s="19">
        <v>1</v>
      </c>
      <c r="AD143" s="19">
        <v>1</v>
      </c>
      <c r="AE143" s="19">
        <v>1</v>
      </c>
      <c r="AF143" s="19">
        <v>1</v>
      </c>
      <c r="AG143" s="19">
        <v>1</v>
      </c>
      <c r="AH143" s="19">
        <v>1</v>
      </c>
      <c r="AI143" s="19">
        <v>1</v>
      </c>
      <c r="AJ143" s="19">
        <v>1</v>
      </c>
      <c r="AK143" s="19">
        <v>1</v>
      </c>
      <c r="AL143" s="19">
        <v>1</v>
      </c>
      <c r="AM143" s="19">
        <v>1</v>
      </c>
      <c r="AN143" s="19">
        <v>1</v>
      </c>
      <c r="AO143" s="19">
        <v>1</v>
      </c>
      <c r="AP143" s="19">
        <v>1</v>
      </c>
      <c r="AQ143" s="19">
        <v>1</v>
      </c>
      <c r="AR143" s="19">
        <v>1</v>
      </c>
      <c r="AS143" s="19">
        <v>1</v>
      </c>
      <c r="AT143" s="19">
        <v>1</v>
      </c>
      <c r="AU143" s="19">
        <v>1</v>
      </c>
      <c r="AV143" s="19">
        <v>1</v>
      </c>
      <c r="AW143" s="19">
        <v>1</v>
      </c>
      <c r="AX143" s="19">
        <v>1</v>
      </c>
      <c r="AY143" s="19">
        <v>1</v>
      </c>
      <c r="AZ143" s="19">
        <v>1</v>
      </c>
      <c r="BA143" s="19">
        <v>1</v>
      </c>
      <c r="BB143" s="19">
        <v>1</v>
      </c>
      <c r="BC143" s="19">
        <v>1</v>
      </c>
      <c r="BD143" s="19">
        <v>1</v>
      </c>
      <c r="BE143" s="19">
        <v>1</v>
      </c>
      <c r="BF143" s="19">
        <v>1</v>
      </c>
      <c r="BG143" s="19">
        <v>1</v>
      </c>
      <c r="BH143" s="19">
        <v>1</v>
      </c>
      <c r="BI143" s="19">
        <v>1</v>
      </c>
      <c r="BJ143" s="19">
        <v>1</v>
      </c>
      <c r="BK143" s="19">
        <v>1</v>
      </c>
      <c r="BL143" s="19">
        <v>1</v>
      </c>
      <c r="BM143" s="19">
        <v>1</v>
      </c>
      <c r="BN143" s="19">
        <v>1</v>
      </c>
      <c r="BO143" s="19">
        <v>1</v>
      </c>
    </row>
    <row r="144" spans="1:67" ht="21" customHeight="1">
      <c r="A144" s="34"/>
      <c r="B144" s="35"/>
      <c r="C144" s="35"/>
      <c r="D144" s="35" t="s">
        <v>35</v>
      </c>
      <c r="E144" s="33"/>
      <c r="F144" s="33"/>
      <c r="G144" s="33"/>
      <c r="H144" s="1" t="s">
        <v>36</v>
      </c>
      <c r="I144" s="1"/>
      <c r="J144" s="1"/>
      <c r="K144" s="1"/>
      <c r="L144" s="1"/>
      <c r="M144" s="1"/>
      <c r="N144" s="1"/>
      <c r="O144" s="1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9"/>
      <c r="AJ144" s="19"/>
      <c r="AK144" s="19"/>
      <c r="AL144" s="19"/>
      <c r="AM144" s="19"/>
      <c r="AN144" s="19"/>
      <c r="AO144" s="19"/>
      <c r="AP144" s="19"/>
      <c r="AQ144" s="19"/>
      <c r="AR144" s="19"/>
      <c r="AS144" s="19"/>
      <c r="AT144" s="19"/>
      <c r="AU144" s="19"/>
      <c r="AV144" s="19"/>
      <c r="AW144" s="19"/>
      <c r="AX144" s="19"/>
      <c r="AY144" s="19"/>
      <c r="AZ144" s="19"/>
      <c r="BA144" s="19"/>
      <c r="BB144" s="19"/>
      <c r="BC144" s="19"/>
      <c r="BD144" s="19"/>
      <c r="BE144" s="19"/>
      <c r="BF144" s="19"/>
      <c r="BG144" s="19"/>
      <c r="BH144" s="19"/>
      <c r="BI144" s="19"/>
      <c r="BJ144" s="19"/>
      <c r="BK144" s="19"/>
      <c r="BL144" s="19"/>
      <c r="BM144" s="19"/>
      <c r="BN144" s="19"/>
      <c r="BO144" s="19"/>
    </row>
    <row r="145" spans="1:67" ht="21" customHeight="1">
      <c r="A145" s="34"/>
      <c r="B145" s="35"/>
      <c r="C145" s="35"/>
      <c r="D145" s="35" t="s">
        <v>35</v>
      </c>
      <c r="E145" s="33"/>
      <c r="F145" s="33" t="s">
        <v>57</v>
      </c>
      <c r="G145" s="33" t="s">
        <v>154</v>
      </c>
      <c r="H145" s="1" t="s">
        <v>33</v>
      </c>
      <c r="I145" s="1"/>
      <c r="J145" s="1"/>
      <c r="K145" s="1"/>
      <c r="L145" s="7"/>
      <c r="M145" s="1"/>
      <c r="N145" s="1"/>
      <c r="O145" s="1" t="s">
        <v>73</v>
      </c>
      <c r="P145" s="19"/>
      <c r="Q145" s="19"/>
      <c r="R145" s="19">
        <v>3</v>
      </c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>
        <v>3</v>
      </c>
      <c r="AF145" s="19"/>
      <c r="AG145" s="19"/>
      <c r="AH145" s="19"/>
      <c r="AI145" s="19"/>
      <c r="AJ145" s="19"/>
      <c r="AK145" s="19"/>
      <c r="AL145" s="19"/>
      <c r="AM145" s="19"/>
      <c r="AN145" s="19"/>
      <c r="AO145" s="19"/>
      <c r="AP145" s="19"/>
      <c r="AQ145" s="19"/>
      <c r="AR145" s="19">
        <v>3</v>
      </c>
      <c r="AS145" s="19"/>
      <c r="AT145" s="19"/>
      <c r="AU145" s="19"/>
      <c r="AV145" s="19"/>
      <c r="AW145" s="19"/>
      <c r="AX145" s="19"/>
      <c r="AY145" s="19"/>
      <c r="AZ145" s="19"/>
      <c r="BA145" s="19"/>
      <c r="BB145" s="19"/>
      <c r="BC145" s="19"/>
      <c r="BD145" s="19"/>
      <c r="BE145" s="19">
        <v>3</v>
      </c>
      <c r="BF145" s="19"/>
      <c r="BG145" s="19"/>
      <c r="BH145" s="19"/>
      <c r="BI145" s="19"/>
      <c r="BJ145" s="19"/>
      <c r="BK145" s="19"/>
      <c r="BL145" s="19"/>
      <c r="BM145" s="19"/>
      <c r="BN145" s="19"/>
      <c r="BO145" s="19"/>
    </row>
    <row r="146" spans="1:67" ht="21" customHeight="1">
      <c r="A146" s="34"/>
      <c r="B146" s="35"/>
      <c r="C146" s="35"/>
      <c r="D146" s="35" t="s">
        <v>35</v>
      </c>
      <c r="E146" s="33"/>
      <c r="F146" s="33"/>
      <c r="G146" s="33"/>
      <c r="H146" s="1" t="s">
        <v>36</v>
      </c>
      <c r="I146" s="1"/>
      <c r="J146" s="1"/>
      <c r="K146" s="1"/>
      <c r="L146" s="1"/>
      <c r="M146" s="1"/>
      <c r="N146" s="1"/>
      <c r="O146" s="1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  <c r="AK146" s="19"/>
      <c r="AL146" s="19"/>
      <c r="AM146" s="19"/>
      <c r="AN146" s="19"/>
      <c r="AO146" s="19"/>
      <c r="AP146" s="19"/>
      <c r="AQ146" s="19"/>
      <c r="AR146" s="19"/>
      <c r="AS146" s="19"/>
      <c r="AT146" s="19"/>
      <c r="AU146" s="19"/>
      <c r="AV146" s="19"/>
      <c r="AW146" s="19"/>
      <c r="AX146" s="19"/>
      <c r="AY146" s="19"/>
      <c r="AZ146" s="19"/>
      <c r="BA146" s="19"/>
      <c r="BB146" s="19"/>
      <c r="BC146" s="19"/>
      <c r="BD146" s="19"/>
      <c r="BE146" s="19"/>
      <c r="BF146" s="19"/>
      <c r="BG146" s="19"/>
      <c r="BH146" s="19"/>
      <c r="BI146" s="19"/>
      <c r="BJ146" s="19"/>
      <c r="BK146" s="19"/>
      <c r="BL146" s="19"/>
      <c r="BM146" s="19"/>
      <c r="BN146" s="19"/>
      <c r="BO146" s="19"/>
    </row>
    <row r="147" spans="1:67" ht="21" customHeight="1">
      <c r="A147" s="34"/>
      <c r="B147" s="35"/>
      <c r="C147" s="35"/>
      <c r="D147" s="35" t="s">
        <v>35</v>
      </c>
      <c r="E147" s="33"/>
      <c r="F147" s="33"/>
      <c r="G147" s="33" t="s">
        <v>155</v>
      </c>
      <c r="H147" s="1" t="s">
        <v>33</v>
      </c>
      <c r="I147" s="1"/>
      <c r="J147" s="1"/>
      <c r="K147" s="1"/>
      <c r="L147" s="1"/>
      <c r="M147" s="1"/>
      <c r="N147" s="3"/>
      <c r="O147" s="1" t="s">
        <v>41</v>
      </c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  <c r="AK147" s="19"/>
      <c r="AL147" s="19"/>
      <c r="AM147" s="19"/>
      <c r="AN147" s="19"/>
      <c r="AO147" s="19"/>
      <c r="AP147" s="19"/>
      <c r="AQ147" s="19"/>
      <c r="AR147" s="19"/>
      <c r="AS147" s="19"/>
      <c r="AT147" s="19"/>
      <c r="AU147" s="19"/>
      <c r="AV147" s="19"/>
      <c r="AW147" s="19"/>
      <c r="AX147" s="19"/>
      <c r="AY147" s="19"/>
      <c r="AZ147" s="19"/>
      <c r="BA147" s="19"/>
      <c r="BB147" s="19"/>
      <c r="BC147" s="19"/>
      <c r="BD147" s="19"/>
      <c r="BE147" s="19"/>
      <c r="BF147" s="19"/>
      <c r="BG147" s="19"/>
      <c r="BH147" s="19"/>
      <c r="BI147" s="19"/>
      <c r="BJ147" s="19">
        <v>5</v>
      </c>
      <c r="BK147" s="19"/>
      <c r="BL147" s="19"/>
      <c r="BM147" s="19"/>
      <c r="BN147" s="19"/>
      <c r="BO147" s="19"/>
    </row>
    <row r="148" spans="1:67" ht="21" customHeight="1">
      <c r="A148" s="34"/>
      <c r="B148" s="35"/>
      <c r="C148" s="35"/>
      <c r="D148" s="35" t="s">
        <v>35</v>
      </c>
      <c r="E148" s="33"/>
      <c r="F148" s="33"/>
      <c r="G148" s="33"/>
      <c r="H148" s="1" t="s">
        <v>36</v>
      </c>
      <c r="I148" s="1"/>
      <c r="J148" s="1"/>
      <c r="K148" s="1"/>
      <c r="L148" s="1"/>
      <c r="M148" s="1"/>
      <c r="N148" s="1"/>
      <c r="O148" s="1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  <c r="AL148" s="19"/>
      <c r="AM148" s="19"/>
      <c r="AN148" s="19"/>
      <c r="AO148" s="19"/>
      <c r="AP148" s="19"/>
      <c r="AQ148" s="19"/>
      <c r="AR148" s="19"/>
      <c r="AS148" s="19"/>
      <c r="AT148" s="19"/>
      <c r="AU148" s="19"/>
      <c r="AV148" s="19"/>
      <c r="AW148" s="19"/>
      <c r="AX148" s="19"/>
      <c r="AY148" s="19"/>
      <c r="AZ148" s="19"/>
      <c r="BA148" s="19"/>
      <c r="BB148" s="19"/>
      <c r="BC148" s="19"/>
      <c r="BD148" s="19"/>
      <c r="BE148" s="19"/>
      <c r="BF148" s="19"/>
      <c r="BG148" s="19"/>
      <c r="BH148" s="19"/>
      <c r="BI148" s="19"/>
      <c r="BJ148" s="19"/>
      <c r="BK148" s="19"/>
      <c r="BL148" s="19"/>
      <c r="BM148" s="19"/>
      <c r="BN148" s="19"/>
      <c r="BO148" s="19"/>
    </row>
    <row r="149" spans="1:67" ht="21" customHeight="1">
      <c r="A149" s="34"/>
      <c r="B149" s="35"/>
      <c r="C149" s="35"/>
      <c r="D149" s="35" t="s">
        <v>35</v>
      </c>
      <c r="E149" s="33"/>
      <c r="F149" s="33" t="s">
        <v>156</v>
      </c>
      <c r="G149" s="33" t="s">
        <v>157</v>
      </c>
      <c r="H149" s="1" t="s">
        <v>33</v>
      </c>
      <c r="I149" s="1"/>
      <c r="J149" s="1"/>
      <c r="K149" s="5"/>
      <c r="L149" s="1"/>
      <c r="M149" s="1"/>
      <c r="N149" s="1"/>
      <c r="O149" s="1" t="s">
        <v>46</v>
      </c>
      <c r="P149" s="19"/>
      <c r="Q149" s="19"/>
      <c r="R149" s="19">
        <v>2</v>
      </c>
      <c r="S149" s="19"/>
      <c r="T149" s="19"/>
      <c r="U149" s="19"/>
      <c r="V149" s="19"/>
      <c r="W149" s="19">
        <v>2</v>
      </c>
      <c r="X149" s="19"/>
      <c r="Y149" s="19"/>
      <c r="Z149" s="19"/>
      <c r="AA149" s="19">
        <v>2</v>
      </c>
      <c r="AB149" s="19"/>
      <c r="AC149" s="19"/>
      <c r="AD149" s="19"/>
      <c r="AE149" s="19">
        <v>2</v>
      </c>
      <c r="AF149" s="19"/>
      <c r="AG149" s="19"/>
      <c r="AH149" s="19"/>
      <c r="AI149" s="19">
        <v>2</v>
      </c>
      <c r="AJ149" s="19"/>
      <c r="AK149" s="19"/>
      <c r="AL149" s="19"/>
      <c r="AM149" s="19"/>
      <c r="AN149" s="19">
        <v>2</v>
      </c>
      <c r="AO149" s="19"/>
      <c r="AP149" s="19"/>
      <c r="AQ149" s="19"/>
      <c r="AR149" s="19">
        <v>2</v>
      </c>
      <c r="AS149" s="19"/>
      <c r="AT149" s="19"/>
      <c r="AU149" s="19"/>
      <c r="AV149" s="19"/>
      <c r="AW149" s="19">
        <v>2</v>
      </c>
      <c r="AX149" s="19"/>
      <c r="AY149" s="19"/>
      <c r="AZ149" s="19"/>
      <c r="BA149" s="19">
        <v>2</v>
      </c>
      <c r="BB149" s="19"/>
      <c r="BC149" s="19"/>
      <c r="BD149" s="19"/>
      <c r="BE149" s="19">
        <v>2</v>
      </c>
      <c r="BF149" s="19"/>
      <c r="BG149" s="19"/>
      <c r="BH149" s="19"/>
      <c r="BI149" s="19"/>
      <c r="BJ149" s="19">
        <v>2</v>
      </c>
      <c r="BK149" s="19"/>
      <c r="BL149" s="19"/>
      <c r="BM149" s="19"/>
      <c r="BN149" s="19">
        <v>2</v>
      </c>
      <c r="BO149" s="19"/>
    </row>
    <row r="150" spans="1:67" ht="21" customHeight="1">
      <c r="A150" s="34"/>
      <c r="B150" s="35"/>
      <c r="C150" s="35"/>
      <c r="D150" s="35" t="s">
        <v>35</v>
      </c>
      <c r="E150" s="33"/>
      <c r="F150" s="33"/>
      <c r="G150" s="33"/>
      <c r="H150" s="1" t="s">
        <v>36</v>
      </c>
      <c r="I150" s="1"/>
      <c r="J150" s="1"/>
      <c r="K150" s="1"/>
      <c r="L150" s="1"/>
      <c r="M150" s="1"/>
      <c r="N150" s="1"/>
      <c r="O150" s="1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  <c r="AS150" s="19"/>
      <c r="AT150" s="19"/>
      <c r="AU150" s="19"/>
      <c r="AV150" s="19"/>
      <c r="AW150" s="19"/>
      <c r="AX150" s="19"/>
      <c r="AY150" s="19"/>
      <c r="AZ150" s="19"/>
      <c r="BA150" s="19"/>
      <c r="BB150" s="19"/>
      <c r="BC150" s="19"/>
      <c r="BD150" s="19"/>
      <c r="BE150" s="19"/>
      <c r="BF150" s="19"/>
      <c r="BG150" s="19"/>
      <c r="BH150" s="19"/>
      <c r="BI150" s="19"/>
      <c r="BJ150" s="19"/>
      <c r="BK150" s="19"/>
      <c r="BL150" s="19"/>
      <c r="BM150" s="19"/>
      <c r="BN150" s="19"/>
      <c r="BO150" s="19"/>
    </row>
    <row r="151" spans="1:67" ht="21" customHeight="1">
      <c r="A151" s="34"/>
      <c r="B151" s="35" t="s">
        <v>167</v>
      </c>
      <c r="C151" s="35" t="s">
        <v>168</v>
      </c>
      <c r="D151" s="35" t="s">
        <v>169</v>
      </c>
      <c r="E151" s="33" t="s">
        <v>152</v>
      </c>
      <c r="F151" s="33" t="s">
        <v>31</v>
      </c>
      <c r="G151" s="33" t="s">
        <v>153</v>
      </c>
      <c r="H151" s="1" t="s">
        <v>33</v>
      </c>
      <c r="I151" s="1"/>
      <c r="J151" s="2"/>
      <c r="K151" s="1"/>
      <c r="L151" s="1"/>
      <c r="M151" s="1"/>
      <c r="N151" s="1"/>
      <c r="O151" s="1" t="s">
        <v>34</v>
      </c>
      <c r="P151" s="19">
        <v>1</v>
      </c>
      <c r="Q151" s="19">
        <v>1</v>
      </c>
      <c r="R151" s="19">
        <v>1</v>
      </c>
      <c r="S151" s="19">
        <v>1</v>
      </c>
      <c r="T151" s="19">
        <v>1</v>
      </c>
      <c r="U151" s="19">
        <v>1</v>
      </c>
      <c r="V151" s="19">
        <v>1</v>
      </c>
      <c r="W151" s="19">
        <v>1</v>
      </c>
      <c r="X151" s="19">
        <v>1</v>
      </c>
      <c r="Y151" s="19">
        <v>1</v>
      </c>
      <c r="Z151" s="19">
        <v>1</v>
      </c>
      <c r="AA151" s="19">
        <v>1</v>
      </c>
      <c r="AB151" s="19">
        <v>1</v>
      </c>
      <c r="AC151" s="19">
        <v>1</v>
      </c>
      <c r="AD151" s="19">
        <v>1</v>
      </c>
      <c r="AE151" s="19">
        <v>1</v>
      </c>
      <c r="AF151" s="19">
        <v>1</v>
      </c>
      <c r="AG151" s="19">
        <v>1</v>
      </c>
      <c r="AH151" s="19">
        <v>1</v>
      </c>
      <c r="AI151" s="19">
        <v>1</v>
      </c>
      <c r="AJ151" s="19">
        <v>1</v>
      </c>
      <c r="AK151" s="19">
        <v>1</v>
      </c>
      <c r="AL151" s="19">
        <v>1</v>
      </c>
      <c r="AM151" s="19">
        <v>1</v>
      </c>
      <c r="AN151" s="19">
        <v>1</v>
      </c>
      <c r="AO151" s="19">
        <v>1</v>
      </c>
      <c r="AP151" s="19">
        <v>1</v>
      </c>
      <c r="AQ151" s="19">
        <v>1</v>
      </c>
      <c r="AR151" s="19">
        <v>1</v>
      </c>
      <c r="AS151" s="19">
        <v>1</v>
      </c>
      <c r="AT151" s="19">
        <v>1</v>
      </c>
      <c r="AU151" s="19">
        <v>1</v>
      </c>
      <c r="AV151" s="19">
        <v>1</v>
      </c>
      <c r="AW151" s="19">
        <v>1</v>
      </c>
      <c r="AX151" s="19">
        <v>1</v>
      </c>
      <c r="AY151" s="19">
        <v>1</v>
      </c>
      <c r="AZ151" s="19">
        <v>1</v>
      </c>
      <c r="BA151" s="19">
        <v>1</v>
      </c>
      <c r="BB151" s="19">
        <v>1</v>
      </c>
      <c r="BC151" s="19">
        <v>1</v>
      </c>
      <c r="BD151" s="19">
        <v>1</v>
      </c>
      <c r="BE151" s="19">
        <v>1</v>
      </c>
      <c r="BF151" s="19">
        <v>1</v>
      </c>
      <c r="BG151" s="19">
        <v>1</v>
      </c>
      <c r="BH151" s="19">
        <v>1</v>
      </c>
      <c r="BI151" s="19">
        <v>1</v>
      </c>
      <c r="BJ151" s="19">
        <v>1</v>
      </c>
      <c r="BK151" s="19">
        <v>1</v>
      </c>
      <c r="BL151" s="19">
        <v>1</v>
      </c>
      <c r="BM151" s="19">
        <v>1</v>
      </c>
      <c r="BN151" s="19">
        <v>1</v>
      </c>
      <c r="BO151" s="19">
        <v>1</v>
      </c>
    </row>
    <row r="152" spans="1:67" ht="21" customHeight="1">
      <c r="A152" s="34"/>
      <c r="B152" s="35"/>
      <c r="C152" s="35"/>
      <c r="D152" s="35" t="s">
        <v>35</v>
      </c>
      <c r="E152" s="33"/>
      <c r="F152" s="33"/>
      <c r="G152" s="33"/>
      <c r="H152" s="1" t="s">
        <v>36</v>
      </c>
      <c r="I152" s="1"/>
      <c r="J152" s="1"/>
      <c r="K152" s="1"/>
      <c r="L152" s="1"/>
      <c r="M152" s="1"/>
      <c r="N152" s="1"/>
      <c r="O152" s="1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9"/>
      <c r="AJ152" s="19"/>
      <c r="AK152" s="19"/>
      <c r="AL152" s="19"/>
      <c r="AM152" s="19"/>
      <c r="AN152" s="19"/>
      <c r="AO152" s="19"/>
      <c r="AP152" s="19"/>
      <c r="AQ152" s="19"/>
      <c r="AR152" s="19"/>
      <c r="AS152" s="19"/>
      <c r="AT152" s="19"/>
      <c r="AU152" s="19"/>
      <c r="AV152" s="19"/>
      <c r="AW152" s="19"/>
      <c r="AX152" s="19"/>
      <c r="AY152" s="19"/>
      <c r="AZ152" s="19"/>
      <c r="BA152" s="19"/>
      <c r="BB152" s="19"/>
      <c r="BC152" s="19"/>
      <c r="BD152" s="19"/>
      <c r="BE152" s="19"/>
      <c r="BF152" s="19"/>
      <c r="BG152" s="19"/>
      <c r="BH152" s="19"/>
      <c r="BI152" s="19"/>
      <c r="BJ152" s="19"/>
      <c r="BK152" s="19"/>
      <c r="BL152" s="19"/>
      <c r="BM152" s="19"/>
      <c r="BN152" s="19"/>
      <c r="BO152" s="19"/>
    </row>
    <row r="153" spans="1:67" ht="21" customHeight="1">
      <c r="A153" s="34"/>
      <c r="B153" s="35"/>
      <c r="C153" s="35"/>
      <c r="D153" s="35" t="s">
        <v>35</v>
      </c>
      <c r="E153" s="33"/>
      <c r="F153" s="33" t="s">
        <v>57</v>
      </c>
      <c r="G153" s="33" t="s">
        <v>154</v>
      </c>
      <c r="H153" s="1" t="s">
        <v>33</v>
      </c>
      <c r="I153" s="1"/>
      <c r="J153" s="1"/>
      <c r="K153" s="1"/>
      <c r="L153" s="7"/>
      <c r="M153" s="1"/>
      <c r="N153" s="1"/>
      <c r="O153" s="1" t="s">
        <v>73</v>
      </c>
      <c r="P153" s="19"/>
      <c r="Q153" s="19"/>
      <c r="R153" s="19">
        <v>3</v>
      </c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>
        <v>3</v>
      </c>
      <c r="AF153" s="19"/>
      <c r="AG153" s="19"/>
      <c r="AH153" s="19"/>
      <c r="AI153" s="19"/>
      <c r="AJ153" s="19"/>
      <c r="AK153" s="19"/>
      <c r="AL153" s="19"/>
      <c r="AM153" s="19"/>
      <c r="AN153" s="19"/>
      <c r="AO153" s="19"/>
      <c r="AP153" s="19"/>
      <c r="AQ153" s="19"/>
      <c r="AR153" s="19">
        <v>3</v>
      </c>
      <c r="AS153" s="19"/>
      <c r="AT153" s="19"/>
      <c r="AU153" s="19"/>
      <c r="AV153" s="19"/>
      <c r="AW153" s="19"/>
      <c r="AX153" s="19"/>
      <c r="AY153" s="19"/>
      <c r="AZ153" s="19"/>
      <c r="BA153" s="19"/>
      <c r="BB153" s="19"/>
      <c r="BC153" s="19"/>
      <c r="BD153" s="19"/>
      <c r="BE153" s="19">
        <v>3</v>
      </c>
      <c r="BF153" s="19"/>
      <c r="BG153" s="19"/>
      <c r="BH153" s="19"/>
      <c r="BI153" s="19"/>
      <c r="BJ153" s="19"/>
      <c r="BK153" s="19"/>
      <c r="BL153" s="19"/>
      <c r="BM153" s="19"/>
      <c r="BN153" s="19"/>
      <c r="BO153" s="19"/>
    </row>
    <row r="154" spans="1:67" ht="21" customHeight="1">
      <c r="A154" s="34"/>
      <c r="B154" s="35"/>
      <c r="C154" s="35"/>
      <c r="D154" s="35" t="s">
        <v>35</v>
      </c>
      <c r="E154" s="33"/>
      <c r="F154" s="33"/>
      <c r="G154" s="33"/>
      <c r="H154" s="1" t="s">
        <v>36</v>
      </c>
      <c r="I154" s="1"/>
      <c r="J154" s="1"/>
      <c r="K154" s="1"/>
      <c r="L154" s="1"/>
      <c r="M154" s="1"/>
      <c r="N154" s="1"/>
      <c r="O154" s="1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9"/>
      <c r="AJ154" s="19"/>
      <c r="AK154" s="19"/>
      <c r="AL154" s="19"/>
      <c r="AM154" s="19"/>
      <c r="AN154" s="19"/>
      <c r="AO154" s="19"/>
      <c r="AP154" s="19"/>
      <c r="AQ154" s="19"/>
      <c r="AR154" s="19"/>
      <c r="AS154" s="19"/>
      <c r="AT154" s="19"/>
      <c r="AU154" s="19"/>
      <c r="AV154" s="19"/>
      <c r="AW154" s="19"/>
      <c r="AX154" s="19"/>
      <c r="AY154" s="19"/>
      <c r="AZ154" s="19"/>
      <c r="BA154" s="19"/>
      <c r="BB154" s="19"/>
      <c r="BC154" s="19"/>
      <c r="BD154" s="19"/>
      <c r="BE154" s="19"/>
      <c r="BF154" s="19"/>
      <c r="BG154" s="19"/>
      <c r="BH154" s="19"/>
      <c r="BI154" s="19"/>
      <c r="BJ154" s="19"/>
      <c r="BK154" s="19"/>
      <c r="BL154" s="19"/>
      <c r="BM154" s="19"/>
      <c r="BN154" s="19"/>
      <c r="BO154" s="19"/>
    </row>
    <row r="155" spans="1:67" ht="21" customHeight="1">
      <c r="A155" s="34"/>
      <c r="B155" s="35"/>
      <c r="C155" s="35"/>
      <c r="D155" s="35" t="s">
        <v>35</v>
      </c>
      <c r="E155" s="33"/>
      <c r="F155" s="33"/>
      <c r="G155" s="33" t="s">
        <v>155</v>
      </c>
      <c r="H155" s="1" t="s">
        <v>33</v>
      </c>
      <c r="I155" s="1"/>
      <c r="J155" s="1"/>
      <c r="K155" s="1"/>
      <c r="L155" s="1"/>
      <c r="M155" s="1"/>
      <c r="N155" s="3"/>
      <c r="O155" s="1" t="s">
        <v>41</v>
      </c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9"/>
      <c r="AJ155" s="19"/>
      <c r="AK155" s="19"/>
      <c r="AL155" s="19"/>
      <c r="AM155" s="19"/>
      <c r="AN155" s="19"/>
      <c r="AO155" s="19"/>
      <c r="AP155" s="19"/>
      <c r="AQ155" s="19"/>
      <c r="AR155" s="19"/>
      <c r="AS155" s="19"/>
      <c r="AT155" s="19"/>
      <c r="AU155" s="19"/>
      <c r="AV155" s="19"/>
      <c r="AW155" s="19"/>
      <c r="AX155" s="19"/>
      <c r="AY155" s="19"/>
      <c r="AZ155" s="19"/>
      <c r="BA155" s="19"/>
      <c r="BB155" s="19"/>
      <c r="BC155" s="19"/>
      <c r="BD155" s="19"/>
      <c r="BE155" s="19"/>
      <c r="BF155" s="19"/>
      <c r="BG155" s="19"/>
      <c r="BH155" s="19"/>
      <c r="BI155" s="19"/>
      <c r="BJ155" s="19">
        <v>5</v>
      </c>
      <c r="BK155" s="19"/>
      <c r="BL155" s="19"/>
      <c r="BM155" s="19"/>
      <c r="BN155" s="19"/>
      <c r="BO155" s="19"/>
    </row>
    <row r="156" spans="1:67" ht="21" customHeight="1">
      <c r="A156" s="34"/>
      <c r="B156" s="35"/>
      <c r="C156" s="35"/>
      <c r="D156" s="35" t="s">
        <v>35</v>
      </c>
      <c r="E156" s="33"/>
      <c r="F156" s="33"/>
      <c r="G156" s="33"/>
      <c r="H156" s="1" t="s">
        <v>36</v>
      </c>
      <c r="I156" s="1"/>
      <c r="J156" s="1"/>
      <c r="K156" s="1"/>
      <c r="L156" s="1"/>
      <c r="M156" s="1"/>
      <c r="N156" s="1"/>
      <c r="O156" s="1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9"/>
      <c r="AJ156" s="19"/>
      <c r="AK156" s="19"/>
      <c r="AL156" s="19"/>
      <c r="AM156" s="19"/>
      <c r="AN156" s="19"/>
      <c r="AO156" s="19"/>
      <c r="AP156" s="19"/>
      <c r="AQ156" s="19"/>
      <c r="AR156" s="19"/>
      <c r="AS156" s="19"/>
      <c r="AT156" s="19"/>
      <c r="AU156" s="19"/>
      <c r="AV156" s="19"/>
      <c r="AW156" s="19"/>
      <c r="AX156" s="19"/>
      <c r="AY156" s="19"/>
      <c r="AZ156" s="19"/>
      <c r="BA156" s="19"/>
      <c r="BB156" s="19"/>
      <c r="BC156" s="19"/>
      <c r="BD156" s="19"/>
      <c r="BE156" s="19"/>
      <c r="BF156" s="19"/>
      <c r="BG156" s="19"/>
      <c r="BH156" s="19"/>
      <c r="BI156" s="19"/>
      <c r="BJ156" s="19"/>
      <c r="BK156" s="19"/>
      <c r="BL156" s="19"/>
      <c r="BM156" s="19"/>
      <c r="BN156" s="19"/>
      <c r="BO156" s="19"/>
    </row>
    <row r="157" spans="1:67" ht="21" customHeight="1">
      <c r="A157" s="34"/>
      <c r="B157" s="35"/>
      <c r="C157" s="35"/>
      <c r="D157" s="35" t="s">
        <v>35</v>
      </c>
      <c r="E157" s="33"/>
      <c r="F157" s="33" t="s">
        <v>156</v>
      </c>
      <c r="G157" s="33" t="s">
        <v>157</v>
      </c>
      <c r="H157" s="1" t="s">
        <v>33</v>
      </c>
      <c r="I157" s="1"/>
      <c r="J157" s="1"/>
      <c r="K157" s="5"/>
      <c r="L157" s="1"/>
      <c r="M157" s="1"/>
      <c r="N157" s="1"/>
      <c r="O157" s="1" t="s">
        <v>46</v>
      </c>
      <c r="P157" s="19"/>
      <c r="Q157" s="19"/>
      <c r="R157" s="19">
        <v>2</v>
      </c>
      <c r="S157" s="19"/>
      <c r="T157" s="19"/>
      <c r="U157" s="19"/>
      <c r="V157" s="19"/>
      <c r="W157" s="19">
        <v>2</v>
      </c>
      <c r="X157" s="19"/>
      <c r="Y157" s="19"/>
      <c r="Z157" s="19"/>
      <c r="AA157" s="19">
        <v>2</v>
      </c>
      <c r="AB157" s="19"/>
      <c r="AC157" s="19"/>
      <c r="AD157" s="19"/>
      <c r="AE157" s="19">
        <v>2</v>
      </c>
      <c r="AF157" s="19"/>
      <c r="AG157" s="19"/>
      <c r="AH157" s="19"/>
      <c r="AI157" s="19">
        <v>2</v>
      </c>
      <c r="AJ157" s="19"/>
      <c r="AK157" s="19"/>
      <c r="AL157" s="19"/>
      <c r="AM157" s="19"/>
      <c r="AN157" s="19">
        <v>2</v>
      </c>
      <c r="AO157" s="19"/>
      <c r="AP157" s="19"/>
      <c r="AQ157" s="19"/>
      <c r="AR157" s="19">
        <v>2</v>
      </c>
      <c r="AS157" s="19"/>
      <c r="AT157" s="19"/>
      <c r="AU157" s="19"/>
      <c r="AV157" s="19"/>
      <c r="AW157" s="19">
        <v>2</v>
      </c>
      <c r="AX157" s="19"/>
      <c r="AY157" s="19"/>
      <c r="AZ157" s="19"/>
      <c r="BA157" s="19">
        <v>2</v>
      </c>
      <c r="BB157" s="19"/>
      <c r="BC157" s="19"/>
      <c r="BD157" s="19"/>
      <c r="BE157" s="19">
        <v>2</v>
      </c>
      <c r="BF157" s="19"/>
      <c r="BG157" s="19"/>
      <c r="BH157" s="19"/>
      <c r="BI157" s="19"/>
      <c r="BJ157" s="19">
        <v>2</v>
      </c>
      <c r="BK157" s="19"/>
      <c r="BL157" s="19"/>
      <c r="BM157" s="19"/>
      <c r="BN157" s="19">
        <v>2</v>
      </c>
      <c r="BO157" s="19"/>
    </row>
    <row r="158" spans="1:67" ht="21" customHeight="1">
      <c r="A158" s="34"/>
      <c r="B158" s="35"/>
      <c r="C158" s="35"/>
      <c r="D158" s="35" t="s">
        <v>35</v>
      </c>
      <c r="E158" s="33"/>
      <c r="F158" s="33"/>
      <c r="G158" s="33"/>
      <c r="H158" s="1" t="s">
        <v>36</v>
      </c>
      <c r="I158" s="1"/>
      <c r="J158" s="1"/>
      <c r="K158" s="1"/>
      <c r="L158" s="1"/>
      <c r="M158" s="1"/>
      <c r="N158" s="1"/>
      <c r="O158" s="1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AK158" s="19"/>
      <c r="AL158" s="19"/>
      <c r="AM158" s="19"/>
      <c r="AN158" s="19"/>
      <c r="AO158" s="19"/>
      <c r="AP158" s="19"/>
      <c r="AQ158" s="19"/>
      <c r="AR158" s="19"/>
      <c r="AS158" s="19"/>
      <c r="AT158" s="19"/>
      <c r="AU158" s="19"/>
      <c r="AV158" s="19"/>
      <c r="AW158" s="19"/>
      <c r="AX158" s="19"/>
      <c r="AY158" s="19"/>
      <c r="AZ158" s="19"/>
      <c r="BA158" s="19"/>
      <c r="BB158" s="19"/>
      <c r="BC158" s="19"/>
      <c r="BD158" s="19"/>
      <c r="BE158" s="19"/>
      <c r="BF158" s="19"/>
      <c r="BG158" s="19"/>
      <c r="BH158" s="19"/>
      <c r="BI158" s="19"/>
      <c r="BJ158" s="19"/>
      <c r="BK158" s="19"/>
      <c r="BL158" s="19"/>
      <c r="BM158" s="19"/>
      <c r="BN158" s="19"/>
      <c r="BO158" s="19"/>
    </row>
    <row r="159" spans="1:67" ht="21" customHeight="1">
      <c r="A159" s="34"/>
      <c r="B159" s="35" t="s">
        <v>170</v>
      </c>
      <c r="C159" s="35" t="s">
        <v>171</v>
      </c>
      <c r="D159" s="35" t="s">
        <v>172</v>
      </c>
      <c r="E159" s="33" t="s">
        <v>152</v>
      </c>
      <c r="F159" s="33" t="s">
        <v>31</v>
      </c>
      <c r="G159" s="33" t="s">
        <v>153</v>
      </c>
      <c r="H159" s="1" t="s">
        <v>33</v>
      </c>
      <c r="I159" s="1"/>
      <c r="J159" s="2"/>
      <c r="K159" s="1"/>
      <c r="L159" s="1"/>
      <c r="M159" s="1"/>
      <c r="N159" s="1"/>
      <c r="O159" s="1" t="s">
        <v>34</v>
      </c>
      <c r="P159" s="19">
        <v>1</v>
      </c>
      <c r="Q159" s="19">
        <v>1</v>
      </c>
      <c r="R159" s="19">
        <v>1</v>
      </c>
      <c r="S159" s="19">
        <v>1</v>
      </c>
      <c r="T159" s="19">
        <v>1</v>
      </c>
      <c r="U159" s="19">
        <v>1</v>
      </c>
      <c r="V159" s="19">
        <v>1</v>
      </c>
      <c r="W159" s="19">
        <v>1</v>
      </c>
      <c r="X159" s="19">
        <v>1</v>
      </c>
      <c r="Y159" s="19">
        <v>1</v>
      </c>
      <c r="Z159" s="19">
        <v>1</v>
      </c>
      <c r="AA159" s="19">
        <v>1</v>
      </c>
      <c r="AB159" s="19">
        <v>1</v>
      </c>
      <c r="AC159" s="19">
        <v>1</v>
      </c>
      <c r="AD159" s="19">
        <v>1</v>
      </c>
      <c r="AE159" s="19">
        <v>1</v>
      </c>
      <c r="AF159" s="19">
        <v>1</v>
      </c>
      <c r="AG159" s="19">
        <v>1</v>
      </c>
      <c r="AH159" s="19">
        <v>1</v>
      </c>
      <c r="AI159" s="19">
        <v>1</v>
      </c>
      <c r="AJ159" s="19">
        <v>1</v>
      </c>
      <c r="AK159" s="19">
        <v>1</v>
      </c>
      <c r="AL159" s="19">
        <v>1</v>
      </c>
      <c r="AM159" s="19">
        <v>1</v>
      </c>
      <c r="AN159" s="19">
        <v>1</v>
      </c>
      <c r="AO159" s="19">
        <v>1</v>
      </c>
      <c r="AP159" s="19">
        <v>1</v>
      </c>
      <c r="AQ159" s="19">
        <v>1</v>
      </c>
      <c r="AR159" s="19">
        <v>1</v>
      </c>
      <c r="AS159" s="19">
        <v>1</v>
      </c>
      <c r="AT159" s="19">
        <v>1</v>
      </c>
      <c r="AU159" s="19">
        <v>1</v>
      </c>
      <c r="AV159" s="19">
        <v>1</v>
      </c>
      <c r="AW159" s="19">
        <v>1</v>
      </c>
      <c r="AX159" s="19">
        <v>1</v>
      </c>
      <c r="AY159" s="19">
        <v>1</v>
      </c>
      <c r="AZ159" s="19">
        <v>1</v>
      </c>
      <c r="BA159" s="19">
        <v>1</v>
      </c>
      <c r="BB159" s="19">
        <v>1</v>
      </c>
      <c r="BC159" s="19">
        <v>1</v>
      </c>
      <c r="BD159" s="19">
        <v>1</v>
      </c>
      <c r="BE159" s="19">
        <v>1</v>
      </c>
      <c r="BF159" s="19">
        <v>1</v>
      </c>
      <c r="BG159" s="19">
        <v>1</v>
      </c>
      <c r="BH159" s="19">
        <v>1</v>
      </c>
      <c r="BI159" s="19">
        <v>1</v>
      </c>
      <c r="BJ159" s="19">
        <v>1</v>
      </c>
      <c r="BK159" s="19">
        <v>1</v>
      </c>
      <c r="BL159" s="19">
        <v>1</v>
      </c>
      <c r="BM159" s="19">
        <v>1</v>
      </c>
      <c r="BN159" s="19">
        <v>1</v>
      </c>
      <c r="BO159" s="19">
        <v>1</v>
      </c>
    </row>
    <row r="160" spans="1:67" ht="21" customHeight="1">
      <c r="A160" s="34"/>
      <c r="B160" s="35"/>
      <c r="C160" s="35"/>
      <c r="D160" s="35" t="s">
        <v>35</v>
      </c>
      <c r="E160" s="33"/>
      <c r="F160" s="33"/>
      <c r="G160" s="33"/>
      <c r="H160" s="1" t="s">
        <v>36</v>
      </c>
      <c r="I160" s="1"/>
      <c r="J160" s="1"/>
      <c r="K160" s="1"/>
      <c r="L160" s="1"/>
      <c r="M160" s="1"/>
      <c r="N160" s="1"/>
      <c r="O160" s="1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  <c r="AL160" s="19"/>
      <c r="AM160" s="19"/>
      <c r="AN160" s="19"/>
      <c r="AO160" s="19"/>
      <c r="AP160" s="19"/>
      <c r="AQ160" s="19"/>
      <c r="AR160" s="19"/>
      <c r="AS160" s="19"/>
      <c r="AT160" s="19"/>
      <c r="AU160" s="19"/>
      <c r="AV160" s="19"/>
      <c r="AW160" s="19"/>
      <c r="AX160" s="19"/>
      <c r="AY160" s="19"/>
      <c r="AZ160" s="19"/>
      <c r="BA160" s="19"/>
      <c r="BB160" s="19"/>
      <c r="BC160" s="19"/>
      <c r="BD160" s="19"/>
      <c r="BE160" s="19"/>
      <c r="BF160" s="19"/>
      <c r="BG160" s="19"/>
      <c r="BH160" s="19"/>
      <c r="BI160" s="19"/>
      <c r="BJ160" s="19"/>
      <c r="BK160" s="19"/>
      <c r="BL160" s="19"/>
      <c r="BM160" s="19"/>
      <c r="BN160" s="19"/>
      <c r="BO160" s="19"/>
    </row>
    <row r="161" spans="1:67" ht="21" customHeight="1">
      <c r="A161" s="34"/>
      <c r="B161" s="35"/>
      <c r="C161" s="35"/>
      <c r="D161" s="35" t="s">
        <v>35</v>
      </c>
      <c r="E161" s="33"/>
      <c r="F161" s="33" t="s">
        <v>57</v>
      </c>
      <c r="G161" s="33" t="s">
        <v>154</v>
      </c>
      <c r="H161" s="1" t="s">
        <v>33</v>
      </c>
      <c r="I161" s="1"/>
      <c r="J161" s="1"/>
      <c r="K161" s="1"/>
      <c r="L161" s="7"/>
      <c r="M161" s="1"/>
      <c r="N161" s="1"/>
      <c r="O161" s="1" t="s">
        <v>73</v>
      </c>
      <c r="P161" s="19"/>
      <c r="Q161" s="19"/>
      <c r="R161" s="19">
        <v>3</v>
      </c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>
        <v>3</v>
      </c>
      <c r="AF161" s="19"/>
      <c r="AG161" s="19"/>
      <c r="AH161" s="19"/>
      <c r="AI161" s="19"/>
      <c r="AJ161" s="19"/>
      <c r="AK161" s="19"/>
      <c r="AL161" s="19"/>
      <c r="AM161" s="19"/>
      <c r="AN161" s="19"/>
      <c r="AO161" s="19"/>
      <c r="AP161" s="19"/>
      <c r="AQ161" s="19"/>
      <c r="AR161" s="19">
        <v>3</v>
      </c>
      <c r="AS161" s="19"/>
      <c r="AT161" s="19"/>
      <c r="AU161" s="19"/>
      <c r="AV161" s="19"/>
      <c r="AW161" s="19"/>
      <c r="AX161" s="19"/>
      <c r="AY161" s="19"/>
      <c r="AZ161" s="19"/>
      <c r="BA161" s="19"/>
      <c r="BB161" s="19"/>
      <c r="BC161" s="19"/>
      <c r="BD161" s="19"/>
      <c r="BE161" s="19">
        <v>3</v>
      </c>
      <c r="BF161" s="19"/>
      <c r="BG161" s="19"/>
      <c r="BH161" s="19"/>
      <c r="BI161" s="19"/>
      <c r="BJ161" s="19"/>
      <c r="BK161" s="19"/>
      <c r="BL161" s="19"/>
      <c r="BM161" s="19"/>
      <c r="BN161" s="19"/>
      <c r="BO161" s="19"/>
    </row>
    <row r="162" spans="1:67" ht="21" customHeight="1">
      <c r="A162" s="34"/>
      <c r="B162" s="35"/>
      <c r="C162" s="35"/>
      <c r="D162" s="35" t="s">
        <v>35</v>
      </c>
      <c r="E162" s="33"/>
      <c r="F162" s="33"/>
      <c r="G162" s="33"/>
      <c r="H162" s="1" t="s">
        <v>36</v>
      </c>
      <c r="I162" s="1"/>
      <c r="J162" s="1"/>
      <c r="K162" s="1"/>
      <c r="L162" s="1"/>
      <c r="M162" s="1"/>
      <c r="N162" s="1"/>
      <c r="O162" s="1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9"/>
      <c r="AN162" s="19"/>
      <c r="AO162" s="19"/>
      <c r="AP162" s="19"/>
      <c r="AQ162" s="19"/>
      <c r="AR162" s="19"/>
      <c r="AS162" s="19"/>
      <c r="AT162" s="19"/>
      <c r="AU162" s="19"/>
      <c r="AV162" s="19"/>
      <c r="AW162" s="19"/>
      <c r="AX162" s="19"/>
      <c r="AY162" s="19"/>
      <c r="AZ162" s="19"/>
      <c r="BA162" s="19"/>
      <c r="BB162" s="19"/>
      <c r="BC162" s="19"/>
      <c r="BD162" s="19"/>
      <c r="BE162" s="19"/>
      <c r="BF162" s="19"/>
      <c r="BG162" s="19"/>
      <c r="BH162" s="19"/>
      <c r="BI162" s="19"/>
      <c r="BJ162" s="19"/>
      <c r="BK162" s="19"/>
      <c r="BL162" s="19"/>
      <c r="BM162" s="19"/>
      <c r="BN162" s="19"/>
      <c r="BO162" s="19"/>
    </row>
    <row r="163" spans="1:67" ht="21" customHeight="1">
      <c r="A163" s="34"/>
      <c r="B163" s="35"/>
      <c r="C163" s="35"/>
      <c r="D163" s="35" t="s">
        <v>35</v>
      </c>
      <c r="E163" s="33"/>
      <c r="F163" s="33"/>
      <c r="G163" s="33" t="s">
        <v>155</v>
      </c>
      <c r="H163" s="1" t="s">
        <v>33</v>
      </c>
      <c r="I163" s="1"/>
      <c r="J163" s="1"/>
      <c r="K163" s="1"/>
      <c r="L163" s="1"/>
      <c r="M163" s="1"/>
      <c r="N163" s="3"/>
      <c r="O163" s="1" t="s">
        <v>41</v>
      </c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19"/>
      <c r="AF163" s="19"/>
      <c r="AG163" s="19"/>
      <c r="AH163" s="19"/>
      <c r="AI163" s="19"/>
      <c r="AJ163" s="19"/>
      <c r="AK163" s="19"/>
      <c r="AL163" s="19"/>
      <c r="AM163" s="19"/>
      <c r="AN163" s="19"/>
      <c r="AO163" s="19"/>
      <c r="AP163" s="19"/>
      <c r="AQ163" s="19"/>
      <c r="AR163" s="19"/>
      <c r="AS163" s="19"/>
      <c r="AT163" s="19"/>
      <c r="AU163" s="19"/>
      <c r="AV163" s="19"/>
      <c r="AW163" s="19"/>
      <c r="AX163" s="19"/>
      <c r="AY163" s="19"/>
      <c r="AZ163" s="19"/>
      <c r="BA163" s="19"/>
      <c r="BB163" s="19"/>
      <c r="BC163" s="19"/>
      <c r="BD163" s="19"/>
      <c r="BE163" s="19"/>
      <c r="BF163" s="19"/>
      <c r="BG163" s="19"/>
      <c r="BH163" s="19"/>
      <c r="BI163" s="19"/>
      <c r="BJ163" s="19">
        <v>5</v>
      </c>
      <c r="BK163" s="19"/>
      <c r="BL163" s="19"/>
      <c r="BM163" s="19"/>
      <c r="BN163" s="19"/>
      <c r="BO163" s="19"/>
    </row>
    <row r="164" spans="1:67" ht="21" customHeight="1">
      <c r="A164" s="34"/>
      <c r="B164" s="35"/>
      <c r="C164" s="35"/>
      <c r="D164" s="35" t="s">
        <v>35</v>
      </c>
      <c r="E164" s="33"/>
      <c r="F164" s="33"/>
      <c r="G164" s="33"/>
      <c r="H164" s="1" t="s">
        <v>36</v>
      </c>
      <c r="I164" s="1"/>
      <c r="J164" s="1"/>
      <c r="K164" s="1"/>
      <c r="L164" s="1"/>
      <c r="M164" s="1"/>
      <c r="N164" s="1"/>
      <c r="O164" s="1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9"/>
      <c r="AJ164" s="19"/>
      <c r="AK164" s="19"/>
      <c r="AL164" s="19"/>
      <c r="AM164" s="19"/>
      <c r="AN164" s="19"/>
      <c r="AO164" s="19"/>
      <c r="AP164" s="19"/>
      <c r="AQ164" s="19"/>
      <c r="AR164" s="19"/>
      <c r="AS164" s="19"/>
      <c r="AT164" s="19"/>
      <c r="AU164" s="19"/>
      <c r="AV164" s="19"/>
      <c r="AW164" s="19"/>
      <c r="AX164" s="19"/>
      <c r="AY164" s="19"/>
      <c r="AZ164" s="19"/>
      <c r="BA164" s="19"/>
      <c r="BB164" s="19"/>
      <c r="BC164" s="19"/>
      <c r="BD164" s="19"/>
      <c r="BE164" s="19"/>
      <c r="BF164" s="19"/>
      <c r="BG164" s="19"/>
      <c r="BH164" s="19"/>
      <c r="BI164" s="19"/>
      <c r="BJ164" s="19"/>
      <c r="BK164" s="19"/>
      <c r="BL164" s="19"/>
      <c r="BM164" s="19"/>
      <c r="BN164" s="19"/>
      <c r="BO164" s="19"/>
    </row>
    <row r="165" spans="1:67" ht="21" customHeight="1">
      <c r="A165" s="34"/>
      <c r="B165" s="35"/>
      <c r="C165" s="35"/>
      <c r="D165" s="35" t="s">
        <v>35</v>
      </c>
      <c r="E165" s="33"/>
      <c r="F165" s="33" t="s">
        <v>156</v>
      </c>
      <c r="G165" s="33" t="s">
        <v>157</v>
      </c>
      <c r="H165" s="1" t="s">
        <v>33</v>
      </c>
      <c r="I165" s="1"/>
      <c r="J165" s="1"/>
      <c r="K165" s="5"/>
      <c r="L165" s="1"/>
      <c r="M165" s="1"/>
      <c r="N165" s="1"/>
      <c r="O165" s="1" t="s">
        <v>46</v>
      </c>
      <c r="P165" s="19"/>
      <c r="Q165" s="19"/>
      <c r="R165" s="19">
        <v>2</v>
      </c>
      <c r="S165" s="19"/>
      <c r="T165" s="19"/>
      <c r="U165" s="19"/>
      <c r="V165" s="19"/>
      <c r="W165" s="19">
        <v>2</v>
      </c>
      <c r="X165" s="19"/>
      <c r="Y165" s="19"/>
      <c r="Z165" s="19"/>
      <c r="AA165" s="19">
        <v>2</v>
      </c>
      <c r="AB165" s="19"/>
      <c r="AC165" s="19"/>
      <c r="AD165" s="19"/>
      <c r="AE165" s="19">
        <v>2</v>
      </c>
      <c r="AF165" s="19"/>
      <c r="AG165" s="19"/>
      <c r="AH165" s="19"/>
      <c r="AI165" s="19">
        <v>2</v>
      </c>
      <c r="AJ165" s="19"/>
      <c r="AK165" s="19"/>
      <c r="AL165" s="19"/>
      <c r="AM165" s="19"/>
      <c r="AN165" s="19">
        <v>2</v>
      </c>
      <c r="AO165" s="19"/>
      <c r="AP165" s="19"/>
      <c r="AQ165" s="19"/>
      <c r="AR165" s="19">
        <v>2</v>
      </c>
      <c r="AS165" s="19"/>
      <c r="AT165" s="19"/>
      <c r="AU165" s="19"/>
      <c r="AV165" s="19"/>
      <c r="AW165" s="19">
        <v>2</v>
      </c>
      <c r="AX165" s="19"/>
      <c r="AY165" s="19"/>
      <c r="AZ165" s="19"/>
      <c r="BA165" s="19">
        <v>2</v>
      </c>
      <c r="BB165" s="19"/>
      <c r="BC165" s="19"/>
      <c r="BD165" s="19"/>
      <c r="BE165" s="19">
        <v>2</v>
      </c>
      <c r="BF165" s="19"/>
      <c r="BG165" s="19"/>
      <c r="BH165" s="19"/>
      <c r="BI165" s="19"/>
      <c r="BJ165" s="19">
        <v>2</v>
      </c>
      <c r="BK165" s="19"/>
      <c r="BL165" s="19"/>
      <c r="BM165" s="19"/>
      <c r="BN165" s="19">
        <v>2</v>
      </c>
      <c r="BO165" s="19"/>
    </row>
    <row r="166" spans="1:67" ht="21" customHeight="1">
      <c r="A166" s="34"/>
      <c r="B166" s="35"/>
      <c r="C166" s="35"/>
      <c r="D166" s="35" t="s">
        <v>35</v>
      </c>
      <c r="E166" s="33"/>
      <c r="F166" s="33"/>
      <c r="G166" s="33"/>
      <c r="H166" s="1" t="s">
        <v>36</v>
      </c>
      <c r="I166" s="1"/>
      <c r="J166" s="1"/>
      <c r="K166" s="1"/>
      <c r="L166" s="1"/>
      <c r="M166" s="1"/>
      <c r="N166" s="1"/>
      <c r="O166" s="1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9"/>
      <c r="AJ166" s="19"/>
      <c r="AK166" s="19"/>
      <c r="AL166" s="19"/>
      <c r="AM166" s="19"/>
      <c r="AN166" s="19"/>
      <c r="AO166" s="19"/>
      <c r="AP166" s="19"/>
      <c r="AQ166" s="19"/>
      <c r="AR166" s="19"/>
      <c r="AS166" s="19"/>
      <c r="AT166" s="19"/>
      <c r="AU166" s="19"/>
      <c r="AV166" s="19"/>
      <c r="AW166" s="19"/>
      <c r="AX166" s="19"/>
      <c r="AY166" s="19"/>
      <c r="AZ166" s="19"/>
      <c r="BA166" s="19"/>
      <c r="BB166" s="19"/>
      <c r="BC166" s="19"/>
      <c r="BD166" s="19"/>
      <c r="BE166" s="19"/>
      <c r="BF166" s="19"/>
      <c r="BG166" s="19"/>
      <c r="BH166" s="19"/>
      <c r="BI166" s="19"/>
      <c r="BJ166" s="19"/>
      <c r="BK166" s="19"/>
      <c r="BL166" s="19"/>
      <c r="BM166" s="19"/>
      <c r="BN166" s="19"/>
      <c r="BO166" s="19"/>
    </row>
    <row r="167" spans="1:67" ht="21" customHeight="1">
      <c r="A167" s="34"/>
      <c r="B167" s="35" t="s">
        <v>173</v>
      </c>
      <c r="C167" s="35" t="s">
        <v>174</v>
      </c>
      <c r="D167" s="35" t="s">
        <v>175</v>
      </c>
      <c r="E167" s="33" t="s">
        <v>152</v>
      </c>
      <c r="F167" s="33" t="s">
        <v>31</v>
      </c>
      <c r="G167" s="33" t="s">
        <v>153</v>
      </c>
      <c r="H167" s="1" t="s">
        <v>33</v>
      </c>
      <c r="I167" s="1"/>
      <c r="J167" s="2"/>
      <c r="K167" s="1"/>
      <c r="L167" s="1"/>
      <c r="M167" s="1"/>
      <c r="N167" s="1"/>
      <c r="O167" s="1" t="s">
        <v>34</v>
      </c>
      <c r="P167" s="19">
        <v>1</v>
      </c>
      <c r="Q167" s="19">
        <v>1</v>
      </c>
      <c r="R167" s="19">
        <v>1</v>
      </c>
      <c r="S167" s="19">
        <v>1</v>
      </c>
      <c r="T167" s="19">
        <v>1</v>
      </c>
      <c r="U167" s="19">
        <v>1</v>
      </c>
      <c r="V167" s="19">
        <v>1</v>
      </c>
      <c r="W167" s="19">
        <v>1</v>
      </c>
      <c r="X167" s="19">
        <v>1</v>
      </c>
      <c r="Y167" s="19">
        <v>1</v>
      </c>
      <c r="Z167" s="19">
        <v>1</v>
      </c>
      <c r="AA167" s="19">
        <v>1</v>
      </c>
      <c r="AB167" s="19">
        <v>1</v>
      </c>
      <c r="AC167" s="19">
        <v>1</v>
      </c>
      <c r="AD167" s="19">
        <v>1</v>
      </c>
      <c r="AE167" s="19">
        <v>1</v>
      </c>
      <c r="AF167" s="19">
        <v>1</v>
      </c>
      <c r="AG167" s="19">
        <v>1</v>
      </c>
      <c r="AH167" s="19">
        <v>1</v>
      </c>
      <c r="AI167" s="19">
        <v>1</v>
      </c>
      <c r="AJ167" s="19">
        <v>1</v>
      </c>
      <c r="AK167" s="19">
        <v>1</v>
      </c>
      <c r="AL167" s="19">
        <v>1</v>
      </c>
      <c r="AM167" s="19">
        <v>1</v>
      </c>
      <c r="AN167" s="19">
        <v>1</v>
      </c>
      <c r="AO167" s="19">
        <v>1</v>
      </c>
      <c r="AP167" s="19">
        <v>1</v>
      </c>
      <c r="AQ167" s="19">
        <v>1</v>
      </c>
      <c r="AR167" s="19">
        <v>1</v>
      </c>
      <c r="AS167" s="19">
        <v>1</v>
      </c>
      <c r="AT167" s="19">
        <v>1</v>
      </c>
      <c r="AU167" s="19">
        <v>1</v>
      </c>
      <c r="AV167" s="19">
        <v>1</v>
      </c>
      <c r="AW167" s="19">
        <v>1</v>
      </c>
      <c r="AX167" s="19">
        <v>1</v>
      </c>
      <c r="AY167" s="19">
        <v>1</v>
      </c>
      <c r="AZ167" s="19">
        <v>1</v>
      </c>
      <c r="BA167" s="19">
        <v>1</v>
      </c>
      <c r="BB167" s="19">
        <v>1</v>
      </c>
      <c r="BC167" s="19">
        <v>1</v>
      </c>
      <c r="BD167" s="19">
        <v>1</v>
      </c>
      <c r="BE167" s="19">
        <v>1</v>
      </c>
      <c r="BF167" s="19">
        <v>1</v>
      </c>
      <c r="BG167" s="19">
        <v>1</v>
      </c>
      <c r="BH167" s="19">
        <v>1</v>
      </c>
      <c r="BI167" s="19">
        <v>1</v>
      </c>
      <c r="BJ167" s="19">
        <v>1</v>
      </c>
      <c r="BK167" s="19">
        <v>1</v>
      </c>
      <c r="BL167" s="19">
        <v>1</v>
      </c>
      <c r="BM167" s="19">
        <v>1</v>
      </c>
      <c r="BN167" s="19">
        <v>1</v>
      </c>
      <c r="BO167" s="19">
        <v>1</v>
      </c>
    </row>
    <row r="168" spans="1:67" ht="21" customHeight="1">
      <c r="A168" s="34"/>
      <c r="B168" s="35"/>
      <c r="C168" s="35"/>
      <c r="D168" s="35" t="s">
        <v>35</v>
      </c>
      <c r="E168" s="33"/>
      <c r="F168" s="33"/>
      <c r="G168" s="33"/>
      <c r="H168" s="1" t="s">
        <v>36</v>
      </c>
      <c r="I168" s="1"/>
      <c r="J168" s="1"/>
      <c r="K168" s="1"/>
      <c r="L168" s="1"/>
      <c r="M168" s="1"/>
      <c r="N168" s="1"/>
      <c r="O168" s="1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9"/>
      <c r="AK168" s="19"/>
      <c r="AL168" s="19"/>
      <c r="AM168" s="19"/>
      <c r="AN168" s="19"/>
      <c r="AO168" s="19"/>
      <c r="AP168" s="19"/>
      <c r="AQ168" s="19"/>
      <c r="AR168" s="19"/>
      <c r="AS168" s="19"/>
      <c r="AT168" s="19"/>
      <c r="AU168" s="19"/>
      <c r="AV168" s="19"/>
      <c r="AW168" s="19"/>
      <c r="AX168" s="19"/>
      <c r="AY168" s="19"/>
      <c r="AZ168" s="19"/>
      <c r="BA168" s="19"/>
      <c r="BB168" s="19"/>
      <c r="BC168" s="19"/>
      <c r="BD168" s="19"/>
      <c r="BE168" s="19"/>
      <c r="BF168" s="19"/>
      <c r="BG168" s="19"/>
      <c r="BH168" s="19"/>
      <c r="BI168" s="19"/>
      <c r="BJ168" s="19"/>
      <c r="BK168" s="19"/>
      <c r="BL168" s="19"/>
      <c r="BM168" s="19"/>
      <c r="BN168" s="19"/>
      <c r="BO168" s="19"/>
    </row>
    <row r="169" spans="1:67" ht="21" customHeight="1">
      <c r="A169" s="34"/>
      <c r="B169" s="35"/>
      <c r="C169" s="35"/>
      <c r="D169" s="35" t="s">
        <v>35</v>
      </c>
      <c r="E169" s="33"/>
      <c r="F169" s="33" t="s">
        <v>57</v>
      </c>
      <c r="G169" s="33" t="s">
        <v>154</v>
      </c>
      <c r="H169" s="1" t="s">
        <v>33</v>
      </c>
      <c r="I169" s="1"/>
      <c r="J169" s="1"/>
      <c r="K169" s="1"/>
      <c r="L169" s="7"/>
      <c r="M169" s="1"/>
      <c r="N169" s="1"/>
      <c r="O169" s="1" t="s">
        <v>73</v>
      </c>
      <c r="P169" s="19"/>
      <c r="Q169" s="19"/>
      <c r="R169" s="19">
        <v>3</v>
      </c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>
        <v>3</v>
      </c>
      <c r="AF169" s="19"/>
      <c r="AG169" s="19"/>
      <c r="AH169" s="19"/>
      <c r="AI169" s="19"/>
      <c r="AJ169" s="19"/>
      <c r="AK169" s="19"/>
      <c r="AL169" s="19"/>
      <c r="AM169" s="19"/>
      <c r="AN169" s="19"/>
      <c r="AO169" s="19"/>
      <c r="AP169" s="19"/>
      <c r="AQ169" s="19"/>
      <c r="AR169" s="19">
        <v>3</v>
      </c>
      <c r="AS169" s="19"/>
      <c r="AT169" s="19"/>
      <c r="AU169" s="19"/>
      <c r="AV169" s="19"/>
      <c r="AW169" s="19"/>
      <c r="AX169" s="19"/>
      <c r="AY169" s="19"/>
      <c r="AZ169" s="19"/>
      <c r="BA169" s="19"/>
      <c r="BB169" s="19"/>
      <c r="BC169" s="19"/>
      <c r="BD169" s="19"/>
      <c r="BE169" s="19">
        <v>3</v>
      </c>
      <c r="BF169" s="19"/>
      <c r="BG169" s="19"/>
      <c r="BH169" s="19"/>
      <c r="BI169" s="19"/>
      <c r="BJ169" s="19"/>
      <c r="BK169" s="19"/>
      <c r="BL169" s="19"/>
      <c r="BM169" s="19"/>
      <c r="BN169" s="19"/>
      <c r="BO169" s="19"/>
    </row>
    <row r="170" spans="1:67" ht="21" customHeight="1">
      <c r="A170" s="34"/>
      <c r="B170" s="35"/>
      <c r="C170" s="35"/>
      <c r="D170" s="35" t="s">
        <v>35</v>
      </c>
      <c r="E170" s="33"/>
      <c r="F170" s="33"/>
      <c r="G170" s="33"/>
      <c r="H170" s="1" t="s">
        <v>36</v>
      </c>
      <c r="I170" s="1"/>
      <c r="J170" s="1"/>
      <c r="K170" s="1"/>
      <c r="L170" s="1"/>
      <c r="M170" s="1"/>
      <c r="N170" s="1"/>
      <c r="O170" s="1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9"/>
      <c r="AK170" s="19"/>
      <c r="AL170" s="19"/>
      <c r="AM170" s="19"/>
      <c r="AN170" s="19"/>
      <c r="AO170" s="19"/>
      <c r="AP170" s="19"/>
      <c r="AQ170" s="19"/>
      <c r="AR170" s="19"/>
      <c r="AS170" s="19"/>
      <c r="AT170" s="19"/>
      <c r="AU170" s="19"/>
      <c r="AV170" s="19"/>
      <c r="AW170" s="19"/>
      <c r="AX170" s="19"/>
      <c r="AY170" s="19"/>
      <c r="AZ170" s="19"/>
      <c r="BA170" s="19"/>
      <c r="BB170" s="19"/>
      <c r="BC170" s="19"/>
      <c r="BD170" s="19"/>
      <c r="BE170" s="19"/>
      <c r="BF170" s="19"/>
      <c r="BG170" s="19"/>
      <c r="BH170" s="19"/>
      <c r="BI170" s="19"/>
      <c r="BJ170" s="19"/>
      <c r="BK170" s="19"/>
      <c r="BL170" s="19"/>
      <c r="BM170" s="19"/>
      <c r="BN170" s="19"/>
      <c r="BO170" s="19"/>
    </row>
    <row r="171" spans="1:67" ht="21" customHeight="1">
      <c r="A171" s="34"/>
      <c r="B171" s="35"/>
      <c r="C171" s="35"/>
      <c r="D171" s="35" t="s">
        <v>35</v>
      </c>
      <c r="E171" s="33"/>
      <c r="F171" s="33"/>
      <c r="G171" s="33" t="s">
        <v>155</v>
      </c>
      <c r="H171" s="1" t="s">
        <v>33</v>
      </c>
      <c r="I171" s="1"/>
      <c r="J171" s="1"/>
      <c r="K171" s="1"/>
      <c r="L171" s="1"/>
      <c r="M171" s="1"/>
      <c r="N171" s="3"/>
      <c r="O171" s="1" t="s">
        <v>41</v>
      </c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  <c r="AK171" s="19"/>
      <c r="AL171" s="19"/>
      <c r="AM171" s="19"/>
      <c r="AN171" s="19"/>
      <c r="AO171" s="19"/>
      <c r="AP171" s="19"/>
      <c r="AQ171" s="19"/>
      <c r="AR171" s="19"/>
      <c r="AS171" s="19"/>
      <c r="AT171" s="19"/>
      <c r="AU171" s="19"/>
      <c r="AV171" s="19"/>
      <c r="AW171" s="19"/>
      <c r="AX171" s="19"/>
      <c r="AY171" s="19"/>
      <c r="AZ171" s="19"/>
      <c r="BA171" s="19"/>
      <c r="BB171" s="19"/>
      <c r="BC171" s="19"/>
      <c r="BD171" s="19"/>
      <c r="BE171" s="19"/>
      <c r="BF171" s="19"/>
      <c r="BG171" s="19"/>
      <c r="BH171" s="19"/>
      <c r="BI171" s="19"/>
      <c r="BJ171" s="19">
        <v>5</v>
      </c>
      <c r="BK171" s="19"/>
      <c r="BL171" s="19"/>
      <c r="BM171" s="19"/>
      <c r="BN171" s="19"/>
      <c r="BO171" s="19"/>
    </row>
    <row r="172" spans="1:67" ht="21" customHeight="1">
      <c r="A172" s="34"/>
      <c r="B172" s="35"/>
      <c r="C172" s="35"/>
      <c r="D172" s="35" t="s">
        <v>35</v>
      </c>
      <c r="E172" s="33"/>
      <c r="F172" s="33"/>
      <c r="G172" s="33"/>
      <c r="H172" s="1" t="s">
        <v>36</v>
      </c>
      <c r="I172" s="1"/>
      <c r="J172" s="1"/>
      <c r="K172" s="1"/>
      <c r="L172" s="1"/>
      <c r="M172" s="1"/>
      <c r="N172" s="1"/>
      <c r="O172" s="1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9"/>
      <c r="AK172" s="19"/>
      <c r="AL172" s="19"/>
      <c r="AM172" s="19"/>
      <c r="AN172" s="19"/>
      <c r="AO172" s="19"/>
      <c r="AP172" s="19"/>
      <c r="AQ172" s="19"/>
      <c r="AR172" s="19"/>
      <c r="AS172" s="19"/>
      <c r="AT172" s="19"/>
      <c r="AU172" s="19"/>
      <c r="AV172" s="19"/>
      <c r="AW172" s="19"/>
      <c r="AX172" s="19"/>
      <c r="AY172" s="19"/>
      <c r="AZ172" s="19"/>
      <c r="BA172" s="19"/>
      <c r="BB172" s="19"/>
      <c r="BC172" s="19"/>
      <c r="BD172" s="19"/>
      <c r="BE172" s="19"/>
      <c r="BF172" s="19"/>
      <c r="BG172" s="19"/>
      <c r="BH172" s="19"/>
      <c r="BI172" s="19"/>
      <c r="BJ172" s="19"/>
      <c r="BK172" s="19"/>
      <c r="BL172" s="19"/>
      <c r="BM172" s="19"/>
      <c r="BN172" s="19"/>
      <c r="BO172" s="19"/>
    </row>
    <row r="173" spans="1:67" ht="21" customHeight="1">
      <c r="A173" s="34"/>
      <c r="B173" s="35"/>
      <c r="C173" s="35"/>
      <c r="D173" s="35" t="s">
        <v>35</v>
      </c>
      <c r="E173" s="33"/>
      <c r="F173" s="33" t="s">
        <v>156</v>
      </c>
      <c r="G173" s="33" t="s">
        <v>157</v>
      </c>
      <c r="H173" s="1" t="s">
        <v>33</v>
      </c>
      <c r="I173" s="1"/>
      <c r="J173" s="1"/>
      <c r="K173" s="5"/>
      <c r="L173" s="1"/>
      <c r="M173" s="1"/>
      <c r="N173" s="1"/>
      <c r="O173" s="1" t="s">
        <v>61</v>
      </c>
      <c r="P173" s="19"/>
      <c r="Q173" s="19"/>
      <c r="R173" s="19">
        <v>2</v>
      </c>
      <c r="S173" s="19"/>
      <c r="T173" s="19"/>
      <c r="U173" s="19"/>
      <c r="V173" s="19"/>
      <c r="W173" s="19">
        <v>2</v>
      </c>
      <c r="X173" s="19"/>
      <c r="Y173" s="19"/>
      <c r="Z173" s="19"/>
      <c r="AA173" s="19">
        <v>2</v>
      </c>
      <c r="AB173" s="19"/>
      <c r="AC173" s="19"/>
      <c r="AD173" s="19"/>
      <c r="AE173" s="19">
        <v>2</v>
      </c>
      <c r="AF173" s="19"/>
      <c r="AG173" s="19"/>
      <c r="AH173" s="19"/>
      <c r="AI173" s="19">
        <v>2</v>
      </c>
      <c r="AJ173" s="19"/>
      <c r="AK173" s="19"/>
      <c r="AL173" s="19"/>
      <c r="AM173" s="19"/>
      <c r="AN173" s="19">
        <v>2</v>
      </c>
      <c r="AO173" s="19"/>
      <c r="AP173" s="19"/>
      <c r="AQ173" s="19"/>
      <c r="AR173" s="19">
        <v>2</v>
      </c>
      <c r="AS173" s="19"/>
      <c r="AT173" s="19"/>
      <c r="AU173" s="19"/>
      <c r="AV173" s="19"/>
      <c r="AW173" s="19">
        <v>2</v>
      </c>
      <c r="AX173" s="19"/>
      <c r="AY173" s="19"/>
      <c r="AZ173" s="19"/>
      <c r="BA173" s="19">
        <v>2</v>
      </c>
      <c r="BB173" s="19"/>
      <c r="BC173" s="19"/>
      <c r="BD173" s="19"/>
      <c r="BE173" s="19">
        <v>2</v>
      </c>
      <c r="BF173" s="19"/>
      <c r="BG173" s="19"/>
      <c r="BH173" s="19"/>
      <c r="BI173" s="19"/>
      <c r="BJ173" s="19">
        <v>2</v>
      </c>
      <c r="BK173" s="19"/>
      <c r="BL173" s="19"/>
      <c r="BM173" s="19"/>
      <c r="BN173" s="19">
        <v>2</v>
      </c>
      <c r="BO173" s="19"/>
    </row>
    <row r="174" spans="1:67" ht="21" customHeight="1">
      <c r="A174" s="34"/>
      <c r="B174" s="35"/>
      <c r="C174" s="35"/>
      <c r="D174" s="35" t="s">
        <v>35</v>
      </c>
      <c r="E174" s="33"/>
      <c r="F174" s="33"/>
      <c r="G174" s="33"/>
      <c r="H174" s="1" t="s">
        <v>36</v>
      </c>
      <c r="I174" s="1"/>
      <c r="J174" s="1"/>
      <c r="K174" s="1"/>
      <c r="L174" s="1"/>
      <c r="M174" s="1"/>
      <c r="N174" s="1"/>
      <c r="O174" s="1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  <c r="AO174" s="19"/>
      <c r="AP174" s="19"/>
      <c r="AQ174" s="19"/>
      <c r="AR174" s="19"/>
      <c r="AS174" s="19"/>
      <c r="AT174" s="19"/>
      <c r="AU174" s="19"/>
      <c r="AV174" s="19"/>
      <c r="AW174" s="19"/>
      <c r="AX174" s="19"/>
      <c r="AY174" s="19"/>
      <c r="AZ174" s="19"/>
      <c r="BA174" s="19"/>
      <c r="BB174" s="19"/>
      <c r="BC174" s="19"/>
      <c r="BD174" s="19"/>
      <c r="BE174" s="19"/>
      <c r="BF174" s="19"/>
      <c r="BG174" s="19"/>
      <c r="BH174" s="19"/>
      <c r="BI174" s="19"/>
      <c r="BJ174" s="19"/>
      <c r="BK174" s="19"/>
      <c r="BL174" s="19"/>
      <c r="BM174" s="19"/>
      <c r="BN174" s="19"/>
      <c r="BO174" s="19"/>
    </row>
    <row r="175" spans="1:67" ht="23.45" customHeight="1">
      <c r="A175" s="34" t="s">
        <v>176</v>
      </c>
      <c r="B175" s="41" t="s">
        <v>177</v>
      </c>
      <c r="C175" s="41" t="s">
        <v>178</v>
      </c>
      <c r="D175" s="41" t="s">
        <v>179</v>
      </c>
      <c r="E175" s="33" t="s">
        <v>180</v>
      </c>
      <c r="F175" s="33" t="s">
        <v>31</v>
      </c>
      <c r="G175" s="33" t="s">
        <v>181</v>
      </c>
      <c r="H175" s="1" t="s">
        <v>33</v>
      </c>
      <c r="I175" s="1"/>
      <c r="J175" s="2"/>
      <c r="K175" s="1"/>
      <c r="L175" s="1"/>
      <c r="M175" s="1"/>
      <c r="N175" s="1"/>
      <c r="O175" s="14" t="s">
        <v>34</v>
      </c>
      <c r="P175" s="19">
        <v>1</v>
      </c>
      <c r="Q175" s="19">
        <v>1</v>
      </c>
      <c r="R175" s="19">
        <v>1</v>
      </c>
      <c r="S175" s="19">
        <v>1</v>
      </c>
      <c r="T175" s="19">
        <v>1</v>
      </c>
      <c r="U175" s="19">
        <v>1</v>
      </c>
      <c r="V175" s="19">
        <v>1</v>
      </c>
      <c r="W175" s="19">
        <v>1</v>
      </c>
      <c r="X175" s="19">
        <v>1</v>
      </c>
      <c r="Y175" s="19">
        <v>1</v>
      </c>
      <c r="Z175" s="19">
        <v>1</v>
      </c>
      <c r="AA175" s="19">
        <v>1</v>
      </c>
      <c r="AB175" s="19">
        <v>1</v>
      </c>
      <c r="AC175" s="19">
        <v>1</v>
      </c>
      <c r="AD175" s="19">
        <v>1</v>
      </c>
      <c r="AE175" s="19">
        <v>1</v>
      </c>
      <c r="AF175" s="19">
        <v>1</v>
      </c>
      <c r="AG175" s="19">
        <v>1</v>
      </c>
      <c r="AH175" s="19">
        <v>1</v>
      </c>
      <c r="AI175" s="19">
        <v>1</v>
      </c>
      <c r="AJ175" s="19">
        <v>1</v>
      </c>
      <c r="AK175" s="19">
        <v>1</v>
      </c>
      <c r="AL175" s="19">
        <v>1</v>
      </c>
      <c r="AM175" s="19">
        <v>1</v>
      </c>
      <c r="AN175" s="19">
        <v>1</v>
      </c>
      <c r="AO175" s="19">
        <v>1</v>
      </c>
      <c r="AP175" s="19">
        <v>1</v>
      </c>
      <c r="AQ175" s="19">
        <v>1</v>
      </c>
      <c r="AR175" s="19">
        <v>1</v>
      </c>
      <c r="AS175" s="19">
        <v>1</v>
      </c>
      <c r="AT175" s="19">
        <v>1</v>
      </c>
      <c r="AU175" s="19">
        <v>1</v>
      </c>
      <c r="AV175" s="19">
        <v>1</v>
      </c>
      <c r="AW175" s="19">
        <v>1</v>
      </c>
      <c r="AX175" s="19">
        <v>1</v>
      </c>
      <c r="AY175" s="19">
        <v>1</v>
      </c>
      <c r="AZ175" s="19">
        <v>1</v>
      </c>
      <c r="BA175" s="19">
        <v>1</v>
      </c>
      <c r="BB175" s="19">
        <v>1</v>
      </c>
      <c r="BC175" s="19">
        <v>1</v>
      </c>
      <c r="BD175" s="19">
        <v>1</v>
      </c>
      <c r="BE175" s="19">
        <v>1</v>
      </c>
      <c r="BF175" s="19">
        <v>1</v>
      </c>
      <c r="BG175" s="19">
        <v>1</v>
      </c>
      <c r="BH175" s="19">
        <v>1</v>
      </c>
      <c r="BI175" s="19">
        <v>1</v>
      </c>
      <c r="BJ175" s="19">
        <v>1</v>
      </c>
      <c r="BK175" s="19">
        <v>1</v>
      </c>
      <c r="BL175" s="19">
        <v>1</v>
      </c>
      <c r="BM175" s="19">
        <v>1</v>
      </c>
      <c r="BN175" s="19">
        <v>1</v>
      </c>
      <c r="BO175" s="19">
        <v>1</v>
      </c>
    </row>
    <row r="176" spans="1:67" ht="21" customHeight="1">
      <c r="A176" s="34"/>
      <c r="B176" s="42"/>
      <c r="C176" s="42"/>
      <c r="D176" s="42"/>
      <c r="E176" s="33"/>
      <c r="F176" s="33"/>
      <c r="G176" s="33"/>
      <c r="H176" s="1" t="s">
        <v>36</v>
      </c>
      <c r="I176" s="1"/>
      <c r="J176" s="1"/>
      <c r="K176" s="1"/>
      <c r="L176" s="1"/>
      <c r="M176" s="1"/>
      <c r="N176" s="1"/>
      <c r="O176" s="14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9"/>
      <c r="AJ176" s="19"/>
      <c r="AK176" s="19"/>
      <c r="AL176" s="19"/>
      <c r="AM176" s="19"/>
      <c r="AN176" s="19"/>
      <c r="AO176" s="19"/>
      <c r="AP176" s="19"/>
      <c r="AQ176" s="19"/>
      <c r="AR176" s="19"/>
      <c r="AS176" s="19"/>
      <c r="AT176" s="19"/>
      <c r="AU176" s="19"/>
      <c r="AV176" s="19"/>
      <c r="AW176" s="19"/>
      <c r="AX176" s="19"/>
      <c r="AY176" s="19"/>
      <c r="AZ176" s="19"/>
      <c r="BA176" s="19"/>
      <c r="BB176" s="19"/>
      <c r="BC176" s="19"/>
      <c r="BD176" s="19"/>
      <c r="BE176" s="19"/>
      <c r="BF176" s="19"/>
      <c r="BG176" s="19"/>
      <c r="BH176" s="19"/>
      <c r="BI176" s="19"/>
      <c r="BJ176" s="19"/>
      <c r="BK176" s="19"/>
      <c r="BL176" s="19"/>
      <c r="BM176" s="19"/>
      <c r="BN176" s="19"/>
      <c r="BO176" s="19"/>
    </row>
    <row r="177" spans="1:67" ht="21" customHeight="1">
      <c r="A177" s="34"/>
      <c r="B177" s="42"/>
      <c r="C177" s="42"/>
      <c r="D177" s="42"/>
      <c r="E177" s="33"/>
      <c r="F177" s="33" t="s">
        <v>57</v>
      </c>
      <c r="G177" s="33" t="s">
        <v>154</v>
      </c>
      <c r="H177" s="1" t="s">
        <v>33</v>
      </c>
      <c r="I177" s="1"/>
      <c r="J177" s="1"/>
      <c r="K177" s="1"/>
      <c r="L177" s="7"/>
      <c r="M177" s="1"/>
      <c r="N177" s="1"/>
      <c r="O177" s="14" t="s">
        <v>182</v>
      </c>
      <c r="P177" s="19">
        <v>3</v>
      </c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>
        <v>3</v>
      </c>
      <c r="AD177" s="19"/>
      <c r="AE177" s="19"/>
      <c r="AF177" s="19"/>
      <c r="AG177" s="19"/>
      <c r="AH177" s="19"/>
      <c r="AI177" s="19"/>
      <c r="AJ177" s="19"/>
      <c r="AK177" s="19"/>
      <c r="AL177" s="19"/>
      <c r="AM177" s="19"/>
      <c r="AN177" s="19"/>
      <c r="AO177" s="19"/>
      <c r="AP177" s="19">
        <v>3</v>
      </c>
      <c r="AQ177" s="19"/>
      <c r="AR177" s="19"/>
      <c r="AS177" s="19"/>
      <c r="AT177" s="19"/>
      <c r="AU177" s="19"/>
      <c r="AV177" s="19"/>
      <c r="AW177" s="19"/>
      <c r="AX177" s="19"/>
      <c r="AY177" s="19"/>
      <c r="AZ177" s="19"/>
      <c r="BA177" s="19"/>
      <c r="BB177" s="19"/>
      <c r="BC177" s="19">
        <v>3</v>
      </c>
      <c r="BD177" s="19"/>
      <c r="BE177" s="19"/>
      <c r="BF177" s="19"/>
      <c r="BG177" s="19"/>
      <c r="BH177" s="19"/>
      <c r="BI177" s="19"/>
      <c r="BJ177" s="19"/>
      <c r="BK177" s="19"/>
      <c r="BL177" s="19"/>
      <c r="BM177" s="19"/>
      <c r="BN177" s="19"/>
      <c r="BO177" s="19"/>
    </row>
    <row r="178" spans="1:67" ht="21" customHeight="1">
      <c r="A178" s="34"/>
      <c r="B178" s="42"/>
      <c r="C178" s="42"/>
      <c r="D178" s="42"/>
      <c r="E178" s="33"/>
      <c r="F178" s="33"/>
      <c r="G178" s="33"/>
      <c r="H178" s="1" t="s">
        <v>36</v>
      </c>
      <c r="I178" s="1"/>
      <c r="J178" s="1"/>
      <c r="K178" s="1"/>
      <c r="L178" s="1"/>
      <c r="M178" s="1"/>
      <c r="N178" s="1"/>
      <c r="O178" s="14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9"/>
      <c r="AJ178" s="19"/>
      <c r="AK178" s="19"/>
      <c r="AL178" s="19"/>
      <c r="AM178" s="19"/>
      <c r="AN178" s="19"/>
      <c r="AO178" s="19"/>
      <c r="AP178" s="19"/>
      <c r="AQ178" s="19"/>
      <c r="AR178" s="19"/>
      <c r="AS178" s="19"/>
      <c r="AT178" s="19"/>
      <c r="AU178" s="19"/>
      <c r="AV178" s="19"/>
      <c r="AW178" s="19"/>
      <c r="AX178" s="19"/>
      <c r="AY178" s="19"/>
      <c r="AZ178" s="19"/>
      <c r="BA178" s="19"/>
      <c r="BB178" s="19"/>
      <c r="BC178" s="19"/>
      <c r="BD178" s="19"/>
      <c r="BE178" s="19"/>
      <c r="BF178" s="19"/>
      <c r="BG178" s="19"/>
      <c r="BH178" s="19"/>
      <c r="BI178" s="19"/>
      <c r="BJ178" s="19"/>
      <c r="BK178" s="19"/>
      <c r="BL178" s="19"/>
      <c r="BM178" s="19"/>
      <c r="BN178" s="19"/>
      <c r="BO178" s="19"/>
    </row>
    <row r="179" spans="1:67" ht="21" customHeight="1">
      <c r="A179" s="34"/>
      <c r="B179" s="42"/>
      <c r="C179" s="42"/>
      <c r="D179" s="42"/>
      <c r="E179" s="33"/>
      <c r="F179" s="33"/>
      <c r="G179" s="33" t="s">
        <v>155</v>
      </c>
      <c r="H179" s="1" t="s">
        <v>33</v>
      </c>
      <c r="I179" s="1"/>
      <c r="J179" s="1"/>
      <c r="K179" s="1"/>
      <c r="L179" s="1"/>
      <c r="M179" s="1"/>
      <c r="N179" s="3"/>
      <c r="O179" s="14" t="s">
        <v>41</v>
      </c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9"/>
      <c r="AJ179" s="19"/>
      <c r="AK179" s="19"/>
      <c r="AL179" s="19"/>
      <c r="AM179" s="19"/>
      <c r="AN179" s="19"/>
      <c r="AO179" s="19"/>
      <c r="AP179" s="19"/>
      <c r="AQ179" s="19"/>
      <c r="AR179" s="19"/>
      <c r="AS179" s="19"/>
      <c r="AT179" s="19"/>
      <c r="AU179" s="19"/>
      <c r="AV179" s="19"/>
      <c r="AW179" s="19"/>
      <c r="AX179" s="19"/>
      <c r="AY179" s="19"/>
      <c r="AZ179" s="19"/>
      <c r="BA179" s="19"/>
      <c r="BB179" s="19"/>
      <c r="BC179" s="19"/>
      <c r="BD179" s="19"/>
      <c r="BE179" s="19"/>
      <c r="BF179" s="19"/>
      <c r="BG179" s="19"/>
      <c r="BH179" s="19">
        <v>5</v>
      </c>
      <c r="BI179" s="19"/>
      <c r="BJ179" s="19"/>
      <c r="BK179" s="19"/>
      <c r="BL179" s="19"/>
      <c r="BM179" s="19"/>
      <c r="BN179" s="19"/>
      <c r="BO179" s="19"/>
    </row>
    <row r="180" spans="1:67" ht="21" customHeight="1">
      <c r="A180" s="34"/>
      <c r="B180" s="42"/>
      <c r="C180" s="42"/>
      <c r="D180" s="42"/>
      <c r="E180" s="33"/>
      <c r="F180" s="33"/>
      <c r="G180" s="33"/>
      <c r="H180" s="1" t="s">
        <v>36</v>
      </c>
      <c r="I180" s="1"/>
      <c r="J180" s="1"/>
      <c r="K180" s="1"/>
      <c r="L180" s="1"/>
      <c r="M180" s="1"/>
      <c r="N180" s="1"/>
      <c r="O180" s="14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9"/>
      <c r="AJ180" s="19"/>
      <c r="AK180" s="19"/>
      <c r="AL180" s="19"/>
      <c r="AM180" s="19"/>
      <c r="AN180" s="19"/>
      <c r="AO180" s="19"/>
      <c r="AP180" s="19"/>
      <c r="AQ180" s="19"/>
      <c r="AR180" s="19"/>
      <c r="AS180" s="19"/>
      <c r="AT180" s="19"/>
      <c r="AU180" s="19"/>
      <c r="AV180" s="19"/>
      <c r="AW180" s="19"/>
      <c r="AX180" s="19"/>
      <c r="AY180" s="19"/>
      <c r="AZ180" s="19"/>
      <c r="BA180" s="19"/>
      <c r="BB180" s="19"/>
      <c r="BC180" s="19"/>
      <c r="BD180" s="19"/>
      <c r="BE180" s="19"/>
      <c r="BF180" s="19"/>
      <c r="BG180" s="19"/>
      <c r="BH180" s="19"/>
      <c r="BI180" s="19"/>
      <c r="BJ180" s="19"/>
      <c r="BK180" s="19"/>
      <c r="BL180" s="19"/>
      <c r="BM180" s="19"/>
      <c r="BN180" s="19"/>
      <c r="BO180" s="19"/>
    </row>
    <row r="181" spans="1:67" ht="21" customHeight="1">
      <c r="A181" s="34"/>
      <c r="B181" s="42"/>
      <c r="C181" s="42"/>
      <c r="D181" s="42"/>
      <c r="E181" s="33"/>
      <c r="F181" s="33" t="s">
        <v>133</v>
      </c>
      <c r="G181" s="33" t="s">
        <v>183</v>
      </c>
      <c r="H181" s="1" t="s">
        <v>33</v>
      </c>
      <c r="I181" s="1"/>
      <c r="J181" s="1"/>
      <c r="K181" s="5"/>
      <c r="L181" s="1"/>
      <c r="M181" s="1"/>
      <c r="N181" s="1"/>
      <c r="O181" s="14" t="s">
        <v>96</v>
      </c>
      <c r="P181" s="19">
        <v>2</v>
      </c>
      <c r="Q181" s="19"/>
      <c r="R181" s="19"/>
      <c r="S181" s="19"/>
      <c r="T181" s="19"/>
      <c r="U181" s="19">
        <v>2</v>
      </c>
      <c r="V181" s="19"/>
      <c r="W181" s="19"/>
      <c r="X181" s="19"/>
      <c r="Y181" s="19">
        <v>2</v>
      </c>
      <c r="Z181" s="19"/>
      <c r="AA181" s="19"/>
      <c r="AB181" s="19"/>
      <c r="AC181" s="19">
        <v>2</v>
      </c>
      <c r="AD181" s="19"/>
      <c r="AE181" s="19"/>
      <c r="AF181" s="19"/>
      <c r="AG181" s="19">
        <v>2</v>
      </c>
      <c r="AH181" s="19"/>
      <c r="AI181" s="19"/>
      <c r="AJ181" s="19"/>
      <c r="AK181" s="19"/>
      <c r="AL181" s="19">
        <v>2</v>
      </c>
      <c r="AM181" s="19"/>
      <c r="AN181" s="19"/>
      <c r="AO181" s="19"/>
      <c r="AP181" s="19">
        <v>2</v>
      </c>
      <c r="AQ181" s="19"/>
      <c r="AR181" s="19"/>
      <c r="AS181" s="19"/>
      <c r="AT181" s="19"/>
      <c r="AU181" s="19">
        <v>2</v>
      </c>
      <c r="AV181" s="19"/>
      <c r="AW181" s="19"/>
      <c r="AX181" s="19"/>
      <c r="AY181" s="19">
        <v>2</v>
      </c>
      <c r="AZ181" s="19"/>
      <c r="BA181" s="19"/>
      <c r="BB181" s="19"/>
      <c r="BC181" s="19">
        <v>2</v>
      </c>
      <c r="BD181" s="19"/>
      <c r="BE181" s="19"/>
      <c r="BF181" s="19"/>
      <c r="BG181" s="19"/>
      <c r="BH181" s="19">
        <v>2</v>
      </c>
      <c r="BI181" s="19"/>
      <c r="BJ181" s="19"/>
      <c r="BK181" s="19"/>
      <c r="BL181" s="19">
        <v>2</v>
      </c>
      <c r="BM181" s="19"/>
      <c r="BN181" s="19"/>
      <c r="BO181" s="19"/>
    </row>
    <row r="182" spans="1:67" ht="21" customHeight="1">
      <c r="A182" s="34"/>
      <c r="B182" s="42"/>
      <c r="C182" s="42"/>
      <c r="D182" s="42"/>
      <c r="E182" s="33"/>
      <c r="F182" s="33"/>
      <c r="G182" s="33"/>
      <c r="H182" s="1" t="s">
        <v>36</v>
      </c>
      <c r="I182" s="1"/>
      <c r="J182" s="1"/>
      <c r="K182" s="1"/>
      <c r="L182" s="1"/>
      <c r="M182" s="1"/>
      <c r="N182" s="1"/>
      <c r="O182" s="14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9"/>
      <c r="AJ182" s="19"/>
      <c r="AK182" s="19"/>
      <c r="AL182" s="19"/>
      <c r="AM182" s="19"/>
      <c r="AN182" s="19"/>
      <c r="AO182" s="19"/>
      <c r="AP182" s="19"/>
      <c r="AQ182" s="19"/>
      <c r="AR182" s="19"/>
      <c r="AS182" s="19"/>
      <c r="AT182" s="19"/>
      <c r="AU182" s="19"/>
      <c r="AV182" s="19"/>
      <c r="AW182" s="19"/>
      <c r="AX182" s="19"/>
      <c r="AY182" s="19"/>
      <c r="AZ182" s="19"/>
      <c r="BA182" s="19"/>
      <c r="BB182" s="19"/>
      <c r="BC182" s="19"/>
      <c r="BD182" s="19"/>
      <c r="BE182" s="19"/>
      <c r="BF182" s="19"/>
      <c r="BG182" s="19"/>
      <c r="BH182" s="19"/>
      <c r="BI182" s="19"/>
      <c r="BJ182" s="19"/>
      <c r="BK182" s="19"/>
      <c r="BL182" s="19"/>
      <c r="BM182" s="19"/>
      <c r="BN182" s="19"/>
      <c r="BO182" s="19"/>
    </row>
    <row r="183" spans="1:67" ht="21" customHeight="1">
      <c r="A183" s="34"/>
      <c r="B183" s="42"/>
      <c r="C183" s="42"/>
      <c r="D183" s="42"/>
      <c r="E183" s="33"/>
      <c r="F183" s="33" t="s">
        <v>184</v>
      </c>
      <c r="G183" s="33" t="s">
        <v>185</v>
      </c>
      <c r="H183" s="1" t="s">
        <v>33</v>
      </c>
      <c r="I183" s="1"/>
      <c r="J183" s="2"/>
      <c r="K183" s="1"/>
      <c r="L183" s="1"/>
      <c r="M183" s="1"/>
      <c r="N183" s="1"/>
      <c r="O183" s="14" t="s">
        <v>186</v>
      </c>
      <c r="P183" s="19">
        <v>1</v>
      </c>
      <c r="Q183" s="19">
        <v>1</v>
      </c>
      <c r="R183" s="19">
        <v>1</v>
      </c>
      <c r="S183" s="19">
        <v>1</v>
      </c>
      <c r="T183" s="19">
        <v>1</v>
      </c>
      <c r="U183" s="19">
        <v>1</v>
      </c>
      <c r="V183" s="19">
        <v>1</v>
      </c>
      <c r="W183" s="19">
        <v>1</v>
      </c>
      <c r="X183" s="19">
        <v>1</v>
      </c>
      <c r="Y183" s="19">
        <v>1</v>
      </c>
      <c r="Z183" s="19">
        <v>1</v>
      </c>
      <c r="AA183" s="19">
        <v>1</v>
      </c>
      <c r="AB183" s="19">
        <v>1</v>
      </c>
      <c r="AC183" s="19">
        <v>1</v>
      </c>
      <c r="AD183" s="19">
        <v>1</v>
      </c>
      <c r="AE183" s="19">
        <v>1</v>
      </c>
      <c r="AF183" s="19">
        <v>1</v>
      </c>
      <c r="AG183" s="19">
        <v>1</v>
      </c>
      <c r="AH183" s="19">
        <v>1</v>
      </c>
      <c r="AI183" s="19">
        <v>1</v>
      </c>
      <c r="AJ183" s="19">
        <v>1</v>
      </c>
      <c r="AK183" s="19">
        <v>1</v>
      </c>
      <c r="AL183" s="19">
        <v>1</v>
      </c>
      <c r="AM183" s="19">
        <v>1</v>
      </c>
      <c r="AN183" s="19">
        <v>1</v>
      </c>
      <c r="AO183" s="19">
        <v>1</v>
      </c>
      <c r="AP183" s="19">
        <v>1</v>
      </c>
      <c r="AQ183" s="19">
        <v>1</v>
      </c>
      <c r="AR183" s="19">
        <v>1</v>
      </c>
      <c r="AS183" s="19">
        <v>1</v>
      </c>
      <c r="AT183" s="19">
        <v>1</v>
      </c>
      <c r="AU183" s="19">
        <v>1</v>
      </c>
      <c r="AV183" s="19">
        <v>1</v>
      </c>
      <c r="AW183" s="19">
        <v>1</v>
      </c>
      <c r="AX183" s="19">
        <v>1</v>
      </c>
      <c r="AY183" s="19">
        <v>1</v>
      </c>
      <c r="AZ183" s="19">
        <v>1</v>
      </c>
      <c r="BA183" s="19">
        <v>1</v>
      </c>
      <c r="BB183" s="19">
        <v>1</v>
      </c>
      <c r="BC183" s="19">
        <v>1</v>
      </c>
      <c r="BD183" s="19">
        <v>1</v>
      </c>
      <c r="BE183" s="19">
        <v>1</v>
      </c>
      <c r="BF183" s="19">
        <v>1</v>
      </c>
      <c r="BG183" s="19">
        <v>1</v>
      </c>
      <c r="BH183" s="19">
        <v>1</v>
      </c>
      <c r="BI183" s="19">
        <v>1</v>
      </c>
      <c r="BJ183" s="19">
        <v>1</v>
      </c>
      <c r="BK183" s="19">
        <v>1</v>
      </c>
      <c r="BL183" s="19">
        <v>1</v>
      </c>
      <c r="BM183" s="19">
        <v>1</v>
      </c>
      <c r="BN183" s="19">
        <v>1</v>
      </c>
      <c r="BO183" s="19">
        <v>1</v>
      </c>
    </row>
    <row r="184" spans="1:67" ht="21" customHeight="1">
      <c r="A184" s="34"/>
      <c r="B184" s="42"/>
      <c r="C184" s="42"/>
      <c r="D184" s="42"/>
      <c r="E184" s="33"/>
      <c r="F184" s="33"/>
      <c r="G184" s="33"/>
      <c r="H184" s="1" t="s">
        <v>36</v>
      </c>
      <c r="I184" s="1"/>
      <c r="J184" s="1"/>
      <c r="K184" s="1"/>
      <c r="L184" s="1"/>
      <c r="M184" s="1"/>
      <c r="N184" s="1"/>
      <c r="O184" s="14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9"/>
      <c r="AJ184" s="19"/>
      <c r="AK184" s="19"/>
      <c r="AL184" s="19"/>
      <c r="AM184" s="19"/>
      <c r="AN184" s="19"/>
      <c r="AO184" s="19"/>
      <c r="AP184" s="19"/>
      <c r="AQ184" s="19"/>
      <c r="AR184" s="19"/>
      <c r="AS184" s="19"/>
      <c r="AT184" s="19"/>
      <c r="AU184" s="19"/>
      <c r="AV184" s="19"/>
      <c r="AW184" s="19"/>
      <c r="AX184" s="19"/>
      <c r="AY184" s="19"/>
      <c r="AZ184" s="19"/>
      <c r="BA184" s="19"/>
      <c r="BB184" s="19"/>
      <c r="BC184" s="19"/>
      <c r="BD184" s="19"/>
      <c r="BE184" s="19"/>
      <c r="BF184" s="19"/>
      <c r="BG184" s="19"/>
      <c r="BH184" s="19"/>
      <c r="BI184" s="19"/>
      <c r="BJ184" s="19"/>
      <c r="BK184" s="19"/>
      <c r="BL184" s="19"/>
      <c r="BM184" s="19"/>
      <c r="BN184" s="19"/>
      <c r="BO184" s="19"/>
    </row>
    <row r="185" spans="1:67" ht="21" customHeight="1">
      <c r="A185" s="34"/>
      <c r="B185" s="42"/>
      <c r="C185" s="42"/>
      <c r="D185" s="42"/>
      <c r="E185" s="33"/>
      <c r="F185" s="33" t="s">
        <v>187</v>
      </c>
      <c r="G185" s="33" t="s">
        <v>188</v>
      </c>
      <c r="H185" s="1" t="s">
        <v>33</v>
      </c>
      <c r="I185" s="1"/>
      <c r="J185" s="2"/>
      <c r="K185" s="1"/>
      <c r="L185" s="1"/>
      <c r="M185" s="1"/>
      <c r="N185" s="1"/>
      <c r="O185" s="14" t="s">
        <v>189</v>
      </c>
      <c r="P185" s="19">
        <v>1</v>
      </c>
      <c r="Q185" s="19">
        <v>1</v>
      </c>
      <c r="R185" s="19">
        <v>1</v>
      </c>
      <c r="S185" s="19">
        <v>1</v>
      </c>
      <c r="T185" s="19">
        <v>1</v>
      </c>
      <c r="U185" s="19">
        <v>1</v>
      </c>
      <c r="V185" s="19">
        <v>1</v>
      </c>
      <c r="W185" s="19">
        <v>1</v>
      </c>
      <c r="X185" s="19">
        <v>1</v>
      </c>
      <c r="Y185" s="19">
        <v>1</v>
      </c>
      <c r="Z185" s="19">
        <v>1</v>
      </c>
      <c r="AA185" s="19">
        <v>1</v>
      </c>
      <c r="AB185" s="19">
        <v>1</v>
      </c>
      <c r="AC185" s="19">
        <v>1</v>
      </c>
      <c r="AD185" s="19">
        <v>1</v>
      </c>
      <c r="AE185" s="19">
        <v>1</v>
      </c>
      <c r="AF185" s="19">
        <v>1</v>
      </c>
      <c r="AG185" s="19">
        <v>1</v>
      </c>
      <c r="AH185" s="19">
        <v>1</v>
      </c>
      <c r="AI185" s="19">
        <v>1</v>
      </c>
      <c r="AJ185" s="19">
        <v>1</v>
      </c>
      <c r="AK185" s="19">
        <v>1</v>
      </c>
      <c r="AL185" s="19">
        <v>1</v>
      </c>
      <c r="AM185" s="19">
        <v>1</v>
      </c>
      <c r="AN185" s="19">
        <v>1</v>
      </c>
      <c r="AO185" s="19">
        <v>1</v>
      </c>
      <c r="AP185" s="19">
        <v>1</v>
      </c>
      <c r="AQ185" s="19">
        <v>1</v>
      </c>
      <c r="AR185" s="19">
        <v>1</v>
      </c>
      <c r="AS185" s="19">
        <v>1</v>
      </c>
      <c r="AT185" s="19">
        <v>1</v>
      </c>
      <c r="AU185" s="19">
        <v>1</v>
      </c>
      <c r="AV185" s="19">
        <v>1</v>
      </c>
      <c r="AW185" s="19">
        <v>1</v>
      </c>
      <c r="AX185" s="19">
        <v>1</v>
      </c>
      <c r="AY185" s="19">
        <v>1</v>
      </c>
      <c r="AZ185" s="19">
        <v>1</v>
      </c>
      <c r="BA185" s="19">
        <v>1</v>
      </c>
      <c r="BB185" s="19">
        <v>1</v>
      </c>
      <c r="BC185" s="19">
        <v>1</v>
      </c>
      <c r="BD185" s="19">
        <v>1</v>
      </c>
      <c r="BE185" s="19">
        <v>1</v>
      </c>
      <c r="BF185" s="19">
        <v>1</v>
      </c>
      <c r="BG185" s="19">
        <v>1</v>
      </c>
      <c r="BH185" s="19">
        <v>1</v>
      </c>
      <c r="BI185" s="19">
        <v>1</v>
      </c>
      <c r="BJ185" s="19">
        <v>1</v>
      </c>
      <c r="BK185" s="19">
        <v>1</v>
      </c>
      <c r="BL185" s="19">
        <v>1</v>
      </c>
      <c r="BM185" s="19">
        <v>1</v>
      </c>
      <c r="BN185" s="19">
        <v>1</v>
      </c>
      <c r="BO185" s="19">
        <v>1</v>
      </c>
    </row>
    <row r="186" spans="1:67" ht="21" customHeight="1">
      <c r="A186" s="34"/>
      <c r="B186" s="42"/>
      <c r="C186" s="42"/>
      <c r="D186" s="42"/>
      <c r="E186" s="33"/>
      <c r="F186" s="33"/>
      <c r="G186" s="33"/>
      <c r="H186" s="1" t="s">
        <v>36</v>
      </c>
      <c r="I186" s="1"/>
      <c r="J186" s="1"/>
      <c r="K186" s="1"/>
      <c r="L186" s="1"/>
      <c r="M186" s="1"/>
      <c r="N186" s="1"/>
      <c r="O186" s="14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19"/>
      <c r="AM186" s="19"/>
      <c r="AN186" s="19"/>
      <c r="AO186" s="19"/>
      <c r="AP186" s="19"/>
      <c r="AQ186" s="19"/>
      <c r="AR186" s="19"/>
      <c r="AS186" s="19"/>
      <c r="AT186" s="19"/>
      <c r="AU186" s="19"/>
      <c r="AV186" s="19"/>
      <c r="AW186" s="19"/>
      <c r="AX186" s="19"/>
      <c r="AY186" s="19"/>
      <c r="AZ186" s="19"/>
      <c r="BA186" s="19"/>
      <c r="BB186" s="19"/>
      <c r="BC186" s="19"/>
      <c r="BD186" s="19"/>
      <c r="BE186" s="19"/>
      <c r="BF186" s="19"/>
      <c r="BG186" s="19"/>
      <c r="BH186" s="19"/>
      <c r="BI186" s="19"/>
      <c r="BJ186" s="19"/>
      <c r="BK186" s="19"/>
      <c r="BL186" s="19"/>
      <c r="BM186" s="19"/>
      <c r="BN186" s="19"/>
      <c r="BO186" s="19"/>
    </row>
    <row r="187" spans="1:67" ht="21" customHeight="1">
      <c r="A187" s="34"/>
      <c r="B187" s="42"/>
      <c r="C187" s="42"/>
      <c r="D187" s="42"/>
      <c r="E187" s="33"/>
      <c r="F187" s="33"/>
      <c r="G187" s="33" t="s">
        <v>190</v>
      </c>
      <c r="H187" s="1" t="s">
        <v>33</v>
      </c>
      <c r="I187" s="1"/>
      <c r="J187" s="2"/>
      <c r="K187" s="1"/>
      <c r="L187" s="1"/>
      <c r="M187" s="1"/>
      <c r="N187" s="1"/>
      <c r="O187" s="14" t="s">
        <v>186</v>
      </c>
      <c r="P187" s="19">
        <v>1</v>
      </c>
      <c r="Q187" s="19">
        <v>1</v>
      </c>
      <c r="R187" s="19">
        <v>1</v>
      </c>
      <c r="S187" s="19">
        <v>1</v>
      </c>
      <c r="T187" s="19">
        <v>1</v>
      </c>
      <c r="U187" s="19">
        <v>1</v>
      </c>
      <c r="V187" s="19">
        <v>1</v>
      </c>
      <c r="W187" s="19">
        <v>1</v>
      </c>
      <c r="X187" s="19">
        <v>1</v>
      </c>
      <c r="Y187" s="19">
        <v>1</v>
      </c>
      <c r="Z187" s="19">
        <v>1</v>
      </c>
      <c r="AA187" s="19">
        <v>1</v>
      </c>
      <c r="AB187" s="19">
        <v>1</v>
      </c>
      <c r="AC187" s="19">
        <v>1</v>
      </c>
      <c r="AD187" s="19">
        <v>1</v>
      </c>
      <c r="AE187" s="19">
        <v>1</v>
      </c>
      <c r="AF187" s="19">
        <v>1</v>
      </c>
      <c r="AG187" s="19">
        <v>1</v>
      </c>
      <c r="AH187" s="19">
        <v>1</v>
      </c>
      <c r="AI187" s="19">
        <v>1</v>
      </c>
      <c r="AJ187" s="19">
        <v>1</v>
      </c>
      <c r="AK187" s="19">
        <v>1</v>
      </c>
      <c r="AL187" s="19">
        <v>1</v>
      </c>
      <c r="AM187" s="19">
        <v>1</v>
      </c>
      <c r="AN187" s="19">
        <v>1</v>
      </c>
      <c r="AO187" s="19">
        <v>1</v>
      </c>
      <c r="AP187" s="19">
        <v>1</v>
      </c>
      <c r="AQ187" s="19">
        <v>1</v>
      </c>
      <c r="AR187" s="19">
        <v>1</v>
      </c>
      <c r="AS187" s="19">
        <v>1</v>
      </c>
      <c r="AT187" s="19">
        <v>1</v>
      </c>
      <c r="AU187" s="19">
        <v>1</v>
      </c>
      <c r="AV187" s="19">
        <v>1</v>
      </c>
      <c r="AW187" s="19">
        <v>1</v>
      </c>
      <c r="AX187" s="19">
        <v>1</v>
      </c>
      <c r="AY187" s="19">
        <v>1</v>
      </c>
      <c r="AZ187" s="19">
        <v>1</v>
      </c>
      <c r="BA187" s="19">
        <v>1</v>
      </c>
      <c r="BB187" s="19">
        <v>1</v>
      </c>
      <c r="BC187" s="19">
        <v>1</v>
      </c>
      <c r="BD187" s="19">
        <v>1</v>
      </c>
      <c r="BE187" s="19">
        <v>1</v>
      </c>
      <c r="BF187" s="19">
        <v>1</v>
      </c>
      <c r="BG187" s="19">
        <v>1</v>
      </c>
      <c r="BH187" s="19">
        <v>1</v>
      </c>
      <c r="BI187" s="19">
        <v>1</v>
      </c>
      <c r="BJ187" s="19">
        <v>1</v>
      </c>
      <c r="BK187" s="19">
        <v>1</v>
      </c>
      <c r="BL187" s="19">
        <v>1</v>
      </c>
      <c r="BM187" s="19">
        <v>1</v>
      </c>
      <c r="BN187" s="19">
        <v>1</v>
      </c>
      <c r="BO187" s="19">
        <v>1</v>
      </c>
    </row>
    <row r="188" spans="1:67" ht="21" customHeight="1">
      <c r="A188" s="34"/>
      <c r="B188" s="42"/>
      <c r="C188" s="42"/>
      <c r="D188" s="42"/>
      <c r="E188" s="33"/>
      <c r="F188" s="33"/>
      <c r="G188" s="33"/>
      <c r="H188" s="1" t="s">
        <v>36</v>
      </c>
      <c r="I188" s="1"/>
      <c r="J188" s="1"/>
      <c r="K188" s="1"/>
      <c r="L188" s="1"/>
      <c r="M188" s="1"/>
      <c r="N188" s="1"/>
      <c r="O188" s="14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9"/>
      <c r="AJ188" s="19"/>
      <c r="AK188" s="19"/>
      <c r="AL188" s="19"/>
      <c r="AM188" s="19"/>
      <c r="AN188" s="19"/>
      <c r="AO188" s="19"/>
      <c r="AP188" s="19"/>
      <c r="AQ188" s="19"/>
      <c r="AR188" s="19"/>
      <c r="AS188" s="19"/>
      <c r="AT188" s="19"/>
      <c r="AU188" s="19"/>
      <c r="AV188" s="19"/>
      <c r="AW188" s="19"/>
      <c r="AX188" s="19"/>
      <c r="AY188" s="19"/>
      <c r="AZ188" s="19"/>
      <c r="BA188" s="19"/>
      <c r="BB188" s="19"/>
      <c r="BC188" s="19"/>
      <c r="BD188" s="19"/>
      <c r="BE188" s="19"/>
      <c r="BF188" s="19"/>
      <c r="BG188" s="19"/>
      <c r="BH188" s="19"/>
      <c r="BI188" s="19"/>
      <c r="BJ188" s="19"/>
      <c r="BK188" s="19"/>
      <c r="BL188" s="19"/>
      <c r="BM188" s="19"/>
      <c r="BN188" s="19"/>
      <c r="BO188" s="19"/>
    </row>
    <row r="189" spans="1:67" ht="21" customHeight="1">
      <c r="A189" s="34"/>
      <c r="B189" s="42"/>
      <c r="C189" s="42"/>
      <c r="D189" s="42"/>
      <c r="E189" s="33"/>
      <c r="F189" s="33" t="s">
        <v>191</v>
      </c>
      <c r="G189" s="33" t="s">
        <v>192</v>
      </c>
      <c r="H189" s="1" t="s">
        <v>33</v>
      </c>
      <c r="I189" s="1"/>
      <c r="J189" s="1"/>
      <c r="K189" s="1"/>
      <c r="L189" s="7"/>
      <c r="M189" s="1"/>
      <c r="N189" s="1"/>
      <c r="O189" s="14" t="s">
        <v>11</v>
      </c>
      <c r="P189" s="19">
        <v>3</v>
      </c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>
        <v>3</v>
      </c>
      <c r="AD189" s="19"/>
      <c r="AE189" s="19"/>
      <c r="AF189" s="19"/>
      <c r="AG189" s="19"/>
      <c r="AH189" s="19"/>
      <c r="AI189" s="19"/>
      <c r="AJ189" s="19"/>
      <c r="AK189" s="19"/>
      <c r="AL189" s="19"/>
      <c r="AM189" s="19"/>
      <c r="AN189" s="19"/>
      <c r="AO189" s="19"/>
      <c r="AP189" s="19">
        <v>3</v>
      </c>
      <c r="AQ189" s="19"/>
      <c r="AR189" s="19"/>
      <c r="AS189" s="19"/>
      <c r="AT189" s="19"/>
      <c r="AU189" s="19"/>
      <c r="AV189" s="19"/>
      <c r="AW189" s="19"/>
      <c r="AX189" s="19"/>
      <c r="AY189" s="19"/>
      <c r="AZ189" s="19"/>
      <c r="BA189" s="19"/>
      <c r="BB189" s="19"/>
      <c r="BC189" s="19">
        <v>3</v>
      </c>
      <c r="BD189" s="19"/>
      <c r="BE189" s="19"/>
      <c r="BF189" s="19"/>
      <c r="BG189" s="19"/>
      <c r="BH189" s="19"/>
      <c r="BI189" s="19"/>
      <c r="BJ189" s="19"/>
      <c r="BK189" s="19"/>
      <c r="BL189" s="19"/>
      <c r="BM189" s="19"/>
      <c r="BN189" s="19"/>
      <c r="BO189" s="19"/>
    </row>
    <row r="190" spans="1:67" ht="21" customHeight="1">
      <c r="A190" s="34"/>
      <c r="B190" s="42"/>
      <c r="C190" s="42"/>
      <c r="D190" s="42"/>
      <c r="E190" s="33"/>
      <c r="F190" s="33"/>
      <c r="G190" s="33"/>
      <c r="H190" s="1" t="s">
        <v>36</v>
      </c>
      <c r="I190" s="1"/>
      <c r="J190" s="1"/>
      <c r="K190" s="1"/>
      <c r="L190" s="1"/>
      <c r="M190" s="1"/>
      <c r="N190" s="1"/>
      <c r="O190" s="14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9"/>
      <c r="AJ190" s="19"/>
      <c r="AK190" s="19"/>
      <c r="AL190" s="19"/>
      <c r="AM190" s="19"/>
      <c r="AN190" s="19"/>
      <c r="AO190" s="19"/>
      <c r="AP190" s="19"/>
      <c r="AQ190" s="19"/>
      <c r="AR190" s="19"/>
      <c r="AS190" s="19"/>
      <c r="AT190" s="19"/>
      <c r="AU190" s="19"/>
      <c r="AV190" s="19"/>
      <c r="AW190" s="19"/>
      <c r="AX190" s="19"/>
      <c r="AY190" s="19"/>
      <c r="AZ190" s="19"/>
      <c r="BA190" s="19"/>
      <c r="BB190" s="19"/>
      <c r="BC190" s="19"/>
      <c r="BD190" s="19"/>
      <c r="BE190" s="19"/>
      <c r="BF190" s="19"/>
      <c r="BG190" s="19"/>
      <c r="BH190" s="19"/>
      <c r="BI190" s="19"/>
      <c r="BJ190" s="19"/>
      <c r="BK190" s="19"/>
      <c r="BL190" s="19"/>
      <c r="BM190" s="19"/>
      <c r="BN190" s="19"/>
      <c r="BO190" s="19"/>
    </row>
    <row r="191" spans="1:67" ht="21" customHeight="1">
      <c r="A191" s="34"/>
      <c r="B191" s="42"/>
      <c r="C191" s="42"/>
      <c r="D191" s="42"/>
      <c r="E191" s="33"/>
      <c r="F191" s="33" t="s">
        <v>193</v>
      </c>
      <c r="G191" s="33" t="s">
        <v>194</v>
      </c>
      <c r="H191" s="1" t="s">
        <v>33</v>
      </c>
      <c r="I191" s="1"/>
      <c r="J191" s="1"/>
      <c r="K191" s="5"/>
      <c r="L191" s="1"/>
      <c r="M191" s="1"/>
      <c r="N191" s="1"/>
      <c r="O191" s="14" t="s">
        <v>195</v>
      </c>
      <c r="P191" s="19">
        <v>2</v>
      </c>
      <c r="Q191" s="19"/>
      <c r="R191" s="19"/>
      <c r="S191" s="19"/>
      <c r="T191" s="19"/>
      <c r="U191" s="19">
        <v>2</v>
      </c>
      <c r="V191" s="19"/>
      <c r="W191" s="19"/>
      <c r="X191" s="19"/>
      <c r="Y191" s="19">
        <v>2</v>
      </c>
      <c r="Z191" s="19"/>
      <c r="AA191" s="19"/>
      <c r="AB191" s="19"/>
      <c r="AC191" s="19">
        <v>2</v>
      </c>
      <c r="AD191" s="19"/>
      <c r="AE191" s="19"/>
      <c r="AF191" s="19"/>
      <c r="AG191" s="19">
        <v>2</v>
      </c>
      <c r="AH191" s="19"/>
      <c r="AI191" s="19"/>
      <c r="AJ191" s="19"/>
      <c r="AK191" s="19"/>
      <c r="AL191" s="19">
        <v>2</v>
      </c>
      <c r="AM191" s="19"/>
      <c r="AN191" s="19"/>
      <c r="AO191" s="19"/>
      <c r="AP191" s="19">
        <v>2</v>
      </c>
      <c r="AQ191" s="19"/>
      <c r="AR191" s="19"/>
      <c r="AS191" s="19"/>
      <c r="AT191" s="19"/>
      <c r="AU191" s="19">
        <v>2</v>
      </c>
      <c r="AV191" s="19"/>
      <c r="AW191" s="19"/>
      <c r="AX191" s="19"/>
      <c r="AY191" s="19">
        <v>2</v>
      </c>
      <c r="AZ191" s="19"/>
      <c r="BA191" s="19"/>
      <c r="BB191" s="19"/>
      <c r="BC191" s="19">
        <v>2</v>
      </c>
      <c r="BD191" s="19"/>
      <c r="BE191" s="19"/>
      <c r="BF191" s="19"/>
      <c r="BG191" s="19"/>
      <c r="BH191" s="19">
        <v>2</v>
      </c>
      <c r="BI191" s="19"/>
      <c r="BJ191" s="19"/>
      <c r="BK191" s="19"/>
      <c r="BL191" s="19">
        <v>2</v>
      </c>
      <c r="BM191" s="19"/>
      <c r="BN191" s="19"/>
      <c r="BO191" s="19"/>
    </row>
    <row r="192" spans="1:67" ht="21" customHeight="1">
      <c r="A192" s="34"/>
      <c r="B192" s="42"/>
      <c r="C192" s="42"/>
      <c r="D192" s="42"/>
      <c r="E192" s="33"/>
      <c r="F192" s="33"/>
      <c r="G192" s="33"/>
      <c r="H192" s="1" t="s">
        <v>36</v>
      </c>
      <c r="I192" s="1"/>
      <c r="J192" s="1"/>
      <c r="K192" s="1"/>
      <c r="L192" s="1"/>
      <c r="M192" s="1"/>
      <c r="N192" s="1"/>
      <c r="O192" s="14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9"/>
      <c r="AJ192" s="19"/>
      <c r="AK192" s="19"/>
      <c r="AL192" s="19"/>
      <c r="AM192" s="19"/>
      <c r="AN192" s="19"/>
      <c r="AO192" s="19"/>
      <c r="AP192" s="19"/>
      <c r="AQ192" s="19"/>
      <c r="AR192" s="19"/>
      <c r="AS192" s="19"/>
      <c r="AT192" s="19"/>
      <c r="AU192" s="19"/>
      <c r="AV192" s="19"/>
      <c r="AW192" s="19"/>
      <c r="AX192" s="19"/>
      <c r="AY192" s="19"/>
      <c r="AZ192" s="19"/>
      <c r="BA192" s="19"/>
      <c r="BB192" s="19"/>
      <c r="BC192" s="19"/>
      <c r="BD192" s="19"/>
      <c r="BE192" s="19"/>
      <c r="BF192" s="19"/>
      <c r="BG192" s="19"/>
      <c r="BH192" s="19"/>
      <c r="BI192" s="19"/>
      <c r="BJ192" s="19"/>
      <c r="BK192" s="19"/>
      <c r="BL192" s="19"/>
      <c r="BM192" s="19"/>
      <c r="BN192" s="19"/>
      <c r="BO192" s="19"/>
    </row>
    <row r="193" spans="1:67" ht="21" customHeight="1">
      <c r="A193" s="34"/>
      <c r="B193" s="42"/>
      <c r="C193" s="42"/>
      <c r="D193" s="42"/>
      <c r="E193" s="33"/>
      <c r="F193" s="33" t="s">
        <v>196</v>
      </c>
      <c r="G193" s="33" t="s">
        <v>197</v>
      </c>
      <c r="H193" s="1" t="s">
        <v>33</v>
      </c>
      <c r="I193" s="1"/>
      <c r="J193" s="1"/>
      <c r="K193" s="1"/>
      <c r="L193" s="7"/>
      <c r="M193" s="1"/>
      <c r="N193" s="1"/>
      <c r="O193" s="14" t="s">
        <v>198</v>
      </c>
      <c r="P193" s="19">
        <v>3</v>
      </c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>
        <v>3</v>
      </c>
      <c r="AD193" s="19"/>
      <c r="AE193" s="19"/>
      <c r="AF193" s="19"/>
      <c r="AG193" s="19"/>
      <c r="AH193" s="19"/>
      <c r="AI193" s="19"/>
      <c r="AJ193" s="19"/>
      <c r="AK193" s="19"/>
      <c r="AL193" s="19"/>
      <c r="AM193" s="19"/>
      <c r="AN193" s="19"/>
      <c r="AO193" s="19"/>
      <c r="AP193" s="19">
        <v>3</v>
      </c>
      <c r="AQ193" s="19"/>
      <c r="AR193" s="19"/>
      <c r="AS193" s="19"/>
      <c r="AT193" s="19"/>
      <c r="AU193" s="19"/>
      <c r="AV193" s="19"/>
      <c r="AW193" s="19"/>
      <c r="AX193" s="19"/>
      <c r="AY193" s="19"/>
      <c r="AZ193" s="19"/>
      <c r="BA193" s="19"/>
      <c r="BB193" s="19"/>
      <c r="BC193" s="19">
        <v>3</v>
      </c>
      <c r="BD193" s="19"/>
      <c r="BE193" s="19"/>
      <c r="BF193" s="19"/>
      <c r="BG193" s="19"/>
      <c r="BH193" s="19"/>
      <c r="BI193" s="19"/>
      <c r="BJ193" s="19"/>
      <c r="BK193" s="19"/>
      <c r="BL193" s="19"/>
      <c r="BM193" s="19"/>
      <c r="BN193" s="19"/>
      <c r="BO193" s="19"/>
    </row>
    <row r="194" spans="1:67" ht="21" customHeight="1">
      <c r="A194" s="34"/>
      <c r="B194" s="42"/>
      <c r="C194" s="42"/>
      <c r="D194" s="42"/>
      <c r="E194" s="33"/>
      <c r="F194" s="33"/>
      <c r="G194" s="33"/>
      <c r="H194" s="1" t="s">
        <v>36</v>
      </c>
      <c r="I194" s="1"/>
      <c r="J194" s="1"/>
      <c r="K194" s="1"/>
      <c r="L194" s="1"/>
      <c r="M194" s="1"/>
      <c r="N194" s="1"/>
      <c r="O194" s="14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9"/>
      <c r="AJ194" s="19"/>
      <c r="AK194" s="19"/>
      <c r="AL194" s="19"/>
      <c r="AM194" s="19"/>
      <c r="AN194" s="19"/>
      <c r="AO194" s="19"/>
      <c r="AP194" s="19"/>
      <c r="AQ194" s="19"/>
      <c r="AR194" s="19"/>
      <c r="AS194" s="19"/>
      <c r="AT194" s="19"/>
      <c r="AU194" s="19"/>
      <c r="AV194" s="19"/>
      <c r="AW194" s="19"/>
      <c r="AX194" s="19"/>
      <c r="AY194" s="19"/>
      <c r="AZ194" s="19"/>
      <c r="BA194" s="19"/>
      <c r="BB194" s="19"/>
      <c r="BC194" s="19"/>
      <c r="BD194" s="19"/>
      <c r="BE194" s="19"/>
      <c r="BF194" s="19"/>
      <c r="BG194" s="19"/>
      <c r="BH194" s="19"/>
      <c r="BI194" s="19"/>
      <c r="BJ194" s="19"/>
      <c r="BK194" s="19"/>
      <c r="BL194" s="19"/>
      <c r="BM194" s="19"/>
      <c r="BN194" s="19"/>
      <c r="BO194" s="19"/>
    </row>
    <row r="195" spans="1:67" ht="21" customHeight="1">
      <c r="A195" s="34"/>
      <c r="B195" s="42"/>
      <c r="C195" s="42"/>
      <c r="D195" s="42"/>
      <c r="E195" s="33"/>
      <c r="F195" s="33" t="s">
        <v>199</v>
      </c>
      <c r="G195" s="33" t="s">
        <v>200</v>
      </c>
      <c r="H195" s="1" t="s">
        <v>33</v>
      </c>
      <c r="I195" s="1"/>
      <c r="J195" s="2"/>
      <c r="K195" s="1"/>
      <c r="L195" s="1"/>
      <c r="M195" s="1"/>
      <c r="N195" s="1"/>
      <c r="O195" s="14" t="s">
        <v>198</v>
      </c>
      <c r="P195" s="19">
        <v>1</v>
      </c>
      <c r="Q195" s="19">
        <v>1</v>
      </c>
      <c r="R195" s="19">
        <v>1</v>
      </c>
      <c r="S195" s="19">
        <v>1</v>
      </c>
      <c r="T195" s="19">
        <v>1</v>
      </c>
      <c r="U195" s="19">
        <v>1</v>
      </c>
      <c r="V195" s="19">
        <v>1</v>
      </c>
      <c r="W195" s="19">
        <v>1</v>
      </c>
      <c r="X195" s="19">
        <v>1</v>
      </c>
      <c r="Y195" s="19">
        <v>1</v>
      </c>
      <c r="Z195" s="19">
        <v>1</v>
      </c>
      <c r="AA195" s="19">
        <v>1</v>
      </c>
      <c r="AB195" s="19">
        <v>1</v>
      </c>
      <c r="AC195" s="19">
        <v>1</v>
      </c>
      <c r="AD195" s="19">
        <v>1</v>
      </c>
      <c r="AE195" s="19">
        <v>1</v>
      </c>
      <c r="AF195" s="19">
        <v>1</v>
      </c>
      <c r="AG195" s="19">
        <v>1</v>
      </c>
      <c r="AH195" s="19">
        <v>1</v>
      </c>
      <c r="AI195" s="19">
        <v>1</v>
      </c>
      <c r="AJ195" s="19">
        <v>1</v>
      </c>
      <c r="AK195" s="19">
        <v>1</v>
      </c>
      <c r="AL195" s="19">
        <v>1</v>
      </c>
      <c r="AM195" s="19">
        <v>1</v>
      </c>
      <c r="AN195" s="19">
        <v>1</v>
      </c>
      <c r="AO195" s="19">
        <v>1</v>
      </c>
      <c r="AP195" s="19">
        <v>1</v>
      </c>
      <c r="AQ195" s="19">
        <v>1</v>
      </c>
      <c r="AR195" s="19">
        <v>1</v>
      </c>
      <c r="AS195" s="19">
        <v>1</v>
      </c>
      <c r="AT195" s="19">
        <v>1</v>
      </c>
      <c r="AU195" s="19">
        <v>1</v>
      </c>
      <c r="AV195" s="19">
        <v>1</v>
      </c>
      <c r="AW195" s="19">
        <v>1</v>
      </c>
      <c r="AX195" s="19">
        <v>1</v>
      </c>
      <c r="AY195" s="19">
        <v>1</v>
      </c>
      <c r="AZ195" s="19">
        <v>1</v>
      </c>
      <c r="BA195" s="19">
        <v>1</v>
      </c>
      <c r="BB195" s="19">
        <v>1</v>
      </c>
      <c r="BC195" s="19">
        <v>1</v>
      </c>
      <c r="BD195" s="19">
        <v>1</v>
      </c>
      <c r="BE195" s="19">
        <v>1</v>
      </c>
      <c r="BF195" s="19">
        <v>1</v>
      </c>
      <c r="BG195" s="19">
        <v>1</v>
      </c>
      <c r="BH195" s="19">
        <v>1</v>
      </c>
      <c r="BI195" s="19">
        <v>1</v>
      </c>
      <c r="BJ195" s="19">
        <v>1</v>
      </c>
      <c r="BK195" s="19">
        <v>1</v>
      </c>
      <c r="BL195" s="19">
        <v>1</v>
      </c>
      <c r="BM195" s="19">
        <v>1</v>
      </c>
      <c r="BN195" s="19">
        <v>1</v>
      </c>
      <c r="BO195" s="19">
        <v>1</v>
      </c>
    </row>
    <row r="196" spans="1:67" ht="21" customHeight="1">
      <c r="A196" s="34"/>
      <c r="B196" s="42"/>
      <c r="C196" s="42"/>
      <c r="D196" s="42"/>
      <c r="E196" s="33"/>
      <c r="F196" s="33"/>
      <c r="G196" s="33"/>
      <c r="H196" s="1" t="s">
        <v>36</v>
      </c>
      <c r="I196" s="1"/>
      <c r="J196" s="1"/>
      <c r="K196" s="1"/>
      <c r="L196" s="1"/>
      <c r="M196" s="1"/>
      <c r="N196" s="1"/>
      <c r="O196" s="14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9"/>
      <c r="AJ196" s="19"/>
      <c r="AK196" s="19"/>
      <c r="AL196" s="19"/>
      <c r="AM196" s="19"/>
      <c r="AN196" s="19"/>
      <c r="AO196" s="19"/>
      <c r="AP196" s="19"/>
      <c r="AQ196" s="19"/>
      <c r="AR196" s="19"/>
      <c r="AS196" s="19"/>
      <c r="AT196" s="19"/>
      <c r="AU196" s="19"/>
      <c r="AV196" s="19"/>
      <c r="AW196" s="19"/>
      <c r="AX196" s="19"/>
      <c r="AY196" s="19"/>
      <c r="AZ196" s="19"/>
      <c r="BA196" s="19"/>
      <c r="BB196" s="19"/>
      <c r="BC196" s="19"/>
      <c r="BD196" s="19"/>
      <c r="BE196" s="19"/>
      <c r="BF196" s="19"/>
      <c r="BG196" s="19"/>
      <c r="BH196" s="19"/>
      <c r="BI196" s="19"/>
      <c r="BJ196" s="19"/>
      <c r="BK196" s="19"/>
      <c r="BL196" s="19"/>
      <c r="BM196" s="19"/>
      <c r="BN196" s="19"/>
      <c r="BO196" s="19"/>
    </row>
    <row r="197" spans="1:67" ht="21" customHeight="1">
      <c r="A197" s="34"/>
      <c r="B197" s="42"/>
      <c r="C197" s="42"/>
      <c r="D197" s="42"/>
      <c r="E197" s="33"/>
      <c r="F197" s="33" t="s">
        <v>201</v>
      </c>
      <c r="G197" s="33" t="s">
        <v>202</v>
      </c>
      <c r="H197" s="1" t="s">
        <v>33</v>
      </c>
      <c r="I197" s="1"/>
      <c r="J197" s="1"/>
      <c r="K197" s="5"/>
      <c r="L197" s="1"/>
      <c r="M197" s="1"/>
      <c r="N197" s="1"/>
      <c r="O197" s="14" t="s">
        <v>46</v>
      </c>
      <c r="P197" s="19">
        <v>2</v>
      </c>
      <c r="Q197" s="19"/>
      <c r="R197" s="19"/>
      <c r="S197" s="19"/>
      <c r="T197" s="19"/>
      <c r="U197" s="19">
        <v>2</v>
      </c>
      <c r="V197" s="19"/>
      <c r="W197" s="19"/>
      <c r="X197" s="19"/>
      <c r="Y197" s="19">
        <v>2</v>
      </c>
      <c r="Z197" s="19"/>
      <c r="AA197" s="19"/>
      <c r="AB197" s="19"/>
      <c r="AC197" s="19">
        <v>2</v>
      </c>
      <c r="AD197" s="19"/>
      <c r="AE197" s="19"/>
      <c r="AF197" s="19"/>
      <c r="AG197" s="19">
        <v>2</v>
      </c>
      <c r="AH197" s="19"/>
      <c r="AI197" s="19"/>
      <c r="AJ197" s="19"/>
      <c r="AK197" s="19"/>
      <c r="AL197" s="19">
        <v>2</v>
      </c>
      <c r="AM197" s="19"/>
      <c r="AN197" s="19"/>
      <c r="AO197" s="19"/>
      <c r="AP197" s="19">
        <v>2</v>
      </c>
      <c r="AQ197" s="19"/>
      <c r="AR197" s="19"/>
      <c r="AS197" s="19"/>
      <c r="AT197" s="19"/>
      <c r="AU197" s="19">
        <v>2</v>
      </c>
      <c r="AV197" s="19"/>
      <c r="AW197" s="19"/>
      <c r="AX197" s="19"/>
      <c r="AY197" s="19">
        <v>2</v>
      </c>
      <c r="AZ197" s="19"/>
      <c r="BA197" s="19"/>
      <c r="BB197" s="19"/>
      <c r="BC197" s="19">
        <v>2</v>
      </c>
      <c r="BD197" s="19"/>
      <c r="BE197" s="19"/>
      <c r="BF197" s="19"/>
      <c r="BG197" s="19"/>
      <c r="BH197" s="19">
        <v>2</v>
      </c>
      <c r="BI197" s="19"/>
      <c r="BJ197" s="19"/>
      <c r="BK197" s="19"/>
      <c r="BL197" s="19">
        <v>2</v>
      </c>
      <c r="BM197" s="19"/>
      <c r="BN197" s="19"/>
      <c r="BO197" s="19"/>
    </row>
    <row r="198" spans="1:67" ht="21" customHeight="1">
      <c r="A198" s="34"/>
      <c r="B198" s="42"/>
      <c r="C198" s="42"/>
      <c r="D198" s="42"/>
      <c r="E198" s="33"/>
      <c r="F198" s="33"/>
      <c r="G198" s="33"/>
      <c r="H198" s="1" t="s">
        <v>36</v>
      </c>
      <c r="I198" s="1"/>
      <c r="J198" s="1"/>
      <c r="K198" s="1"/>
      <c r="L198" s="1"/>
      <c r="M198" s="1"/>
      <c r="N198" s="1"/>
      <c r="O198" s="14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AK198" s="19"/>
      <c r="AL198" s="19"/>
      <c r="AM198" s="19"/>
      <c r="AN198" s="19"/>
      <c r="AO198" s="19"/>
      <c r="AP198" s="19"/>
      <c r="AQ198" s="19"/>
      <c r="AR198" s="19"/>
      <c r="AS198" s="19"/>
      <c r="AT198" s="19"/>
      <c r="AU198" s="19"/>
      <c r="AV198" s="19"/>
      <c r="AW198" s="19"/>
      <c r="AX198" s="19"/>
      <c r="AY198" s="19"/>
      <c r="AZ198" s="19"/>
      <c r="BA198" s="19"/>
      <c r="BB198" s="19"/>
      <c r="BC198" s="19"/>
      <c r="BD198" s="19"/>
      <c r="BE198" s="19"/>
      <c r="BF198" s="19"/>
      <c r="BG198" s="19"/>
      <c r="BH198" s="19"/>
      <c r="BI198" s="19"/>
      <c r="BJ198" s="19"/>
      <c r="BK198" s="19"/>
      <c r="BL198" s="19"/>
      <c r="BM198" s="19"/>
      <c r="BN198" s="19"/>
      <c r="BO198" s="19"/>
    </row>
    <row r="199" spans="1:67" ht="21" customHeight="1">
      <c r="A199" s="34"/>
      <c r="B199" s="42"/>
      <c r="C199" s="42"/>
      <c r="D199" s="42"/>
      <c r="E199" s="33"/>
      <c r="F199" s="33" t="s">
        <v>203</v>
      </c>
      <c r="G199" s="33" t="s">
        <v>202</v>
      </c>
      <c r="H199" s="1" t="s">
        <v>33</v>
      </c>
      <c r="I199" s="1"/>
      <c r="J199" s="1"/>
      <c r="K199" s="5"/>
      <c r="L199" s="1"/>
      <c r="M199" s="1"/>
      <c r="N199" s="1"/>
      <c r="O199" s="14" t="s">
        <v>96</v>
      </c>
      <c r="P199" s="19">
        <v>2</v>
      </c>
      <c r="Q199" s="19"/>
      <c r="R199" s="19"/>
      <c r="S199" s="19"/>
      <c r="T199" s="19"/>
      <c r="U199" s="19">
        <v>2</v>
      </c>
      <c r="V199" s="19"/>
      <c r="W199" s="19"/>
      <c r="X199" s="19"/>
      <c r="Y199" s="19">
        <v>2</v>
      </c>
      <c r="Z199" s="19"/>
      <c r="AA199" s="19"/>
      <c r="AB199" s="19"/>
      <c r="AC199" s="19">
        <v>2</v>
      </c>
      <c r="AD199" s="19"/>
      <c r="AE199" s="19"/>
      <c r="AF199" s="19"/>
      <c r="AG199" s="19">
        <v>2</v>
      </c>
      <c r="AH199" s="19"/>
      <c r="AI199" s="19"/>
      <c r="AJ199" s="19"/>
      <c r="AK199" s="19"/>
      <c r="AL199" s="19">
        <v>2</v>
      </c>
      <c r="AM199" s="19"/>
      <c r="AN199" s="19"/>
      <c r="AO199" s="19"/>
      <c r="AP199" s="19">
        <v>2</v>
      </c>
      <c r="AQ199" s="19"/>
      <c r="AR199" s="19"/>
      <c r="AS199" s="19"/>
      <c r="AT199" s="19"/>
      <c r="AU199" s="19">
        <v>2</v>
      </c>
      <c r="AV199" s="19"/>
      <c r="AW199" s="19"/>
      <c r="AX199" s="19"/>
      <c r="AY199" s="19">
        <v>2</v>
      </c>
      <c r="AZ199" s="19"/>
      <c r="BA199" s="19"/>
      <c r="BB199" s="19"/>
      <c r="BC199" s="19">
        <v>2</v>
      </c>
      <c r="BD199" s="19"/>
      <c r="BE199" s="19"/>
      <c r="BF199" s="19"/>
      <c r="BG199" s="19"/>
      <c r="BH199" s="19">
        <v>2</v>
      </c>
      <c r="BI199" s="19"/>
      <c r="BJ199" s="19"/>
      <c r="BK199" s="19"/>
      <c r="BL199" s="19">
        <v>2</v>
      </c>
      <c r="BM199" s="19"/>
      <c r="BN199" s="19"/>
      <c r="BO199" s="19"/>
    </row>
    <row r="200" spans="1:67" ht="21" customHeight="1">
      <c r="A200" s="34"/>
      <c r="B200" s="42"/>
      <c r="C200" s="42"/>
      <c r="D200" s="42"/>
      <c r="E200" s="33"/>
      <c r="F200" s="33"/>
      <c r="G200" s="33"/>
      <c r="H200" s="1" t="s">
        <v>36</v>
      </c>
      <c r="I200" s="1"/>
      <c r="J200" s="1"/>
      <c r="K200" s="1"/>
      <c r="L200" s="1"/>
      <c r="M200" s="1"/>
      <c r="N200" s="1"/>
      <c r="O200" s="14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9"/>
      <c r="AJ200" s="19"/>
      <c r="AK200" s="19"/>
      <c r="AL200" s="19"/>
      <c r="AM200" s="19"/>
      <c r="AN200" s="19"/>
      <c r="AO200" s="19"/>
      <c r="AP200" s="19"/>
      <c r="AQ200" s="19"/>
      <c r="AR200" s="19"/>
      <c r="AS200" s="19"/>
      <c r="AT200" s="19"/>
      <c r="AU200" s="19"/>
      <c r="AV200" s="19"/>
      <c r="AW200" s="19"/>
      <c r="AX200" s="19"/>
      <c r="AY200" s="19"/>
      <c r="AZ200" s="19"/>
      <c r="BA200" s="19"/>
      <c r="BB200" s="19"/>
      <c r="BC200" s="19"/>
      <c r="BD200" s="19"/>
      <c r="BE200" s="19"/>
      <c r="BF200" s="19"/>
      <c r="BG200" s="19"/>
      <c r="BH200" s="19"/>
      <c r="BI200" s="19"/>
      <c r="BJ200" s="19"/>
      <c r="BK200" s="19"/>
      <c r="BL200" s="19"/>
      <c r="BM200" s="19"/>
      <c r="BN200" s="19"/>
      <c r="BO200" s="19"/>
    </row>
    <row r="201" spans="1:67" ht="21" customHeight="1">
      <c r="A201" s="34"/>
      <c r="B201" s="42"/>
      <c r="C201" s="42"/>
      <c r="D201" s="42"/>
      <c r="E201" s="33"/>
      <c r="F201" s="33" t="s">
        <v>204</v>
      </c>
      <c r="G201" s="33" t="s">
        <v>205</v>
      </c>
      <c r="H201" s="1" t="s">
        <v>33</v>
      </c>
      <c r="I201" s="1"/>
      <c r="J201" s="2"/>
      <c r="K201" s="1"/>
      <c r="L201" s="1"/>
      <c r="M201" s="1"/>
      <c r="N201" s="1"/>
      <c r="O201" s="14" t="s">
        <v>34</v>
      </c>
      <c r="P201" s="19">
        <v>1</v>
      </c>
      <c r="Q201" s="19">
        <v>1</v>
      </c>
      <c r="R201" s="19">
        <v>1</v>
      </c>
      <c r="S201" s="19">
        <v>1</v>
      </c>
      <c r="T201" s="19">
        <v>1</v>
      </c>
      <c r="U201" s="19">
        <v>1</v>
      </c>
      <c r="V201" s="19">
        <v>1</v>
      </c>
      <c r="W201" s="19">
        <v>1</v>
      </c>
      <c r="X201" s="19">
        <v>1</v>
      </c>
      <c r="Y201" s="19">
        <v>1</v>
      </c>
      <c r="Z201" s="19">
        <v>1</v>
      </c>
      <c r="AA201" s="19">
        <v>1</v>
      </c>
      <c r="AB201" s="19">
        <v>1</v>
      </c>
      <c r="AC201" s="19">
        <v>1</v>
      </c>
      <c r="AD201" s="19">
        <v>1</v>
      </c>
      <c r="AE201" s="19">
        <v>1</v>
      </c>
      <c r="AF201" s="19">
        <v>1</v>
      </c>
      <c r="AG201" s="19">
        <v>1</v>
      </c>
      <c r="AH201" s="19">
        <v>1</v>
      </c>
      <c r="AI201" s="19">
        <v>1</v>
      </c>
      <c r="AJ201" s="19">
        <v>1</v>
      </c>
      <c r="AK201" s="19">
        <v>1</v>
      </c>
      <c r="AL201" s="19">
        <v>1</v>
      </c>
      <c r="AM201" s="19">
        <v>1</v>
      </c>
      <c r="AN201" s="19">
        <v>1</v>
      </c>
      <c r="AO201" s="19">
        <v>1</v>
      </c>
      <c r="AP201" s="19">
        <v>1</v>
      </c>
      <c r="AQ201" s="19">
        <v>1</v>
      </c>
      <c r="AR201" s="19">
        <v>1</v>
      </c>
      <c r="AS201" s="19">
        <v>1</v>
      </c>
      <c r="AT201" s="19">
        <v>1</v>
      </c>
      <c r="AU201" s="19">
        <v>1</v>
      </c>
      <c r="AV201" s="19">
        <v>1</v>
      </c>
      <c r="AW201" s="19">
        <v>1</v>
      </c>
      <c r="AX201" s="19">
        <v>1</v>
      </c>
      <c r="AY201" s="19">
        <v>1</v>
      </c>
      <c r="AZ201" s="19">
        <v>1</v>
      </c>
      <c r="BA201" s="19">
        <v>1</v>
      </c>
      <c r="BB201" s="19">
        <v>1</v>
      </c>
      <c r="BC201" s="19">
        <v>1</v>
      </c>
      <c r="BD201" s="19">
        <v>1</v>
      </c>
      <c r="BE201" s="19">
        <v>1</v>
      </c>
      <c r="BF201" s="19">
        <v>1</v>
      </c>
      <c r="BG201" s="19">
        <v>1</v>
      </c>
      <c r="BH201" s="19">
        <v>1</v>
      </c>
      <c r="BI201" s="19">
        <v>1</v>
      </c>
      <c r="BJ201" s="19">
        <v>1</v>
      </c>
      <c r="BK201" s="19">
        <v>1</v>
      </c>
      <c r="BL201" s="19">
        <v>1</v>
      </c>
      <c r="BM201" s="19">
        <v>1</v>
      </c>
      <c r="BN201" s="19">
        <v>1</v>
      </c>
      <c r="BO201" s="19">
        <v>1</v>
      </c>
    </row>
    <row r="202" spans="1:67" ht="21" customHeight="1">
      <c r="A202" s="34"/>
      <c r="B202" s="42"/>
      <c r="C202" s="42"/>
      <c r="D202" s="42"/>
      <c r="E202" s="33"/>
      <c r="F202" s="33"/>
      <c r="G202" s="33"/>
      <c r="H202" s="1" t="s">
        <v>36</v>
      </c>
      <c r="I202" s="1"/>
      <c r="J202" s="1"/>
      <c r="K202" s="1"/>
      <c r="L202" s="1"/>
      <c r="M202" s="1"/>
      <c r="N202" s="1"/>
      <c r="O202" s="14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9"/>
      <c r="AJ202" s="19"/>
      <c r="AK202" s="19"/>
      <c r="AL202" s="19"/>
      <c r="AM202" s="19"/>
      <c r="AN202" s="19"/>
      <c r="AO202" s="19"/>
      <c r="AP202" s="19"/>
      <c r="AQ202" s="19"/>
      <c r="AR202" s="19"/>
      <c r="AS202" s="19"/>
      <c r="AT202" s="19"/>
      <c r="AU202" s="19"/>
      <c r="AV202" s="19"/>
      <c r="AW202" s="19"/>
      <c r="AX202" s="19"/>
      <c r="AY202" s="19"/>
      <c r="AZ202" s="19"/>
      <c r="BA202" s="19"/>
      <c r="BB202" s="19"/>
      <c r="BC202" s="19"/>
      <c r="BD202" s="19"/>
      <c r="BE202" s="19"/>
      <c r="BF202" s="19"/>
      <c r="BG202" s="19"/>
      <c r="BH202" s="19"/>
      <c r="BI202" s="19"/>
      <c r="BJ202" s="19"/>
      <c r="BK202" s="19"/>
      <c r="BL202" s="19"/>
      <c r="BM202" s="19"/>
      <c r="BN202" s="19"/>
      <c r="BO202" s="19"/>
    </row>
    <row r="203" spans="1:67" ht="21" customHeight="1">
      <c r="A203" s="34"/>
      <c r="B203" s="42"/>
      <c r="C203" s="42"/>
      <c r="D203" s="42"/>
      <c r="E203" s="33"/>
      <c r="F203" s="33"/>
      <c r="G203" s="33" t="s">
        <v>206</v>
      </c>
      <c r="H203" s="1" t="s">
        <v>33</v>
      </c>
      <c r="I203" s="1"/>
      <c r="J203" s="2"/>
      <c r="K203" s="1"/>
      <c r="L203" s="1"/>
      <c r="M203" s="1"/>
      <c r="N203" s="1"/>
      <c r="O203" s="14" t="s">
        <v>34</v>
      </c>
      <c r="P203" s="19">
        <v>1</v>
      </c>
      <c r="Q203" s="19">
        <v>1</v>
      </c>
      <c r="R203" s="19">
        <v>1</v>
      </c>
      <c r="S203" s="19">
        <v>1</v>
      </c>
      <c r="T203" s="19">
        <v>1</v>
      </c>
      <c r="U203" s="19">
        <v>1</v>
      </c>
      <c r="V203" s="19">
        <v>1</v>
      </c>
      <c r="W203" s="19">
        <v>1</v>
      </c>
      <c r="X203" s="19">
        <v>1</v>
      </c>
      <c r="Y203" s="19">
        <v>1</v>
      </c>
      <c r="Z203" s="19">
        <v>1</v>
      </c>
      <c r="AA203" s="19">
        <v>1</v>
      </c>
      <c r="AB203" s="19">
        <v>1</v>
      </c>
      <c r="AC203" s="19">
        <v>1</v>
      </c>
      <c r="AD203" s="19">
        <v>1</v>
      </c>
      <c r="AE203" s="19">
        <v>1</v>
      </c>
      <c r="AF203" s="19">
        <v>1</v>
      </c>
      <c r="AG203" s="19">
        <v>1</v>
      </c>
      <c r="AH203" s="19">
        <v>1</v>
      </c>
      <c r="AI203" s="19">
        <v>1</v>
      </c>
      <c r="AJ203" s="19">
        <v>1</v>
      </c>
      <c r="AK203" s="19">
        <v>1</v>
      </c>
      <c r="AL203" s="19">
        <v>1</v>
      </c>
      <c r="AM203" s="19">
        <v>1</v>
      </c>
      <c r="AN203" s="19">
        <v>1</v>
      </c>
      <c r="AO203" s="19">
        <v>1</v>
      </c>
      <c r="AP203" s="19">
        <v>1</v>
      </c>
      <c r="AQ203" s="19">
        <v>1</v>
      </c>
      <c r="AR203" s="19">
        <v>1</v>
      </c>
      <c r="AS203" s="19">
        <v>1</v>
      </c>
      <c r="AT203" s="19">
        <v>1</v>
      </c>
      <c r="AU203" s="19">
        <v>1</v>
      </c>
      <c r="AV203" s="19">
        <v>1</v>
      </c>
      <c r="AW203" s="19">
        <v>1</v>
      </c>
      <c r="AX203" s="19">
        <v>1</v>
      </c>
      <c r="AY203" s="19">
        <v>1</v>
      </c>
      <c r="AZ203" s="19">
        <v>1</v>
      </c>
      <c r="BA203" s="19">
        <v>1</v>
      </c>
      <c r="BB203" s="19">
        <v>1</v>
      </c>
      <c r="BC203" s="19">
        <v>1</v>
      </c>
      <c r="BD203" s="19">
        <v>1</v>
      </c>
      <c r="BE203" s="19">
        <v>1</v>
      </c>
      <c r="BF203" s="19">
        <v>1</v>
      </c>
      <c r="BG203" s="19">
        <v>1</v>
      </c>
      <c r="BH203" s="19">
        <v>1</v>
      </c>
      <c r="BI203" s="19">
        <v>1</v>
      </c>
      <c r="BJ203" s="19">
        <v>1</v>
      </c>
      <c r="BK203" s="19">
        <v>1</v>
      </c>
      <c r="BL203" s="19">
        <v>1</v>
      </c>
      <c r="BM203" s="19">
        <v>1</v>
      </c>
      <c r="BN203" s="19">
        <v>1</v>
      </c>
      <c r="BO203" s="19">
        <v>1</v>
      </c>
    </row>
    <row r="204" spans="1:67" ht="21" customHeight="1">
      <c r="A204" s="34"/>
      <c r="B204" s="42"/>
      <c r="C204" s="42"/>
      <c r="D204" s="42"/>
      <c r="E204" s="33"/>
      <c r="F204" s="33"/>
      <c r="G204" s="33"/>
      <c r="H204" s="1" t="s">
        <v>36</v>
      </c>
      <c r="I204" s="1"/>
      <c r="J204" s="1"/>
      <c r="K204" s="1"/>
      <c r="L204" s="1"/>
      <c r="M204" s="1"/>
      <c r="N204" s="1"/>
      <c r="O204" s="14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9"/>
      <c r="AJ204" s="19"/>
      <c r="AK204" s="19"/>
      <c r="AL204" s="19"/>
      <c r="AM204" s="19"/>
      <c r="AN204" s="19"/>
      <c r="AO204" s="19"/>
      <c r="AP204" s="19"/>
      <c r="AQ204" s="19"/>
      <c r="AR204" s="19"/>
      <c r="AS204" s="19"/>
      <c r="AT204" s="19"/>
      <c r="AU204" s="19"/>
      <c r="AV204" s="19"/>
      <c r="AW204" s="19"/>
      <c r="AX204" s="19"/>
      <c r="AY204" s="19"/>
      <c r="AZ204" s="19"/>
      <c r="BA204" s="19"/>
      <c r="BB204" s="19"/>
      <c r="BC204" s="19"/>
      <c r="BD204" s="19"/>
      <c r="BE204" s="19"/>
      <c r="BF204" s="19"/>
      <c r="BG204" s="19"/>
      <c r="BH204" s="19"/>
      <c r="BI204" s="19"/>
      <c r="BJ204" s="19"/>
      <c r="BK204" s="19"/>
      <c r="BL204" s="19"/>
      <c r="BM204" s="19"/>
      <c r="BN204" s="19"/>
      <c r="BO204" s="19"/>
    </row>
    <row r="205" spans="1:67" ht="21" customHeight="1">
      <c r="A205" s="34"/>
      <c r="B205" s="42"/>
      <c r="C205" s="42"/>
      <c r="D205" s="42"/>
      <c r="E205" s="33"/>
      <c r="F205" s="33" t="s">
        <v>207</v>
      </c>
      <c r="G205" s="33" t="s">
        <v>208</v>
      </c>
      <c r="H205" s="1" t="s">
        <v>209</v>
      </c>
      <c r="I205" s="1"/>
      <c r="J205" s="1"/>
      <c r="K205" s="1"/>
      <c r="L205" s="1"/>
      <c r="M205" s="1"/>
      <c r="N205" s="1"/>
      <c r="O205" s="14" t="s">
        <v>34</v>
      </c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19"/>
      <c r="AJ205" s="19"/>
      <c r="AK205" s="19"/>
      <c r="AL205" s="19"/>
      <c r="AM205" s="19"/>
      <c r="AN205" s="19"/>
      <c r="AO205" s="19"/>
      <c r="AP205" s="19"/>
      <c r="AQ205" s="19"/>
      <c r="AR205" s="19"/>
      <c r="AS205" s="19"/>
      <c r="AT205" s="19"/>
      <c r="AU205" s="19"/>
      <c r="AV205" s="19"/>
      <c r="AW205" s="19"/>
      <c r="AX205" s="19"/>
      <c r="AY205" s="19"/>
      <c r="AZ205" s="19"/>
      <c r="BA205" s="19"/>
      <c r="BB205" s="19"/>
      <c r="BC205" s="19"/>
      <c r="BD205" s="19"/>
      <c r="BE205" s="19"/>
      <c r="BF205" s="19"/>
      <c r="BG205" s="19"/>
      <c r="BH205" s="19"/>
      <c r="BI205" s="19"/>
      <c r="BJ205" s="19"/>
      <c r="BK205" s="19"/>
      <c r="BL205" s="19"/>
      <c r="BM205" s="19"/>
      <c r="BN205" s="19"/>
      <c r="BO205" s="19"/>
    </row>
    <row r="206" spans="1:67" ht="23.45" customHeight="1">
      <c r="A206" s="34"/>
      <c r="B206" s="42"/>
      <c r="C206" s="42"/>
      <c r="D206" s="42"/>
      <c r="E206" s="33"/>
      <c r="F206" s="33"/>
      <c r="G206" s="33"/>
      <c r="H206" s="1" t="s">
        <v>81</v>
      </c>
      <c r="I206" s="1"/>
      <c r="J206" s="1"/>
      <c r="K206" s="1"/>
      <c r="L206" s="1"/>
      <c r="M206" s="1"/>
      <c r="N206" s="1"/>
      <c r="O206" s="14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9"/>
      <c r="AJ206" s="19"/>
      <c r="AK206" s="19"/>
      <c r="AL206" s="19"/>
      <c r="AM206" s="19"/>
      <c r="AN206" s="19"/>
      <c r="AO206" s="19"/>
      <c r="AP206" s="19"/>
      <c r="AQ206" s="19"/>
      <c r="AR206" s="19"/>
      <c r="AS206" s="19"/>
      <c r="AT206" s="19"/>
      <c r="AU206" s="19"/>
      <c r="AV206" s="19"/>
      <c r="AW206" s="19"/>
      <c r="AX206" s="19"/>
      <c r="AY206" s="19"/>
      <c r="AZ206" s="19"/>
      <c r="BA206" s="19"/>
      <c r="BB206" s="19"/>
      <c r="BC206" s="19"/>
      <c r="BD206" s="19"/>
      <c r="BE206" s="19"/>
      <c r="BF206" s="19"/>
      <c r="BG206" s="19"/>
      <c r="BH206" s="19"/>
      <c r="BI206" s="19"/>
      <c r="BJ206" s="19"/>
      <c r="BK206" s="19"/>
      <c r="BL206" s="19"/>
      <c r="BM206" s="19"/>
      <c r="BN206" s="19"/>
      <c r="BO206" s="19"/>
    </row>
    <row r="207" spans="1:67" ht="21" customHeight="1">
      <c r="A207" s="34"/>
      <c r="B207" s="42"/>
      <c r="C207" s="42"/>
      <c r="D207" s="42"/>
      <c r="E207" s="33"/>
      <c r="F207" s="33" t="s">
        <v>210</v>
      </c>
      <c r="G207" s="33" t="s">
        <v>211</v>
      </c>
      <c r="H207" s="1" t="s">
        <v>33</v>
      </c>
      <c r="I207" s="1"/>
      <c r="J207" s="2"/>
      <c r="K207" s="1"/>
      <c r="L207" s="1"/>
      <c r="M207" s="1"/>
      <c r="N207" s="1"/>
      <c r="O207" s="14" t="s">
        <v>34</v>
      </c>
      <c r="P207" s="19">
        <v>1</v>
      </c>
      <c r="Q207" s="19">
        <v>1</v>
      </c>
      <c r="R207" s="19">
        <v>1</v>
      </c>
      <c r="S207" s="19">
        <v>1</v>
      </c>
      <c r="T207" s="19">
        <v>1</v>
      </c>
      <c r="U207" s="19">
        <v>1</v>
      </c>
      <c r="V207" s="19">
        <v>1</v>
      </c>
      <c r="W207" s="19">
        <v>1</v>
      </c>
      <c r="X207" s="19">
        <v>1</v>
      </c>
      <c r="Y207" s="19">
        <v>1</v>
      </c>
      <c r="Z207" s="19">
        <v>1</v>
      </c>
      <c r="AA207" s="19">
        <v>1</v>
      </c>
      <c r="AB207" s="19">
        <v>1</v>
      </c>
      <c r="AC207" s="19">
        <v>1</v>
      </c>
      <c r="AD207" s="19">
        <v>1</v>
      </c>
      <c r="AE207" s="19">
        <v>1</v>
      </c>
      <c r="AF207" s="19">
        <v>1</v>
      </c>
      <c r="AG207" s="19">
        <v>1</v>
      </c>
      <c r="AH207" s="19">
        <v>1</v>
      </c>
      <c r="AI207" s="19">
        <v>1</v>
      </c>
      <c r="AJ207" s="19">
        <v>1</v>
      </c>
      <c r="AK207" s="19">
        <v>1</v>
      </c>
      <c r="AL207" s="19">
        <v>1</v>
      </c>
      <c r="AM207" s="19">
        <v>1</v>
      </c>
      <c r="AN207" s="19">
        <v>1</v>
      </c>
      <c r="AO207" s="19">
        <v>1</v>
      </c>
      <c r="AP207" s="19">
        <v>1</v>
      </c>
      <c r="AQ207" s="19">
        <v>1</v>
      </c>
      <c r="AR207" s="19">
        <v>1</v>
      </c>
      <c r="AS207" s="19">
        <v>1</v>
      </c>
      <c r="AT207" s="19">
        <v>1</v>
      </c>
      <c r="AU207" s="19">
        <v>1</v>
      </c>
      <c r="AV207" s="19">
        <v>1</v>
      </c>
      <c r="AW207" s="19">
        <v>1</v>
      </c>
      <c r="AX207" s="19">
        <v>1</v>
      </c>
      <c r="AY207" s="19">
        <v>1</v>
      </c>
      <c r="AZ207" s="19">
        <v>1</v>
      </c>
      <c r="BA207" s="19">
        <v>1</v>
      </c>
      <c r="BB207" s="19">
        <v>1</v>
      </c>
      <c r="BC207" s="19">
        <v>1</v>
      </c>
      <c r="BD207" s="19">
        <v>1</v>
      </c>
      <c r="BE207" s="19">
        <v>1</v>
      </c>
      <c r="BF207" s="19">
        <v>1</v>
      </c>
      <c r="BG207" s="19">
        <v>1</v>
      </c>
      <c r="BH207" s="19">
        <v>1</v>
      </c>
      <c r="BI207" s="19">
        <v>1</v>
      </c>
      <c r="BJ207" s="19">
        <v>1</v>
      </c>
      <c r="BK207" s="19">
        <v>1</v>
      </c>
      <c r="BL207" s="19">
        <v>1</v>
      </c>
      <c r="BM207" s="19">
        <v>1</v>
      </c>
      <c r="BN207" s="19">
        <v>1</v>
      </c>
      <c r="BO207" s="19">
        <v>1</v>
      </c>
    </row>
    <row r="208" spans="1:67" ht="21" customHeight="1">
      <c r="A208" s="34"/>
      <c r="B208" s="43"/>
      <c r="C208" s="43"/>
      <c r="D208" s="43"/>
      <c r="E208" s="33"/>
      <c r="F208" s="33"/>
      <c r="G208" s="33"/>
      <c r="H208" s="1" t="s">
        <v>36</v>
      </c>
      <c r="I208" s="1"/>
      <c r="J208" s="1"/>
      <c r="K208" s="1"/>
      <c r="L208" s="1"/>
      <c r="M208" s="1"/>
      <c r="N208" s="1"/>
      <c r="O208" s="14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9"/>
      <c r="AJ208" s="19"/>
      <c r="AK208" s="19"/>
      <c r="AL208" s="19"/>
      <c r="AM208" s="19"/>
      <c r="AN208" s="19"/>
      <c r="AO208" s="19"/>
      <c r="AP208" s="19"/>
      <c r="AQ208" s="19"/>
      <c r="AR208" s="19"/>
      <c r="AS208" s="19"/>
      <c r="AT208" s="19"/>
      <c r="AU208" s="19"/>
      <c r="AV208" s="19"/>
      <c r="AW208" s="19"/>
      <c r="AX208" s="19"/>
      <c r="AY208" s="19"/>
      <c r="AZ208" s="19"/>
      <c r="BA208" s="19"/>
      <c r="BB208" s="19"/>
      <c r="BC208" s="19"/>
      <c r="BD208" s="19"/>
      <c r="BE208" s="19"/>
      <c r="BF208" s="19"/>
      <c r="BG208" s="19"/>
      <c r="BH208" s="19"/>
      <c r="BI208" s="19"/>
      <c r="BJ208" s="19"/>
      <c r="BK208" s="19"/>
      <c r="BL208" s="19"/>
      <c r="BM208" s="19"/>
      <c r="BN208" s="19"/>
      <c r="BO208" s="19"/>
    </row>
    <row r="209" spans="1:67" ht="21" customHeight="1">
      <c r="A209" s="34"/>
      <c r="B209" s="35" t="s">
        <v>212</v>
      </c>
      <c r="C209" s="35" t="s">
        <v>213</v>
      </c>
      <c r="D209" s="35" t="s">
        <v>214</v>
      </c>
      <c r="E209" s="33" t="s">
        <v>215</v>
      </c>
      <c r="F209" s="33" t="s">
        <v>31</v>
      </c>
      <c r="G209" s="33" t="s">
        <v>56</v>
      </c>
      <c r="H209" s="1" t="s">
        <v>33</v>
      </c>
      <c r="I209" s="1"/>
      <c r="J209" s="2"/>
      <c r="K209" s="1"/>
      <c r="L209" s="1"/>
      <c r="M209" s="1"/>
      <c r="N209" s="1"/>
      <c r="O209" s="1" t="s">
        <v>34</v>
      </c>
      <c r="P209" s="19">
        <v>1</v>
      </c>
      <c r="Q209" s="19">
        <v>1</v>
      </c>
      <c r="R209" s="19">
        <v>1</v>
      </c>
      <c r="S209" s="19">
        <v>1</v>
      </c>
      <c r="T209" s="19">
        <v>1</v>
      </c>
      <c r="U209" s="19">
        <v>1</v>
      </c>
      <c r="V209" s="19">
        <v>1</v>
      </c>
      <c r="W209" s="19">
        <v>1</v>
      </c>
      <c r="X209" s="19">
        <v>1</v>
      </c>
      <c r="Y209" s="19">
        <v>1</v>
      </c>
      <c r="Z209" s="19">
        <v>1</v>
      </c>
      <c r="AA209" s="19">
        <v>1</v>
      </c>
      <c r="AB209" s="19">
        <v>1</v>
      </c>
      <c r="AC209" s="19">
        <v>1</v>
      </c>
      <c r="AD209" s="19">
        <v>1</v>
      </c>
      <c r="AE209" s="19">
        <v>1</v>
      </c>
      <c r="AF209" s="19">
        <v>1</v>
      </c>
      <c r="AG209" s="19">
        <v>1</v>
      </c>
      <c r="AH209" s="19">
        <v>1</v>
      </c>
      <c r="AI209" s="19">
        <v>1</v>
      </c>
      <c r="AJ209" s="19">
        <v>1</v>
      </c>
      <c r="AK209" s="19">
        <v>1</v>
      </c>
      <c r="AL209" s="19">
        <v>1</v>
      </c>
      <c r="AM209" s="19">
        <v>1</v>
      </c>
      <c r="AN209" s="19">
        <v>1</v>
      </c>
      <c r="AO209" s="19">
        <v>1</v>
      </c>
      <c r="AP209" s="19">
        <v>1</v>
      </c>
      <c r="AQ209" s="19">
        <v>1</v>
      </c>
      <c r="AR209" s="19">
        <v>1</v>
      </c>
      <c r="AS209" s="19">
        <v>1</v>
      </c>
      <c r="AT209" s="19">
        <v>1</v>
      </c>
      <c r="AU209" s="19">
        <v>1</v>
      </c>
      <c r="AV209" s="19">
        <v>1</v>
      </c>
      <c r="AW209" s="19">
        <v>1</v>
      </c>
      <c r="AX209" s="19">
        <v>1</v>
      </c>
      <c r="AY209" s="19">
        <v>1</v>
      </c>
      <c r="AZ209" s="19">
        <v>1</v>
      </c>
      <c r="BA209" s="19">
        <v>1</v>
      </c>
      <c r="BB209" s="19">
        <v>1</v>
      </c>
      <c r="BC209" s="19">
        <v>1</v>
      </c>
      <c r="BD209" s="19">
        <v>1</v>
      </c>
      <c r="BE209" s="19">
        <v>1</v>
      </c>
      <c r="BF209" s="19">
        <v>1</v>
      </c>
      <c r="BG209" s="19">
        <v>1</v>
      </c>
      <c r="BH209" s="19">
        <v>1</v>
      </c>
      <c r="BI209" s="19">
        <v>1</v>
      </c>
      <c r="BJ209" s="19">
        <v>1</v>
      </c>
      <c r="BK209" s="19">
        <v>1</v>
      </c>
      <c r="BL209" s="19">
        <v>1</v>
      </c>
      <c r="BM209" s="19">
        <v>1</v>
      </c>
      <c r="BN209" s="19">
        <v>1</v>
      </c>
      <c r="BO209" s="19">
        <v>1</v>
      </c>
    </row>
    <row r="210" spans="1:67" ht="21" customHeight="1">
      <c r="A210" s="34"/>
      <c r="B210" s="35"/>
      <c r="C210" s="35"/>
      <c r="D210" s="35" t="s">
        <v>35</v>
      </c>
      <c r="E210" s="33"/>
      <c r="F210" s="33"/>
      <c r="G210" s="33"/>
      <c r="H210" s="1" t="s">
        <v>36</v>
      </c>
      <c r="I210" s="1"/>
      <c r="J210" s="1"/>
      <c r="K210" s="1"/>
      <c r="L210" s="1"/>
      <c r="M210" s="1"/>
      <c r="N210" s="1"/>
      <c r="O210" s="1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9"/>
      <c r="AK210" s="19"/>
      <c r="AL210" s="19"/>
      <c r="AM210" s="19"/>
      <c r="AN210" s="19"/>
      <c r="AO210" s="19"/>
      <c r="AP210" s="19"/>
      <c r="AQ210" s="19"/>
      <c r="AR210" s="19"/>
      <c r="AS210" s="19"/>
      <c r="AT210" s="19"/>
      <c r="AU210" s="19"/>
      <c r="AV210" s="19"/>
      <c r="AW210" s="19"/>
      <c r="AX210" s="19"/>
      <c r="AY210" s="19"/>
      <c r="AZ210" s="19"/>
      <c r="BA210" s="19"/>
      <c r="BB210" s="19"/>
      <c r="BC210" s="19"/>
      <c r="BD210" s="19"/>
      <c r="BE210" s="19"/>
      <c r="BF210" s="19"/>
      <c r="BG210" s="19"/>
      <c r="BH210" s="19"/>
      <c r="BI210" s="19"/>
      <c r="BJ210" s="19"/>
      <c r="BK210" s="19"/>
      <c r="BL210" s="19"/>
      <c r="BM210" s="19"/>
      <c r="BN210" s="19"/>
      <c r="BO210" s="19"/>
    </row>
    <row r="211" spans="1:67" ht="21" customHeight="1">
      <c r="A211" s="34"/>
      <c r="B211" s="35"/>
      <c r="C211" s="35"/>
      <c r="D211" s="35" t="s">
        <v>35</v>
      </c>
      <c r="E211" s="33"/>
      <c r="F211" s="33" t="s">
        <v>216</v>
      </c>
      <c r="G211" s="33" t="s">
        <v>66</v>
      </c>
      <c r="H211" s="1" t="s">
        <v>33</v>
      </c>
      <c r="I211" s="1"/>
      <c r="J211" s="2"/>
      <c r="K211" s="1"/>
      <c r="L211" s="1"/>
      <c r="M211" s="1"/>
      <c r="N211" s="1"/>
      <c r="O211" s="1" t="s">
        <v>198</v>
      </c>
      <c r="P211" s="19">
        <v>1</v>
      </c>
      <c r="Q211" s="19">
        <v>1</v>
      </c>
      <c r="R211" s="19">
        <v>1</v>
      </c>
      <c r="S211" s="19">
        <v>1</v>
      </c>
      <c r="T211" s="19">
        <v>1</v>
      </c>
      <c r="U211" s="19">
        <v>1</v>
      </c>
      <c r="V211" s="19">
        <v>1</v>
      </c>
      <c r="W211" s="19">
        <v>1</v>
      </c>
      <c r="X211" s="19">
        <v>1</v>
      </c>
      <c r="Y211" s="19">
        <v>1</v>
      </c>
      <c r="Z211" s="19">
        <v>1</v>
      </c>
      <c r="AA211" s="19">
        <v>1</v>
      </c>
      <c r="AB211" s="19">
        <v>1</v>
      </c>
      <c r="AC211" s="19">
        <v>1</v>
      </c>
      <c r="AD211" s="19">
        <v>1</v>
      </c>
      <c r="AE211" s="19">
        <v>1</v>
      </c>
      <c r="AF211" s="19">
        <v>1</v>
      </c>
      <c r="AG211" s="19">
        <v>1</v>
      </c>
      <c r="AH211" s="19">
        <v>1</v>
      </c>
      <c r="AI211" s="19">
        <v>1</v>
      </c>
      <c r="AJ211" s="19">
        <v>1</v>
      </c>
      <c r="AK211" s="19">
        <v>1</v>
      </c>
      <c r="AL211" s="19">
        <v>1</v>
      </c>
      <c r="AM211" s="19">
        <v>1</v>
      </c>
      <c r="AN211" s="19">
        <v>1</v>
      </c>
      <c r="AO211" s="19">
        <v>1</v>
      </c>
      <c r="AP211" s="19">
        <v>1</v>
      </c>
      <c r="AQ211" s="19">
        <v>1</v>
      </c>
      <c r="AR211" s="19">
        <v>1</v>
      </c>
      <c r="AS211" s="19">
        <v>1</v>
      </c>
      <c r="AT211" s="19">
        <v>1</v>
      </c>
      <c r="AU211" s="19">
        <v>1</v>
      </c>
      <c r="AV211" s="19">
        <v>1</v>
      </c>
      <c r="AW211" s="19">
        <v>1</v>
      </c>
      <c r="AX211" s="19">
        <v>1</v>
      </c>
      <c r="AY211" s="19">
        <v>1</v>
      </c>
      <c r="AZ211" s="19">
        <v>1</v>
      </c>
      <c r="BA211" s="19">
        <v>1</v>
      </c>
      <c r="BB211" s="19">
        <v>1</v>
      </c>
      <c r="BC211" s="19">
        <v>1</v>
      </c>
      <c r="BD211" s="19">
        <v>1</v>
      </c>
      <c r="BE211" s="19">
        <v>1</v>
      </c>
      <c r="BF211" s="19">
        <v>1</v>
      </c>
      <c r="BG211" s="19">
        <v>1</v>
      </c>
      <c r="BH211" s="19">
        <v>1</v>
      </c>
      <c r="BI211" s="19">
        <v>1</v>
      </c>
      <c r="BJ211" s="19">
        <v>1</v>
      </c>
      <c r="BK211" s="19">
        <v>1</v>
      </c>
      <c r="BL211" s="19">
        <v>1</v>
      </c>
      <c r="BM211" s="19">
        <v>1</v>
      </c>
      <c r="BN211" s="19">
        <v>1</v>
      </c>
      <c r="BO211" s="19">
        <v>1</v>
      </c>
    </row>
    <row r="212" spans="1:67" ht="21" customHeight="1">
      <c r="A212" s="34"/>
      <c r="B212" s="35"/>
      <c r="C212" s="35"/>
      <c r="D212" s="35" t="s">
        <v>35</v>
      </c>
      <c r="E212" s="33"/>
      <c r="F212" s="33"/>
      <c r="G212" s="33"/>
      <c r="H212" s="1" t="s">
        <v>36</v>
      </c>
      <c r="I212" s="1"/>
      <c r="J212" s="1"/>
      <c r="K212" s="1"/>
      <c r="L212" s="1"/>
      <c r="M212" s="1"/>
      <c r="N212" s="1"/>
      <c r="O212" s="1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19"/>
      <c r="AJ212" s="19"/>
      <c r="AK212" s="19"/>
      <c r="AL212" s="19"/>
      <c r="AM212" s="19"/>
      <c r="AN212" s="19"/>
      <c r="AO212" s="19"/>
      <c r="AP212" s="19"/>
      <c r="AQ212" s="19"/>
      <c r="AR212" s="19"/>
      <c r="AS212" s="19"/>
      <c r="AT212" s="19"/>
      <c r="AU212" s="19"/>
      <c r="AV212" s="19"/>
      <c r="AW212" s="19"/>
      <c r="AX212" s="19"/>
      <c r="AY212" s="19"/>
      <c r="AZ212" s="19"/>
      <c r="BA212" s="19"/>
      <c r="BB212" s="19"/>
      <c r="BC212" s="19"/>
      <c r="BD212" s="19"/>
      <c r="BE212" s="19"/>
      <c r="BF212" s="19"/>
      <c r="BG212" s="19"/>
      <c r="BH212" s="19"/>
      <c r="BI212" s="19"/>
      <c r="BJ212" s="19"/>
      <c r="BK212" s="19"/>
      <c r="BL212" s="19"/>
      <c r="BM212" s="19"/>
      <c r="BN212" s="19"/>
      <c r="BO212" s="19"/>
    </row>
    <row r="213" spans="1:67" ht="21" customHeight="1">
      <c r="A213" s="34"/>
      <c r="B213" s="35"/>
      <c r="C213" s="35"/>
      <c r="D213" s="35"/>
      <c r="E213" s="33"/>
      <c r="F213" s="39" t="s">
        <v>217</v>
      </c>
      <c r="G213" s="39" t="s">
        <v>218</v>
      </c>
      <c r="H213" s="1" t="s">
        <v>33</v>
      </c>
      <c r="I213" s="1"/>
      <c r="J213" s="1"/>
      <c r="K213" s="1"/>
      <c r="L213" s="1"/>
      <c r="M213" s="1"/>
      <c r="N213" s="3"/>
      <c r="O213" s="1" t="s">
        <v>219</v>
      </c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9"/>
      <c r="AJ213" s="19"/>
      <c r="AK213" s="19"/>
      <c r="AL213" s="19"/>
      <c r="AM213" s="19"/>
      <c r="AN213" s="19"/>
      <c r="AO213" s="19"/>
      <c r="AP213" s="19"/>
      <c r="AQ213" s="19"/>
      <c r="AR213" s="19"/>
      <c r="AS213" s="19"/>
      <c r="AT213" s="19"/>
      <c r="AU213" s="19"/>
      <c r="AV213" s="19"/>
      <c r="AW213" s="19"/>
      <c r="AX213" s="19"/>
      <c r="AY213" s="19"/>
      <c r="AZ213" s="19"/>
      <c r="BA213" s="19"/>
      <c r="BB213" s="19"/>
      <c r="BC213" s="19"/>
      <c r="BD213" s="19"/>
      <c r="BE213" s="19"/>
      <c r="BF213" s="19"/>
      <c r="BG213" s="19"/>
      <c r="BH213" s="19"/>
      <c r="BI213" s="19"/>
      <c r="BJ213" s="19">
        <v>5</v>
      </c>
      <c r="BK213" s="19"/>
      <c r="BL213" s="19"/>
      <c r="BM213" s="19"/>
      <c r="BN213" s="19"/>
      <c r="BO213" s="19"/>
    </row>
    <row r="214" spans="1:67" ht="21" customHeight="1">
      <c r="A214" s="34"/>
      <c r="B214" s="35"/>
      <c r="C214" s="35"/>
      <c r="D214" s="35"/>
      <c r="E214" s="33"/>
      <c r="F214" s="40"/>
      <c r="G214" s="40"/>
      <c r="H214" s="1" t="s">
        <v>36</v>
      </c>
      <c r="I214" s="1"/>
      <c r="J214" s="1"/>
      <c r="K214" s="1"/>
      <c r="L214" s="1"/>
      <c r="M214" s="1"/>
      <c r="N214" s="1"/>
      <c r="O214" s="1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  <c r="AI214" s="19"/>
      <c r="AJ214" s="19"/>
      <c r="AK214" s="19"/>
      <c r="AL214" s="19"/>
      <c r="AM214" s="19"/>
      <c r="AN214" s="19"/>
      <c r="AO214" s="19"/>
      <c r="AP214" s="19"/>
      <c r="AQ214" s="19"/>
      <c r="AR214" s="19"/>
      <c r="AS214" s="19"/>
      <c r="AT214" s="19"/>
      <c r="AU214" s="19"/>
      <c r="AV214" s="19"/>
      <c r="AW214" s="19"/>
      <c r="AX214" s="19"/>
      <c r="AY214" s="19"/>
      <c r="AZ214" s="19"/>
      <c r="BA214" s="19"/>
      <c r="BB214" s="19"/>
      <c r="BC214" s="19"/>
      <c r="BD214" s="19"/>
      <c r="BE214" s="19"/>
      <c r="BF214" s="19"/>
      <c r="BG214" s="19"/>
      <c r="BH214" s="19"/>
      <c r="BI214" s="19"/>
      <c r="BJ214" s="19"/>
      <c r="BK214" s="19"/>
      <c r="BL214" s="19"/>
      <c r="BM214" s="19"/>
      <c r="BN214" s="19"/>
      <c r="BO214" s="19"/>
    </row>
    <row r="215" spans="1:67" ht="21" customHeight="1">
      <c r="A215" s="34"/>
      <c r="B215" s="35"/>
      <c r="C215" s="35"/>
      <c r="D215" s="35" t="s">
        <v>35</v>
      </c>
      <c r="E215" s="33"/>
      <c r="F215" s="33" t="s">
        <v>220</v>
      </c>
      <c r="G215" s="33" t="s">
        <v>43</v>
      </c>
      <c r="H215" s="1" t="s">
        <v>33</v>
      </c>
      <c r="I215" s="1"/>
      <c r="J215" s="1"/>
      <c r="K215" s="5"/>
      <c r="L215" s="1"/>
      <c r="M215" s="1"/>
      <c r="N215" s="1"/>
      <c r="O215" s="1" t="s">
        <v>96</v>
      </c>
      <c r="P215" s="19"/>
      <c r="Q215" s="19"/>
      <c r="R215" s="19">
        <v>2</v>
      </c>
      <c r="S215" s="19"/>
      <c r="T215" s="19"/>
      <c r="U215" s="19"/>
      <c r="V215" s="19"/>
      <c r="W215" s="19">
        <v>2</v>
      </c>
      <c r="X215" s="19"/>
      <c r="Y215" s="19"/>
      <c r="Z215" s="19"/>
      <c r="AA215" s="19">
        <v>2</v>
      </c>
      <c r="AB215" s="19"/>
      <c r="AC215" s="19"/>
      <c r="AD215" s="19"/>
      <c r="AE215" s="19">
        <v>2</v>
      </c>
      <c r="AF215" s="19"/>
      <c r="AG215" s="19"/>
      <c r="AH215" s="19"/>
      <c r="AI215" s="19">
        <v>2</v>
      </c>
      <c r="AJ215" s="19"/>
      <c r="AK215" s="19"/>
      <c r="AL215" s="19"/>
      <c r="AM215" s="19"/>
      <c r="AN215" s="19">
        <v>2</v>
      </c>
      <c r="AO215" s="19"/>
      <c r="AP215" s="19"/>
      <c r="AQ215" s="19"/>
      <c r="AR215" s="19">
        <v>2</v>
      </c>
      <c r="AS215" s="19"/>
      <c r="AT215" s="19"/>
      <c r="AU215" s="19"/>
      <c r="AV215" s="19"/>
      <c r="AW215" s="19">
        <v>2</v>
      </c>
      <c r="AX215" s="19"/>
      <c r="AY215" s="19"/>
      <c r="AZ215" s="19"/>
      <c r="BA215" s="19">
        <v>2</v>
      </c>
      <c r="BB215" s="19"/>
      <c r="BC215" s="19"/>
      <c r="BD215" s="19"/>
      <c r="BE215" s="19">
        <v>2</v>
      </c>
      <c r="BF215" s="19"/>
      <c r="BG215" s="19"/>
      <c r="BH215" s="19"/>
      <c r="BI215" s="19"/>
      <c r="BJ215" s="19">
        <v>2</v>
      </c>
      <c r="BK215" s="19"/>
      <c r="BL215" s="19"/>
      <c r="BM215" s="19"/>
      <c r="BN215" s="19">
        <v>2</v>
      </c>
      <c r="BO215" s="19"/>
    </row>
    <row r="216" spans="1:67" ht="21" customHeight="1">
      <c r="A216" s="34"/>
      <c r="B216" s="35"/>
      <c r="C216" s="35"/>
      <c r="D216" s="35" t="s">
        <v>35</v>
      </c>
      <c r="E216" s="33"/>
      <c r="F216" s="33"/>
      <c r="G216" s="33"/>
      <c r="H216" s="1" t="s">
        <v>36</v>
      </c>
      <c r="I216" s="1"/>
      <c r="J216" s="1"/>
      <c r="K216" s="1"/>
      <c r="L216" s="1"/>
      <c r="M216" s="1"/>
      <c r="N216" s="1"/>
      <c r="O216" s="1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9"/>
      <c r="AJ216" s="19"/>
      <c r="AK216" s="19"/>
      <c r="AL216" s="19"/>
      <c r="AM216" s="19"/>
      <c r="AN216" s="19"/>
      <c r="AO216" s="19"/>
      <c r="AP216" s="19"/>
      <c r="AQ216" s="19"/>
      <c r="AR216" s="19"/>
      <c r="AS216" s="19"/>
      <c r="AT216" s="19"/>
      <c r="AU216" s="19"/>
      <c r="AV216" s="19"/>
      <c r="AW216" s="19"/>
      <c r="AX216" s="19"/>
      <c r="AY216" s="19"/>
      <c r="AZ216" s="19"/>
      <c r="BA216" s="19"/>
      <c r="BB216" s="19"/>
      <c r="BC216" s="19"/>
      <c r="BD216" s="19"/>
      <c r="BE216" s="19"/>
      <c r="BF216" s="19"/>
      <c r="BG216" s="19"/>
      <c r="BH216" s="19"/>
      <c r="BI216" s="19"/>
      <c r="BJ216" s="19"/>
      <c r="BK216" s="19"/>
      <c r="BL216" s="19"/>
      <c r="BM216" s="19"/>
      <c r="BN216" s="19"/>
      <c r="BO216" s="19"/>
    </row>
    <row r="217" spans="1:67" ht="21" customHeight="1">
      <c r="A217" s="34"/>
      <c r="B217" s="35"/>
      <c r="C217" s="35"/>
      <c r="D217" s="35" t="s">
        <v>35</v>
      </c>
      <c r="E217" s="33"/>
      <c r="F217" s="33" t="s">
        <v>221</v>
      </c>
      <c r="G217" s="33" t="s">
        <v>43</v>
      </c>
      <c r="H217" s="1" t="s">
        <v>33</v>
      </c>
      <c r="I217" s="1"/>
      <c r="J217" s="1"/>
      <c r="K217" s="5"/>
      <c r="L217" s="1"/>
      <c r="M217" s="1"/>
      <c r="N217" s="1"/>
      <c r="O217" s="1" t="s">
        <v>96</v>
      </c>
      <c r="P217" s="19"/>
      <c r="Q217" s="19"/>
      <c r="R217" s="19">
        <v>2</v>
      </c>
      <c r="S217" s="19"/>
      <c r="T217" s="19"/>
      <c r="U217" s="19"/>
      <c r="V217" s="19"/>
      <c r="W217" s="19">
        <v>2</v>
      </c>
      <c r="X217" s="19"/>
      <c r="Y217" s="19"/>
      <c r="Z217" s="19"/>
      <c r="AA217" s="19">
        <v>2</v>
      </c>
      <c r="AB217" s="19"/>
      <c r="AC217" s="19"/>
      <c r="AD217" s="19"/>
      <c r="AE217" s="19">
        <v>2</v>
      </c>
      <c r="AF217" s="19"/>
      <c r="AG217" s="19"/>
      <c r="AH217" s="19"/>
      <c r="AI217" s="19">
        <v>2</v>
      </c>
      <c r="AJ217" s="19"/>
      <c r="AK217" s="19"/>
      <c r="AL217" s="19"/>
      <c r="AM217" s="19"/>
      <c r="AN217" s="19">
        <v>2</v>
      </c>
      <c r="AO217" s="19"/>
      <c r="AP217" s="19"/>
      <c r="AQ217" s="19"/>
      <c r="AR217" s="19">
        <v>2</v>
      </c>
      <c r="AS217" s="19"/>
      <c r="AT217" s="19"/>
      <c r="AU217" s="19"/>
      <c r="AV217" s="19"/>
      <c r="AW217" s="19">
        <v>2</v>
      </c>
      <c r="AX217" s="19"/>
      <c r="AY217" s="19"/>
      <c r="AZ217" s="19"/>
      <c r="BA217" s="19">
        <v>2</v>
      </c>
      <c r="BB217" s="19"/>
      <c r="BC217" s="19"/>
      <c r="BD217" s="19"/>
      <c r="BE217" s="19">
        <v>2</v>
      </c>
      <c r="BF217" s="19"/>
      <c r="BG217" s="19"/>
      <c r="BH217" s="19"/>
      <c r="BI217" s="19"/>
      <c r="BJ217" s="19">
        <v>2</v>
      </c>
      <c r="BK217" s="19"/>
      <c r="BL217" s="19"/>
      <c r="BM217" s="19"/>
      <c r="BN217" s="19">
        <v>2</v>
      </c>
      <c r="BO217" s="19"/>
    </row>
    <row r="218" spans="1:67" ht="21" customHeight="1">
      <c r="A218" s="34"/>
      <c r="B218" s="35"/>
      <c r="C218" s="35"/>
      <c r="D218" s="35" t="s">
        <v>35</v>
      </c>
      <c r="E218" s="33"/>
      <c r="F218" s="33"/>
      <c r="G218" s="33"/>
      <c r="H218" s="1" t="s">
        <v>36</v>
      </c>
      <c r="I218" s="1"/>
      <c r="J218" s="1"/>
      <c r="K218" s="1"/>
      <c r="L218" s="1"/>
      <c r="M218" s="1"/>
      <c r="N218" s="1"/>
      <c r="O218" s="1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9"/>
      <c r="AJ218" s="19"/>
      <c r="AK218" s="19"/>
      <c r="AL218" s="19"/>
      <c r="AM218" s="19"/>
      <c r="AN218" s="19"/>
      <c r="AO218" s="19"/>
      <c r="AP218" s="19"/>
      <c r="AQ218" s="19"/>
      <c r="AR218" s="19"/>
      <c r="AS218" s="19"/>
      <c r="AT218" s="19"/>
      <c r="AU218" s="19"/>
      <c r="AV218" s="19"/>
      <c r="AW218" s="19"/>
      <c r="AX218" s="19"/>
      <c r="AY218" s="19"/>
      <c r="AZ218" s="19"/>
      <c r="BA218" s="19"/>
      <c r="BB218" s="19"/>
      <c r="BC218" s="19"/>
      <c r="BD218" s="19"/>
      <c r="BE218" s="19"/>
      <c r="BF218" s="19"/>
      <c r="BG218" s="19"/>
      <c r="BH218" s="19"/>
      <c r="BI218" s="19"/>
      <c r="BJ218" s="19"/>
      <c r="BK218" s="19"/>
      <c r="BL218" s="19"/>
      <c r="BM218" s="19"/>
      <c r="BN218" s="19"/>
      <c r="BO218" s="19"/>
    </row>
    <row r="219" spans="1:67" ht="21" customHeight="1">
      <c r="A219" s="34"/>
      <c r="B219" s="35"/>
      <c r="C219" s="35"/>
      <c r="D219" s="35" t="s">
        <v>35</v>
      </c>
      <c r="E219" s="33"/>
      <c r="F219" s="33" t="s">
        <v>187</v>
      </c>
      <c r="G219" s="33" t="s">
        <v>43</v>
      </c>
      <c r="H219" s="1" t="s">
        <v>33</v>
      </c>
      <c r="I219" s="1"/>
      <c r="J219" s="1"/>
      <c r="K219" s="5"/>
      <c r="L219" s="1"/>
      <c r="M219" s="1"/>
      <c r="N219" s="1"/>
      <c r="O219" s="1" t="s">
        <v>96</v>
      </c>
      <c r="P219" s="19"/>
      <c r="Q219" s="19"/>
      <c r="R219" s="19">
        <v>2</v>
      </c>
      <c r="S219" s="19"/>
      <c r="T219" s="19"/>
      <c r="U219" s="19"/>
      <c r="V219" s="19"/>
      <c r="W219" s="19">
        <v>2</v>
      </c>
      <c r="X219" s="19"/>
      <c r="Y219" s="19"/>
      <c r="Z219" s="19"/>
      <c r="AA219" s="19">
        <v>2</v>
      </c>
      <c r="AB219" s="19"/>
      <c r="AC219" s="19"/>
      <c r="AD219" s="19"/>
      <c r="AE219" s="19">
        <v>2</v>
      </c>
      <c r="AF219" s="19"/>
      <c r="AG219" s="19"/>
      <c r="AH219" s="19"/>
      <c r="AI219" s="19">
        <v>2</v>
      </c>
      <c r="AJ219" s="19"/>
      <c r="AK219" s="19"/>
      <c r="AL219" s="19"/>
      <c r="AM219" s="19"/>
      <c r="AN219" s="19">
        <v>2</v>
      </c>
      <c r="AO219" s="19"/>
      <c r="AP219" s="19"/>
      <c r="AQ219" s="19"/>
      <c r="AR219" s="19">
        <v>2</v>
      </c>
      <c r="AS219" s="19"/>
      <c r="AT219" s="19"/>
      <c r="AU219" s="19"/>
      <c r="AV219" s="19"/>
      <c r="AW219" s="19">
        <v>2</v>
      </c>
      <c r="AX219" s="19"/>
      <c r="AY219" s="19"/>
      <c r="AZ219" s="19"/>
      <c r="BA219" s="19">
        <v>2</v>
      </c>
      <c r="BB219" s="19"/>
      <c r="BC219" s="19"/>
      <c r="BD219" s="19"/>
      <c r="BE219" s="19">
        <v>2</v>
      </c>
      <c r="BF219" s="19"/>
      <c r="BG219" s="19"/>
      <c r="BH219" s="19"/>
      <c r="BI219" s="19"/>
      <c r="BJ219" s="19">
        <v>2</v>
      </c>
      <c r="BK219" s="19"/>
      <c r="BL219" s="19"/>
      <c r="BM219" s="19"/>
      <c r="BN219" s="19">
        <v>2</v>
      </c>
      <c r="BO219" s="19"/>
    </row>
    <row r="220" spans="1:67" ht="21" customHeight="1">
      <c r="A220" s="34"/>
      <c r="B220" s="35"/>
      <c r="C220" s="35"/>
      <c r="D220" s="35" t="s">
        <v>35</v>
      </c>
      <c r="E220" s="33"/>
      <c r="F220" s="33"/>
      <c r="G220" s="33"/>
      <c r="H220" s="1" t="s">
        <v>36</v>
      </c>
      <c r="I220" s="1"/>
      <c r="J220" s="1"/>
      <c r="K220" s="1"/>
      <c r="L220" s="1"/>
      <c r="M220" s="1"/>
      <c r="N220" s="1"/>
      <c r="O220" s="1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9"/>
      <c r="AJ220" s="19"/>
      <c r="AK220" s="19"/>
      <c r="AL220" s="19"/>
      <c r="AM220" s="19"/>
      <c r="AN220" s="19"/>
      <c r="AO220" s="19"/>
      <c r="AP220" s="19"/>
      <c r="AQ220" s="19"/>
      <c r="AR220" s="19"/>
      <c r="AS220" s="19"/>
      <c r="AT220" s="19"/>
      <c r="AU220" s="19"/>
      <c r="AV220" s="19"/>
      <c r="AW220" s="19"/>
      <c r="AX220" s="19"/>
      <c r="AY220" s="19"/>
      <c r="AZ220" s="19"/>
      <c r="BA220" s="19"/>
      <c r="BB220" s="19"/>
      <c r="BC220" s="19"/>
      <c r="BD220" s="19"/>
      <c r="BE220" s="19"/>
      <c r="BF220" s="19"/>
      <c r="BG220" s="19"/>
      <c r="BH220" s="19"/>
      <c r="BI220" s="19"/>
      <c r="BJ220" s="19"/>
      <c r="BK220" s="19"/>
      <c r="BL220" s="19"/>
      <c r="BM220" s="19"/>
      <c r="BN220" s="19"/>
      <c r="BO220" s="19"/>
    </row>
    <row r="221" spans="1:67" ht="21" customHeight="1">
      <c r="A221" s="34"/>
      <c r="B221" s="35"/>
      <c r="C221" s="35"/>
      <c r="D221" s="35" t="s">
        <v>35</v>
      </c>
      <c r="E221" s="33"/>
      <c r="F221" s="33" t="s">
        <v>222</v>
      </c>
      <c r="G221" s="33" t="s">
        <v>66</v>
      </c>
      <c r="H221" s="1" t="s">
        <v>33</v>
      </c>
      <c r="I221" s="1"/>
      <c r="J221" s="1"/>
      <c r="K221" s="5"/>
      <c r="L221" s="1"/>
      <c r="M221" s="1"/>
      <c r="N221" s="1"/>
      <c r="O221" s="1" t="s">
        <v>96</v>
      </c>
      <c r="P221" s="19"/>
      <c r="Q221" s="19"/>
      <c r="R221" s="19">
        <v>2</v>
      </c>
      <c r="S221" s="19"/>
      <c r="T221" s="19"/>
      <c r="U221" s="19"/>
      <c r="V221" s="19"/>
      <c r="W221" s="19">
        <v>2</v>
      </c>
      <c r="X221" s="19"/>
      <c r="Y221" s="19"/>
      <c r="Z221" s="19"/>
      <c r="AA221" s="19">
        <v>2</v>
      </c>
      <c r="AB221" s="19"/>
      <c r="AC221" s="19"/>
      <c r="AD221" s="19"/>
      <c r="AE221" s="19">
        <v>2</v>
      </c>
      <c r="AF221" s="19"/>
      <c r="AG221" s="19"/>
      <c r="AH221" s="19"/>
      <c r="AI221" s="19">
        <v>2</v>
      </c>
      <c r="AJ221" s="19"/>
      <c r="AK221" s="19"/>
      <c r="AL221" s="19"/>
      <c r="AM221" s="19"/>
      <c r="AN221" s="19">
        <v>2</v>
      </c>
      <c r="AO221" s="19"/>
      <c r="AP221" s="19"/>
      <c r="AQ221" s="19"/>
      <c r="AR221" s="19">
        <v>2</v>
      </c>
      <c r="AS221" s="19"/>
      <c r="AT221" s="19"/>
      <c r="AU221" s="19"/>
      <c r="AV221" s="19"/>
      <c r="AW221" s="19">
        <v>2</v>
      </c>
      <c r="AX221" s="19"/>
      <c r="AY221" s="19"/>
      <c r="AZ221" s="19"/>
      <c r="BA221" s="19">
        <v>2</v>
      </c>
      <c r="BB221" s="19"/>
      <c r="BC221" s="19"/>
      <c r="BD221" s="19"/>
      <c r="BE221" s="19">
        <v>2</v>
      </c>
      <c r="BF221" s="19"/>
      <c r="BG221" s="19"/>
      <c r="BH221" s="19"/>
      <c r="BI221" s="19"/>
      <c r="BJ221" s="19">
        <v>2</v>
      </c>
      <c r="BK221" s="19"/>
      <c r="BL221" s="19"/>
      <c r="BM221" s="19"/>
      <c r="BN221" s="19">
        <v>2</v>
      </c>
      <c r="BO221" s="19"/>
    </row>
    <row r="222" spans="1:67" ht="21" customHeight="1">
      <c r="A222" s="34"/>
      <c r="B222" s="35"/>
      <c r="C222" s="35"/>
      <c r="D222" s="35" t="s">
        <v>35</v>
      </c>
      <c r="E222" s="33"/>
      <c r="F222" s="33"/>
      <c r="G222" s="33"/>
      <c r="H222" s="1" t="s">
        <v>36</v>
      </c>
      <c r="I222" s="1"/>
      <c r="J222" s="1"/>
      <c r="K222" s="1"/>
      <c r="L222" s="1"/>
      <c r="M222" s="1"/>
      <c r="N222" s="1"/>
      <c r="O222" s="1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L222" s="19"/>
      <c r="AM222" s="19"/>
      <c r="AN222" s="19"/>
      <c r="AO222" s="19"/>
      <c r="AP222" s="19"/>
      <c r="AQ222" s="19"/>
      <c r="AR222" s="19"/>
      <c r="AS222" s="19"/>
      <c r="AT222" s="19"/>
      <c r="AU222" s="19"/>
      <c r="AV222" s="19"/>
      <c r="AW222" s="19"/>
      <c r="AX222" s="19"/>
      <c r="AY222" s="19"/>
      <c r="AZ222" s="19"/>
      <c r="BA222" s="19"/>
      <c r="BB222" s="19"/>
      <c r="BC222" s="19"/>
      <c r="BD222" s="19"/>
      <c r="BE222" s="19"/>
      <c r="BF222" s="19"/>
      <c r="BG222" s="19"/>
      <c r="BH222" s="19"/>
      <c r="BI222" s="19"/>
      <c r="BJ222" s="19"/>
      <c r="BK222" s="19"/>
      <c r="BL222" s="19"/>
      <c r="BM222" s="19"/>
      <c r="BN222" s="19"/>
      <c r="BO222" s="19"/>
    </row>
    <row r="223" spans="1:67" ht="21" customHeight="1">
      <c r="A223" s="34"/>
      <c r="B223" s="35"/>
      <c r="C223" s="35"/>
      <c r="D223" s="35" t="s">
        <v>35</v>
      </c>
      <c r="E223" s="33"/>
      <c r="F223" s="33" t="s">
        <v>203</v>
      </c>
      <c r="G223" s="33" t="s">
        <v>66</v>
      </c>
      <c r="H223" s="1" t="s">
        <v>33</v>
      </c>
      <c r="I223" s="1"/>
      <c r="J223" s="1"/>
      <c r="K223" s="5"/>
      <c r="L223" s="1"/>
      <c r="M223" s="1"/>
      <c r="N223" s="1"/>
      <c r="O223" s="1" t="s">
        <v>46</v>
      </c>
      <c r="P223" s="19"/>
      <c r="Q223" s="19"/>
      <c r="R223" s="19">
        <v>2</v>
      </c>
      <c r="S223" s="19"/>
      <c r="T223" s="19"/>
      <c r="U223" s="19"/>
      <c r="V223" s="19"/>
      <c r="W223" s="19">
        <v>2</v>
      </c>
      <c r="X223" s="19"/>
      <c r="Y223" s="19"/>
      <c r="Z223" s="19"/>
      <c r="AA223" s="19">
        <v>2</v>
      </c>
      <c r="AB223" s="19"/>
      <c r="AC223" s="19"/>
      <c r="AD223" s="19"/>
      <c r="AE223" s="19">
        <v>2</v>
      </c>
      <c r="AF223" s="19"/>
      <c r="AG223" s="19"/>
      <c r="AH223" s="19"/>
      <c r="AI223" s="19">
        <v>2</v>
      </c>
      <c r="AJ223" s="19"/>
      <c r="AK223" s="19"/>
      <c r="AL223" s="19"/>
      <c r="AM223" s="19"/>
      <c r="AN223" s="19">
        <v>2</v>
      </c>
      <c r="AO223" s="19"/>
      <c r="AP223" s="19"/>
      <c r="AQ223" s="19"/>
      <c r="AR223" s="19">
        <v>2</v>
      </c>
      <c r="AS223" s="19"/>
      <c r="AT223" s="19"/>
      <c r="AU223" s="19"/>
      <c r="AV223" s="19"/>
      <c r="AW223" s="19">
        <v>2</v>
      </c>
      <c r="AX223" s="19"/>
      <c r="AY223" s="19"/>
      <c r="AZ223" s="19"/>
      <c r="BA223" s="19">
        <v>2</v>
      </c>
      <c r="BB223" s="19"/>
      <c r="BC223" s="19"/>
      <c r="BD223" s="19"/>
      <c r="BE223" s="19">
        <v>2</v>
      </c>
      <c r="BF223" s="19"/>
      <c r="BG223" s="19"/>
      <c r="BH223" s="19"/>
      <c r="BI223" s="19"/>
      <c r="BJ223" s="19">
        <v>2</v>
      </c>
      <c r="BK223" s="19"/>
      <c r="BL223" s="19"/>
      <c r="BM223" s="19"/>
      <c r="BN223" s="19">
        <v>2</v>
      </c>
      <c r="BO223" s="19"/>
    </row>
    <row r="224" spans="1:67" ht="21" customHeight="1">
      <c r="A224" s="34"/>
      <c r="B224" s="35"/>
      <c r="C224" s="35"/>
      <c r="D224" s="35" t="s">
        <v>35</v>
      </c>
      <c r="E224" s="33"/>
      <c r="F224" s="33"/>
      <c r="G224" s="33"/>
      <c r="H224" s="1" t="s">
        <v>36</v>
      </c>
      <c r="I224" s="1"/>
      <c r="J224" s="1"/>
      <c r="K224" s="1"/>
      <c r="L224" s="1"/>
      <c r="M224" s="1"/>
      <c r="N224" s="1"/>
      <c r="O224" s="1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  <c r="AE224" s="19"/>
      <c r="AF224" s="19"/>
      <c r="AG224" s="19"/>
      <c r="AH224" s="19"/>
      <c r="AI224" s="19"/>
      <c r="AJ224" s="19"/>
      <c r="AK224" s="19"/>
      <c r="AL224" s="19"/>
      <c r="AM224" s="19"/>
      <c r="AN224" s="19"/>
      <c r="AO224" s="19"/>
      <c r="AP224" s="19"/>
      <c r="AQ224" s="19"/>
      <c r="AR224" s="19"/>
      <c r="AS224" s="19"/>
      <c r="AT224" s="19"/>
      <c r="AU224" s="19"/>
      <c r="AV224" s="19"/>
      <c r="AW224" s="19"/>
      <c r="AX224" s="19"/>
      <c r="AY224" s="19"/>
      <c r="AZ224" s="19"/>
      <c r="BA224" s="19"/>
      <c r="BB224" s="19"/>
      <c r="BC224" s="19"/>
      <c r="BD224" s="19"/>
      <c r="BE224" s="19"/>
      <c r="BF224" s="19"/>
      <c r="BG224" s="19"/>
      <c r="BH224" s="19"/>
      <c r="BI224" s="19"/>
      <c r="BJ224" s="19"/>
      <c r="BK224" s="19"/>
      <c r="BL224" s="19"/>
      <c r="BM224" s="19"/>
      <c r="BN224" s="19"/>
      <c r="BO224" s="19"/>
    </row>
    <row r="225" spans="1:67" ht="21" customHeight="1">
      <c r="A225" s="34"/>
      <c r="B225" s="35"/>
      <c r="C225" s="35"/>
      <c r="D225" s="35" t="s">
        <v>35</v>
      </c>
      <c r="E225" s="33"/>
      <c r="F225" s="33" t="s">
        <v>223</v>
      </c>
      <c r="G225" s="33" t="s">
        <v>66</v>
      </c>
      <c r="H225" s="1" t="s">
        <v>33</v>
      </c>
      <c r="I225" s="1"/>
      <c r="J225" s="1"/>
      <c r="K225" s="5"/>
      <c r="L225" s="1"/>
      <c r="M225" s="1"/>
      <c r="N225" s="1"/>
      <c r="O225" s="1" t="s">
        <v>96</v>
      </c>
      <c r="P225" s="19"/>
      <c r="Q225" s="19"/>
      <c r="R225" s="19">
        <v>2</v>
      </c>
      <c r="S225" s="19"/>
      <c r="T225" s="19"/>
      <c r="U225" s="19"/>
      <c r="V225" s="19"/>
      <c r="W225" s="19">
        <v>2</v>
      </c>
      <c r="X225" s="19"/>
      <c r="Y225" s="19"/>
      <c r="Z225" s="19"/>
      <c r="AA225" s="19">
        <v>2</v>
      </c>
      <c r="AB225" s="19"/>
      <c r="AC225" s="19"/>
      <c r="AD225" s="19"/>
      <c r="AE225" s="19">
        <v>2</v>
      </c>
      <c r="AF225" s="19"/>
      <c r="AG225" s="19"/>
      <c r="AH225" s="19"/>
      <c r="AI225" s="19">
        <v>2</v>
      </c>
      <c r="AJ225" s="19"/>
      <c r="AK225" s="19"/>
      <c r="AL225" s="19"/>
      <c r="AM225" s="19"/>
      <c r="AN225" s="19">
        <v>2</v>
      </c>
      <c r="AO225" s="19"/>
      <c r="AP225" s="19"/>
      <c r="AQ225" s="19"/>
      <c r="AR225" s="19">
        <v>2</v>
      </c>
      <c r="AS225" s="19"/>
      <c r="AT225" s="19"/>
      <c r="AU225" s="19"/>
      <c r="AV225" s="19"/>
      <c r="AW225" s="19">
        <v>2</v>
      </c>
      <c r="AX225" s="19"/>
      <c r="AY225" s="19"/>
      <c r="AZ225" s="19"/>
      <c r="BA225" s="19">
        <v>2</v>
      </c>
      <c r="BB225" s="19"/>
      <c r="BC225" s="19"/>
      <c r="BD225" s="19"/>
      <c r="BE225" s="19">
        <v>2</v>
      </c>
      <c r="BF225" s="19"/>
      <c r="BG225" s="19"/>
      <c r="BH225" s="19"/>
      <c r="BI225" s="19"/>
      <c r="BJ225" s="19">
        <v>2</v>
      </c>
      <c r="BK225" s="19"/>
      <c r="BL225" s="19"/>
      <c r="BM225" s="19"/>
      <c r="BN225" s="19">
        <v>2</v>
      </c>
      <c r="BO225" s="19"/>
    </row>
    <row r="226" spans="1:67" ht="21" customHeight="1">
      <c r="A226" s="34"/>
      <c r="B226" s="35"/>
      <c r="C226" s="35"/>
      <c r="D226" s="35" t="s">
        <v>35</v>
      </c>
      <c r="E226" s="33"/>
      <c r="F226" s="33"/>
      <c r="G226" s="33"/>
      <c r="H226" s="1" t="s">
        <v>36</v>
      </c>
      <c r="I226" s="1"/>
      <c r="J226" s="1"/>
      <c r="K226" s="1"/>
      <c r="L226" s="1"/>
      <c r="M226" s="1"/>
      <c r="N226" s="1"/>
      <c r="O226" s="1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9"/>
      <c r="AJ226" s="19"/>
      <c r="AK226" s="19"/>
      <c r="AL226" s="19"/>
      <c r="AM226" s="19"/>
      <c r="AN226" s="19"/>
      <c r="AO226" s="19"/>
      <c r="AP226" s="19"/>
      <c r="AQ226" s="19"/>
      <c r="AR226" s="19"/>
      <c r="AS226" s="19"/>
      <c r="AT226" s="19"/>
      <c r="AU226" s="19"/>
      <c r="AV226" s="19"/>
      <c r="AW226" s="19"/>
      <c r="AX226" s="19"/>
      <c r="AY226" s="19"/>
      <c r="AZ226" s="19"/>
      <c r="BA226" s="19"/>
      <c r="BB226" s="19"/>
      <c r="BC226" s="19"/>
      <c r="BD226" s="19"/>
      <c r="BE226" s="19"/>
      <c r="BF226" s="19"/>
      <c r="BG226" s="19"/>
      <c r="BH226" s="19"/>
      <c r="BI226" s="19"/>
      <c r="BJ226" s="19"/>
      <c r="BK226" s="19"/>
      <c r="BL226" s="19"/>
      <c r="BM226" s="19"/>
      <c r="BN226" s="19"/>
      <c r="BO226" s="19"/>
    </row>
    <row r="227" spans="1:67" ht="21" customHeight="1">
      <c r="A227" s="34"/>
      <c r="B227" s="35"/>
      <c r="C227" s="35"/>
      <c r="D227" s="35" t="s">
        <v>35</v>
      </c>
      <c r="E227" s="33"/>
      <c r="F227" s="33" t="s">
        <v>204</v>
      </c>
      <c r="G227" s="33" t="s">
        <v>224</v>
      </c>
      <c r="H227" s="1" t="s">
        <v>33</v>
      </c>
      <c r="I227" s="1"/>
      <c r="J227" s="2"/>
      <c r="K227" s="1"/>
      <c r="L227" s="1"/>
      <c r="M227" s="1"/>
      <c r="N227" s="1"/>
      <c r="O227" s="1" t="s">
        <v>34</v>
      </c>
      <c r="P227" s="19">
        <v>1</v>
      </c>
      <c r="Q227" s="19">
        <v>1</v>
      </c>
      <c r="R227" s="19">
        <v>1</v>
      </c>
      <c r="S227" s="19">
        <v>1</v>
      </c>
      <c r="T227" s="19">
        <v>1</v>
      </c>
      <c r="U227" s="19">
        <v>1</v>
      </c>
      <c r="V227" s="19">
        <v>1</v>
      </c>
      <c r="W227" s="19">
        <v>1</v>
      </c>
      <c r="X227" s="19">
        <v>1</v>
      </c>
      <c r="Y227" s="19">
        <v>1</v>
      </c>
      <c r="Z227" s="19">
        <v>1</v>
      </c>
      <c r="AA227" s="19">
        <v>1</v>
      </c>
      <c r="AB227" s="19">
        <v>1</v>
      </c>
      <c r="AC227" s="19">
        <v>1</v>
      </c>
      <c r="AD227" s="19">
        <v>1</v>
      </c>
      <c r="AE227" s="19">
        <v>1</v>
      </c>
      <c r="AF227" s="19">
        <v>1</v>
      </c>
      <c r="AG227" s="19">
        <v>1</v>
      </c>
      <c r="AH227" s="19">
        <v>1</v>
      </c>
      <c r="AI227" s="19">
        <v>1</v>
      </c>
      <c r="AJ227" s="19">
        <v>1</v>
      </c>
      <c r="AK227" s="19">
        <v>1</v>
      </c>
      <c r="AL227" s="19">
        <v>1</v>
      </c>
      <c r="AM227" s="19">
        <v>1</v>
      </c>
      <c r="AN227" s="19">
        <v>1</v>
      </c>
      <c r="AO227" s="19">
        <v>1</v>
      </c>
      <c r="AP227" s="19">
        <v>1</v>
      </c>
      <c r="AQ227" s="19">
        <v>1</v>
      </c>
      <c r="AR227" s="19">
        <v>1</v>
      </c>
      <c r="AS227" s="19">
        <v>1</v>
      </c>
      <c r="AT227" s="19">
        <v>1</v>
      </c>
      <c r="AU227" s="19">
        <v>1</v>
      </c>
      <c r="AV227" s="19">
        <v>1</v>
      </c>
      <c r="AW227" s="19">
        <v>1</v>
      </c>
      <c r="AX227" s="19">
        <v>1</v>
      </c>
      <c r="AY227" s="19">
        <v>1</v>
      </c>
      <c r="AZ227" s="19">
        <v>1</v>
      </c>
      <c r="BA227" s="19">
        <v>1</v>
      </c>
      <c r="BB227" s="19">
        <v>1</v>
      </c>
      <c r="BC227" s="19">
        <v>1</v>
      </c>
      <c r="BD227" s="19">
        <v>1</v>
      </c>
      <c r="BE227" s="19">
        <v>1</v>
      </c>
      <c r="BF227" s="19">
        <v>1</v>
      </c>
      <c r="BG227" s="19">
        <v>1</v>
      </c>
      <c r="BH227" s="19">
        <v>1</v>
      </c>
      <c r="BI227" s="19">
        <v>1</v>
      </c>
      <c r="BJ227" s="19">
        <v>1</v>
      </c>
      <c r="BK227" s="19">
        <v>1</v>
      </c>
      <c r="BL227" s="19">
        <v>1</v>
      </c>
      <c r="BM227" s="19">
        <v>1</v>
      </c>
      <c r="BN227" s="19">
        <v>1</v>
      </c>
      <c r="BO227" s="19">
        <v>1</v>
      </c>
    </row>
    <row r="228" spans="1:67" ht="21" customHeight="1">
      <c r="A228" s="34"/>
      <c r="B228" s="35"/>
      <c r="C228" s="35"/>
      <c r="D228" s="35" t="s">
        <v>35</v>
      </c>
      <c r="E228" s="33"/>
      <c r="F228" s="33"/>
      <c r="G228" s="33"/>
      <c r="H228" s="1" t="s">
        <v>36</v>
      </c>
      <c r="I228" s="1"/>
      <c r="J228" s="1"/>
      <c r="K228" s="1"/>
      <c r="L228" s="1"/>
      <c r="M228" s="1"/>
      <c r="N228" s="1"/>
      <c r="O228" s="1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9"/>
      <c r="AJ228" s="19"/>
      <c r="AK228" s="19"/>
      <c r="AL228" s="19"/>
      <c r="AM228" s="19"/>
      <c r="AN228" s="19"/>
      <c r="AO228" s="19"/>
      <c r="AP228" s="19"/>
      <c r="AQ228" s="19"/>
      <c r="AR228" s="19"/>
      <c r="AS228" s="19"/>
      <c r="AT228" s="19"/>
      <c r="AU228" s="19"/>
      <c r="AV228" s="19"/>
      <c r="AW228" s="19"/>
      <c r="AX228" s="19"/>
      <c r="AY228" s="19"/>
      <c r="AZ228" s="19"/>
      <c r="BA228" s="19"/>
      <c r="BB228" s="19"/>
      <c r="BC228" s="19"/>
      <c r="BD228" s="19"/>
      <c r="BE228" s="19"/>
      <c r="BF228" s="19"/>
      <c r="BG228" s="19"/>
      <c r="BH228" s="19"/>
      <c r="BI228" s="19"/>
      <c r="BJ228" s="19"/>
      <c r="BK228" s="19"/>
      <c r="BL228" s="19"/>
      <c r="BM228" s="19"/>
      <c r="BN228" s="19"/>
      <c r="BO228" s="19"/>
    </row>
    <row r="229" spans="1:67" ht="21" customHeight="1">
      <c r="A229" s="34"/>
      <c r="B229" s="35"/>
      <c r="C229" s="35"/>
      <c r="D229" s="35" t="s">
        <v>35</v>
      </c>
      <c r="E229" s="33"/>
      <c r="F229" s="33"/>
      <c r="G229" s="33" t="s">
        <v>225</v>
      </c>
      <c r="H229" s="1" t="s">
        <v>33</v>
      </c>
      <c r="I229" s="1"/>
      <c r="J229" s="2"/>
      <c r="K229" s="1"/>
      <c r="L229" s="1"/>
      <c r="M229" s="1"/>
      <c r="N229" s="1"/>
      <c r="O229" s="1" t="s">
        <v>34</v>
      </c>
      <c r="P229" s="19">
        <v>1</v>
      </c>
      <c r="Q229" s="19">
        <v>1</v>
      </c>
      <c r="R229" s="19">
        <v>1</v>
      </c>
      <c r="S229" s="19">
        <v>1</v>
      </c>
      <c r="T229" s="19">
        <v>1</v>
      </c>
      <c r="U229" s="19">
        <v>1</v>
      </c>
      <c r="V229" s="19">
        <v>1</v>
      </c>
      <c r="W229" s="19">
        <v>1</v>
      </c>
      <c r="X229" s="19">
        <v>1</v>
      </c>
      <c r="Y229" s="19">
        <v>1</v>
      </c>
      <c r="Z229" s="19">
        <v>1</v>
      </c>
      <c r="AA229" s="19">
        <v>1</v>
      </c>
      <c r="AB229" s="19">
        <v>1</v>
      </c>
      <c r="AC229" s="19">
        <v>1</v>
      </c>
      <c r="AD229" s="19">
        <v>1</v>
      </c>
      <c r="AE229" s="19">
        <v>1</v>
      </c>
      <c r="AF229" s="19">
        <v>1</v>
      </c>
      <c r="AG229" s="19">
        <v>1</v>
      </c>
      <c r="AH229" s="19">
        <v>1</v>
      </c>
      <c r="AI229" s="19">
        <v>1</v>
      </c>
      <c r="AJ229" s="19">
        <v>1</v>
      </c>
      <c r="AK229" s="19">
        <v>1</v>
      </c>
      <c r="AL229" s="19">
        <v>1</v>
      </c>
      <c r="AM229" s="19">
        <v>1</v>
      </c>
      <c r="AN229" s="19">
        <v>1</v>
      </c>
      <c r="AO229" s="19">
        <v>1</v>
      </c>
      <c r="AP229" s="19">
        <v>1</v>
      </c>
      <c r="AQ229" s="19">
        <v>1</v>
      </c>
      <c r="AR229" s="19">
        <v>1</v>
      </c>
      <c r="AS229" s="19">
        <v>1</v>
      </c>
      <c r="AT229" s="19">
        <v>1</v>
      </c>
      <c r="AU229" s="19">
        <v>1</v>
      </c>
      <c r="AV229" s="19">
        <v>1</v>
      </c>
      <c r="AW229" s="19">
        <v>1</v>
      </c>
      <c r="AX229" s="19">
        <v>1</v>
      </c>
      <c r="AY229" s="19">
        <v>1</v>
      </c>
      <c r="AZ229" s="19">
        <v>1</v>
      </c>
      <c r="BA229" s="19">
        <v>1</v>
      </c>
      <c r="BB229" s="19">
        <v>1</v>
      </c>
      <c r="BC229" s="19">
        <v>1</v>
      </c>
      <c r="BD229" s="19">
        <v>1</v>
      </c>
      <c r="BE229" s="19">
        <v>1</v>
      </c>
      <c r="BF229" s="19">
        <v>1</v>
      </c>
      <c r="BG229" s="19">
        <v>1</v>
      </c>
      <c r="BH229" s="19">
        <v>1</v>
      </c>
      <c r="BI229" s="19">
        <v>1</v>
      </c>
      <c r="BJ229" s="19">
        <v>1</v>
      </c>
      <c r="BK229" s="19">
        <v>1</v>
      </c>
      <c r="BL229" s="19">
        <v>1</v>
      </c>
      <c r="BM229" s="19">
        <v>1</v>
      </c>
      <c r="BN229" s="19">
        <v>1</v>
      </c>
      <c r="BO229" s="19">
        <v>1</v>
      </c>
    </row>
    <row r="230" spans="1:67" ht="21" customHeight="1">
      <c r="A230" s="34"/>
      <c r="B230" s="35"/>
      <c r="C230" s="35"/>
      <c r="D230" s="35" t="s">
        <v>35</v>
      </c>
      <c r="E230" s="33"/>
      <c r="F230" s="33"/>
      <c r="G230" s="33"/>
      <c r="H230" s="1" t="s">
        <v>36</v>
      </c>
      <c r="I230" s="1"/>
      <c r="J230" s="1"/>
      <c r="K230" s="1"/>
      <c r="L230" s="1"/>
      <c r="M230" s="1"/>
      <c r="N230" s="1"/>
      <c r="O230" s="1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9"/>
      <c r="AJ230" s="19"/>
      <c r="AK230" s="19"/>
      <c r="AL230" s="19"/>
      <c r="AM230" s="19"/>
      <c r="AN230" s="19"/>
      <c r="AO230" s="19"/>
      <c r="AP230" s="19"/>
      <c r="AQ230" s="19"/>
      <c r="AR230" s="19"/>
      <c r="AS230" s="19"/>
      <c r="AT230" s="19"/>
      <c r="AU230" s="19"/>
      <c r="AV230" s="19"/>
      <c r="AW230" s="19"/>
      <c r="AX230" s="19"/>
      <c r="AY230" s="19"/>
      <c r="AZ230" s="19"/>
      <c r="BA230" s="19"/>
      <c r="BB230" s="19"/>
      <c r="BC230" s="19"/>
      <c r="BD230" s="19"/>
      <c r="BE230" s="19"/>
      <c r="BF230" s="19"/>
      <c r="BG230" s="19"/>
      <c r="BH230" s="19"/>
      <c r="BI230" s="19"/>
      <c r="BJ230" s="19"/>
      <c r="BK230" s="19"/>
      <c r="BL230" s="19"/>
      <c r="BM230" s="19"/>
      <c r="BN230" s="19"/>
      <c r="BO230" s="19"/>
    </row>
    <row r="231" spans="1:67" ht="21" customHeight="1">
      <c r="A231" s="34"/>
      <c r="B231" s="35"/>
      <c r="C231" s="35"/>
      <c r="D231" s="35" t="s">
        <v>35</v>
      </c>
      <c r="E231" s="33"/>
      <c r="F231" s="33" t="s">
        <v>226</v>
      </c>
      <c r="G231" s="33" t="s">
        <v>227</v>
      </c>
      <c r="H231" s="1" t="s">
        <v>33</v>
      </c>
      <c r="I231" s="1"/>
      <c r="J231" s="2"/>
      <c r="K231" s="1"/>
      <c r="L231" s="1"/>
      <c r="M231" s="1"/>
      <c r="N231" s="1"/>
      <c r="O231" s="1" t="s">
        <v>34</v>
      </c>
      <c r="P231" s="19">
        <v>1</v>
      </c>
      <c r="Q231" s="19">
        <v>1</v>
      </c>
      <c r="R231" s="19">
        <v>1</v>
      </c>
      <c r="S231" s="19">
        <v>1</v>
      </c>
      <c r="T231" s="19">
        <v>1</v>
      </c>
      <c r="U231" s="19">
        <v>1</v>
      </c>
      <c r="V231" s="19">
        <v>1</v>
      </c>
      <c r="W231" s="19">
        <v>1</v>
      </c>
      <c r="X231" s="19">
        <v>1</v>
      </c>
      <c r="Y231" s="19">
        <v>1</v>
      </c>
      <c r="Z231" s="19">
        <v>1</v>
      </c>
      <c r="AA231" s="19">
        <v>1</v>
      </c>
      <c r="AB231" s="19">
        <v>1</v>
      </c>
      <c r="AC231" s="19">
        <v>1</v>
      </c>
      <c r="AD231" s="19">
        <v>1</v>
      </c>
      <c r="AE231" s="19">
        <v>1</v>
      </c>
      <c r="AF231" s="19">
        <v>1</v>
      </c>
      <c r="AG231" s="19">
        <v>1</v>
      </c>
      <c r="AH231" s="19">
        <v>1</v>
      </c>
      <c r="AI231" s="19">
        <v>1</v>
      </c>
      <c r="AJ231" s="19">
        <v>1</v>
      </c>
      <c r="AK231" s="19">
        <v>1</v>
      </c>
      <c r="AL231" s="19">
        <v>1</v>
      </c>
      <c r="AM231" s="19">
        <v>1</v>
      </c>
      <c r="AN231" s="19">
        <v>1</v>
      </c>
      <c r="AO231" s="19">
        <v>1</v>
      </c>
      <c r="AP231" s="19">
        <v>1</v>
      </c>
      <c r="AQ231" s="19">
        <v>1</v>
      </c>
      <c r="AR231" s="19">
        <v>1</v>
      </c>
      <c r="AS231" s="19">
        <v>1</v>
      </c>
      <c r="AT231" s="19">
        <v>1</v>
      </c>
      <c r="AU231" s="19">
        <v>1</v>
      </c>
      <c r="AV231" s="19">
        <v>1</v>
      </c>
      <c r="AW231" s="19">
        <v>1</v>
      </c>
      <c r="AX231" s="19">
        <v>1</v>
      </c>
      <c r="AY231" s="19">
        <v>1</v>
      </c>
      <c r="AZ231" s="19">
        <v>1</v>
      </c>
      <c r="BA231" s="19">
        <v>1</v>
      </c>
      <c r="BB231" s="19">
        <v>1</v>
      </c>
      <c r="BC231" s="19">
        <v>1</v>
      </c>
      <c r="BD231" s="19">
        <v>1</v>
      </c>
      <c r="BE231" s="19">
        <v>1</v>
      </c>
      <c r="BF231" s="19">
        <v>1</v>
      </c>
      <c r="BG231" s="19">
        <v>1</v>
      </c>
      <c r="BH231" s="19">
        <v>1</v>
      </c>
      <c r="BI231" s="19">
        <v>1</v>
      </c>
      <c r="BJ231" s="19">
        <v>1</v>
      </c>
      <c r="BK231" s="19">
        <v>1</v>
      </c>
      <c r="BL231" s="19">
        <v>1</v>
      </c>
      <c r="BM231" s="19">
        <v>1</v>
      </c>
      <c r="BN231" s="19">
        <v>1</v>
      </c>
      <c r="BO231" s="19">
        <v>1</v>
      </c>
    </row>
    <row r="232" spans="1:67" ht="21" customHeight="1">
      <c r="A232" s="34"/>
      <c r="B232" s="35"/>
      <c r="C232" s="35"/>
      <c r="D232" s="35" t="s">
        <v>35</v>
      </c>
      <c r="E232" s="33"/>
      <c r="F232" s="33"/>
      <c r="G232" s="33"/>
      <c r="H232" s="1" t="s">
        <v>36</v>
      </c>
      <c r="I232" s="1"/>
      <c r="J232" s="1"/>
      <c r="K232" s="1"/>
      <c r="L232" s="1"/>
      <c r="M232" s="1"/>
      <c r="N232" s="1"/>
      <c r="O232" s="1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9"/>
      <c r="AJ232" s="19"/>
      <c r="AK232" s="19"/>
      <c r="AL232" s="19"/>
      <c r="AM232" s="19"/>
      <c r="AN232" s="19"/>
      <c r="AO232" s="19"/>
      <c r="AP232" s="19"/>
      <c r="AQ232" s="19"/>
      <c r="AR232" s="19"/>
      <c r="AS232" s="19"/>
      <c r="AT232" s="19"/>
      <c r="AU232" s="19"/>
      <c r="AV232" s="19"/>
      <c r="AW232" s="19"/>
      <c r="AX232" s="19"/>
      <c r="AY232" s="19"/>
      <c r="AZ232" s="19"/>
      <c r="BA232" s="19"/>
      <c r="BB232" s="19"/>
      <c r="BC232" s="19"/>
      <c r="BD232" s="19"/>
      <c r="BE232" s="19"/>
      <c r="BF232" s="19"/>
      <c r="BG232" s="19"/>
      <c r="BH232" s="19"/>
      <c r="BI232" s="19"/>
      <c r="BJ232" s="19"/>
      <c r="BK232" s="19"/>
      <c r="BL232" s="19"/>
      <c r="BM232" s="19"/>
      <c r="BN232" s="19"/>
      <c r="BO232" s="19"/>
    </row>
    <row r="233" spans="1:67" ht="21" customHeight="1">
      <c r="A233" s="34"/>
      <c r="B233" s="35" t="s">
        <v>228</v>
      </c>
      <c r="C233" s="35" t="s">
        <v>229</v>
      </c>
      <c r="D233" s="35" t="s">
        <v>230</v>
      </c>
      <c r="E233" s="33" t="s">
        <v>231</v>
      </c>
      <c r="F233" s="33" t="s">
        <v>232</v>
      </c>
      <c r="G233" s="33" t="s">
        <v>233</v>
      </c>
      <c r="H233" s="1" t="s">
        <v>33</v>
      </c>
      <c r="I233" s="1"/>
      <c r="J233" s="1"/>
      <c r="K233" s="5"/>
      <c r="L233" s="1"/>
      <c r="M233" s="1"/>
      <c r="N233" s="1"/>
      <c r="O233" s="1" t="s">
        <v>61</v>
      </c>
      <c r="P233" s="19"/>
      <c r="Q233" s="19"/>
      <c r="R233" s="19">
        <v>2</v>
      </c>
      <c r="S233" s="19"/>
      <c r="T233" s="19"/>
      <c r="U233" s="19"/>
      <c r="V233" s="19"/>
      <c r="W233" s="19">
        <v>2</v>
      </c>
      <c r="X233" s="19"/>
      <c r="Y233" s="19"/>
      <c r="Z233" s="19"/>
      <c r="AA233" s="19">
        <v>2</v>
      </c>
      <c r="AB233" s="19"/>
      <c r="AC233" s="19"/>
      <c r="AD233" s="19"/>
      <c r="AE233" s="19">
        <v>2</v>
      </c>
      <c r="AF233" s="19"/>
      <c r="AG233" s="19"/>
      <c r="AH233" s="19"/>
      <c r="AI233" s="19">
        <v>2</v>
      </c>
      <c r="AJ233" s="19"/>
      <c r="AK233" s="19"/>
      <c r="AL233" s="19"/>
      <c r="AM233" s="19"/>
      <c r="AN233" s="19">
        <v>2</v>
      </c>
      <c r="AO233" s="19"/>
      <c r="AP233" s="19"/>
      <c r="AQ233" s="19"/>
      <c r="AR233" s="19">
        <v>2</v>
      </c>
      <c r="AS233" s="19"/>
      <c r="AT233" s="19"/>
      <c r="AU233" s="19"/>
      <c r="AV233" s="19"/>
      <c r="AW233" s="19">
        <v>2</v>
      </c>
      <c r="AX233" s="19"/>
      <c r="AY233" s="19"/>
      <c r="AZ233" s="19"/>
      <c r="BA233" s="19">
        <v>2</v>
      </c>
      <c r="BB233" s="19"/>
      <c r="BC233" s="19"/>
      <c r="BD233" s="19"/>
      <c r="BE233" s="19">
        <v>2</v>
      </c>
      <c r="BF233" s="19"/>
      <c r="BG233" s="19"/>
      <c r="BH233" s="19"/>
      <c r="BI233" s="19"/>
      <c r="BJ233" s="19">
        <v>2</v>
      </c>
      <c r="BK233" s="19"/>
      <c r="BL233" s="19"/>
      <c r="BM233" s="19"/>
      <c r="BN233" s="19">
        <v>2</v>
      </c>
      <c r="BO233" s="19"/>
    </row>
    <row r="234" spans="1:67" ht="21" customHeight="1">
      <c r="A234" s="34"/>
      <c r="B234" s="35"/>
      <c r="C234" s="35"/>
      <c r="D234" s="35" t="s">
        <v>35</v>
      </c>
      <c r="E234" s="33"/>
      <c r="F234" s="33"/>
      <c r="G234" s="33"/>
      <c r="H234" s="1" t="s">
        <v>36</v>
      </c>
      <c r="I234" s="1"/>
      <c r="J234" s="1"/>
      <c r="K234" s="1"/>
      <c r="L234" s="1"/>
      <c r="M234" s="1"/>
      <c r="N234" s="1"/>
      <c r="O234" s="1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  <c r="AL234" s="19"/>
      <c r="AM234" s="19"/>
      <c r="AN234" s="19"/>
      <c r="AO234" s="19"/>
      <c r="AP234" s="19"/>
      <c r="AQ234" s="19"/>
      <c r="AR234" s="19"/>
      <c r="AS234" s="19"/>
      <c r="AT234" s="19"/>
      <c r="AU234" s="19"/>
      <c r="AV234" s="19"/>
      <c r="AW234" s="19"/>
      <c r="AX234" s="19"/>
      <c r="AY234" s="19"/>
      <c r="AZ234" s="19"/>
      <c r="BA234" s="19"/>
      <c r="BB234" s="19"/>
      <c r="BC234" s="19"/>
      <c r="BD234" s="19"/>
      <c r="BE234" s="19"/>
      <c r="BF234" s="19"/>
      <c r="BG234" s="19"/>
      <c r="BH234" s="19"/>
      <c r="BI234" s="19"/>
      <c r="BJ234" s="19"/>
      <c r="BK234" s="19"/>
      <c r="BL234" s="19"/>
      <c r="BM234" s="19"/>
      <c r="BN234" s="19"/>
      <c r="BO234" s="19"/>
    </row>
    <row r="235" spans="1:67" ht="23.45" customHeight="1">
      <c r="A235" s="34"/>
      <c r="B235" s="35"/>
      <c r="C235" s="35"/>
      <c r="D235" s="35" t="s">
        <v>35</v>
      </c>
      <c r="E235" s="33"/>
      <c r="F235" s="33" t="s">
        <v>234</v>
      </c>
      <c r="G235" s="33" t="s">
        <v>235</v>
      </c>
      <c r="H235" s="1" t="s">
        <v>33</v>
      </c>
      <c r="I235" s="6"/>
      <c r="J235" s="2"/>
      <c r="K235" s="6"/>
      <c r="L235" s="6"/>
      <c r="M235" s="6"/>
      <c r="N235" s="6"/>
      <c r="O235" s="1" t="s">
        <v>34</v>
      </c>
      <c r="P235" s="19">
        <v>1</v>
      </c>
      <c r="Q235" s="19">
        <v>1</v>
      </c>
      <c r="R235" s="19">
        <v>1</v>
      </c>
      <c r="S235" s="19">
        <v>1</v>
      </c>
      <c r="T235" s="19">
        <v>1</v>
      </c>
      <c r="U235" s="19">
        <v>1</v>
      </c>
      <c r="V235" s="19">
        <v>1</v>
      </c>
      <c r="W235" s="19">
        <v>1</v>
      </c>
      <c r="X235" s="19">
        <v>1</v>
      </c>
      <c r="Y235" s="19">
        <v>1</v>
      </c>
      <c r="Z235" s="19">
        <v>1</v>
      </c>
      <c r="AA235" s="19">
        <v>1</v>
      </c>
      <c r="AB235" s="19">
        <v>1</v>
      </c>
      <c r="AC235" s="19">
        <v>1</v>
      </c>
      <c r="AD235" s="19">
        <v>1</v>
      </c>
      <c r="AE235" s="19">
        <v>1</v>
      </c>
      <c r="AF235" s="19">
        <v>1</v>
      </c>
      <c r="AG235" s="19">
        <v>1</v>
      </c>
      <c r="AH235" s="19">
        <v>1</v>
      </c>
      <c r="AI235" s="19">
        <v>1</v>
      </c>
      <c r="AJ235" s="19">
        <v>1</v>
      </c>
      <c r="AK235" s="19">
        <v>1</v>
      </c>
      <c r="AL235" s="19">
        <v>1</v>
      </c>
      <c r="AM235" s="19">
        <v>1</v>
      </c>
      <c r="AN235" s="19">
        <v>1</v>
      </c>
      <c r="AO235" s="19">
        <v>1</v>
      </c>
      <c r="AP235" s="19">
        <v>1</v>
      </c>
      <c r="AQ235" s="19">
        <v>1</v>
      </c>
      <c r="AR235" s="19">
        <v>1</v>
      </c>
      <c r="AS235" s="19">
        <v>1</v>
      </c>
      <c r="AT235" s="19">
        <v>1</v>
      </c>
      <c r="AU235" s="19">
        <v>1</v>
      </c>
      <c r="AV235" s="19">
        <v>1</v>
      </c>
      <c r="AW235" s="19">
        <v>1</v>
      </c>
      <c r="AX235" s="19">
        <v>1</v>
      </c>
      <c r="AY235" s="19">
        <v>1</v>
      </c>
      <c r="AZ235" s="19">
        <v>1</v>
      </c>
      <c r="BA235" s="19">
        <v>1</v>
      </c>
      <c r="BB235" s="19">
        <v>1</v>
      </c>
      <c r="BC235" s="19">
        <v>1</v>
      </c>
      <c r="BD235" s="19">
        <v>1</v>
      </c>
      <c r="BE235" s="19">
        <v>1</v>
      </c>
      <c r="BF235" s="19">
        <v>1</v>
      </c>
      <c r="BG235" s="19">
        <v>1</v>
      </c>
      <c r="BH235" s="19">
        <v>1</v>
      </c>
      <c r="BI235" s="19">
        <v>1</v>
      </c>
      <c r="BJ235" s="19">
        <v>1</v>
      </c>
      <c r="BK235" s="19">
        <v>1</v>
      </c>
      <c r="BL235" s="19">
        <v>1</v>
      </c>
      <c r="BM235" s="19">
        <v>1</v>
      </c>
      <c r="BN235" s="19">
        <v>1</v>
      </c>
      <c r="BO235" s="19">
        <v>1</v>
      </c>
    </row>
    <row r="236" spans="1:67" ht="23.45" customHeight="1">
      <c r="A236" s="34"/>
      <c r="B236" s="35"/>
      <c r="C236" s="35"/>
      <c r="D236" s="35" t="s">
        <v>35</v>
      </c>
      <c r="E236" s="33"/>
      <c r="F236" s="33"/>
      <c r="G236" s="33"/>
      <c r="H236" s="1" t="s">
        <v>36</v>
      </c>
      <c r="I236" s="6"/>
      <c r="J236" s="6"/>
      <c r="K236" s="6"/>
      <c r="L236" s="6"/>
      <c r="M236" s="6"/>
      <c r="N236" s="6"/>
      <c r="O236" s="1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  <c r="AE236" s="19"/>
      <c r="AF236" s="19"/>
      <c r="AG236" s="19"/>
      <c r="AH236" s="19"/>
      <c r="AI236" s="19"/>
      <c r="AJ236" s="19"/>
      <c r="AK236" s="19"/>
      <c r="AL236" s="19"/>
      <c r="AM236" s="19"/>
      <c r="AN236" s="19"/>
      <c r="AO236" s="19"/>
      <c r="AP236" s="19"/>
      <c r="AQ236" s="19"/>
      <c r="AR236" s="19"/>
      <c r="AS236" s="19"/>
      <c r="AT236" s="19"/>
      <c r="AU236" s="19"/>
      <c r="AV236" s="19"/>
      <c r="AW236" s="19"/>
      <c r="AX236" s="19"/>
      <c r="AY236" s="19"/>
      <c r="AZ236" s="19"/>
      <c r="BA236" s="19"/>
      <c r="BB236" s="19"/>
      <c r="BC236" s="19"/>
      <c r="BD236" s="19"/>
      <c r="BE236" s="19"/>
      <c r="BF236" s="19"/>
      <c r="BG236" s="19"/>
      <c r="BH236" s="19"/>
      <c r="BI236" s="19"/>
      <c r="BJ236" s="19"/>
      <c r="BK236" s="19"/>
      <c r="BL236" s="19"/>
      <c r="BM236" s="19"/>
      <c r="BN236" s="19"/>
      <c r="BO236" s="19"/>
    </row>
    <row r="237" spans="1:67" ht="23.45" customHeight="1">
      <c r="A237" s="34"/>
      <c r="B237" s="35" t="s">
        <v>236</v>
      </c>
      <c r="C237" s="35" t="s">
        <v>237</v>
      </c>
      <c r="D237" s="35" t="s">
        <v>238</v>
      </c>
      <c r="E237" s="33" t="s">
        <v>152</v>
      </c>
      <c r="F237" s="33" t="s">
        <v>31</v>
      </c>
      <c r="G237" s="33" t="s">
        <v>153</v>
      </c>
      <c r="H237" s="1" t="s">
        <v>33</v>
      </c>
      <c r="I237" s="1"/>
      <c r="J237" s="2"/>
      <c r="K237" s="1"/>
      <c r="L237" s="1"/>
      <c r="M237" s="1"/>
      <c r="N237" s="1"/>
      <c r="O237" s="1" t="s">
        <v>34</v>
      </c>
      <c r="P237" s="19">
        <v>1</v>
      </c>
      <c r="Q237" s="19">
        <v>1</v>
      </c>
      <c r="R237" s="19">
        <v>1</v>
      </c>
      <c r="S237" s="19">
        <v>1</v>
      </c>
      <c r="T237" s="19">
        <v>1</v>
      </c>
      <c r="U237" s="19">
        <v>1</v>
      </c>
      <c r="V237" s="19">
        <v>1</v>
      </c>
      <c r="W237" s="19">
        <v>1</v>
      </c>
      <c r="X237" s="19">
        <v>1</v>
      </c>
      <c r="Y237" s="19">
        <v>1</v>
      </c>
      <c r="Z237" s="19">
        <v>1</v>
      </c>
      <c r="AA237" s="19">
        <v>1</v>
      </c>
      <c r="AB237" s="19">
        <v>1</v>
      </c>
      <c r="AC237" s="19">
        <v>1</v>
      </c>
      <c r="AD237" s="19">
        <v>1</v>
      </c>
      <c r="AE237" s="19">
        <v>1</v>
      </c>
      <c r="AF237" s="19">
        <v>1</v>
      </c>
      <c r="AG237" s="19">
        <v>1</v>
      </c>
      <c r="AH237" s="19">
        <v>1</v>
      </c>
      <c r="AI237" s="19">
        <v>1</v>
      </c>
      <c r="AJ237" s="19">
        <v>1</v>
      </c>
      <c r="AK237" s="19">
        <v>1</v>
      </c>
      <c r="AL237" s="19">
        <v>1</v>
      </c>
      <c r="AM237" s="19">
        <v>1</v>
      </c>
      <c r="AN237" s="19">
        <v>1</v>
      </c>
      <c r="AO237" s="19">
        <v>1</v>
      </c>
      <c r="AP237" s="19">
        <v>1</v>
      </c>
      <c r="AQ237" s="19">
        <v>1</v>
      </c>
      <c r="AR237" s="19">
        <v>1</v>
      </c>
      <c r="AS237" s="19">
        <v>1</v>
      </c>
      <c r="AT237" s="19">
        <v>1</v>
      </c>
      <c r="AU237" s="19">
        <v>1</v>
      </c>
      <c r="AV237" s="19">
        <v>1</v>
      </c>
      <c r="AW237" s="19">
        <v>1</v>
      </c>
      <c r="AX237" s="19">
        <v>1</v>
      </c>
      <c r="AY237" s="19">
        <v>1</v>
      </c>
      <c r="AZ237" s="19">
        <v>1</v>
      </c>
      <c r="BA237" s="19">
        <v>1</v>
      </c>
      <c r="BB237" s="19">
        <v>1</v>
      </c>
      <c r="BC237" s="19">
        <v>1</v>
      </c>
      <c r="BD237" s="19">
        <v>1</v>
      </c>
      <c r="BE237" s="19">
        <v>1</v>
      </c>
      <c r="BF237" s="19">
        <v>1</v>
      </c>
      <c r="BG237" s="19">
        <v>1</v>
      </c>
      <c r="BH237" s="19">
        <v>1</v>
      </c>
      <c r="BI237" s="19">
        <v>1</v>
      </c>
      <c r="BJ237" s="19">
        <v>1</v>
      </c>
      <c r="BK237" s="19">
        <v>1</v>
      </c>
      <c r="BL237" s="19">
        <v>1</v>
      </c>
      <c r="BM237" s="19">
        <v>1</v>
      </c>
      <c r="BN237" s="19">
        <v>1</v>
      </c>
      <c r="BO237" s="19">
        <v>1</v>
      </c>
    </row>
    <row r="238" spans="1:67" ht="23.45" customHeight="1">
      <c r="A238" s="34"/>
      <c r="B238" s="35"/>
      <c r="C238" s="35"/>
      <c r="D238" s="35" t="s">
        <v>35</v>
      </c>
      <c r="E238" s="33"/>
      <c r="F238" s="33"/>
      <c r="G238" s="33"/>
      <c r="H238" s="1" t="s">
        <v>36</v>
      </c>
      <c r="I238" s="1"/>
      <c r="J238" s="1"/>
      <c r="K238" s="1"/>
      <c r="L238" s="1"/>
      <c r="M238" s="1"/>
      <c r="N238" s="1"/>
      <c r="O238" s="1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  <c r="AH238" s="19"/>
      <c r="AI238" s="19"/>
      <c r="AJ238" s="19"/>
      <c r="AK238" s="19"/>
      <c r="AL238" s="19"/>
      <c r="AM238" s="19"/>
      <c r="AN238" s="19"/>
      <c r="AO238" s="19"/>
      <c r="AP238" s="19"/>
      <c r="AQ238" s="19"/>
      <c r="AR238" s="19"/>
      <c r="AS238" s="19"/>
      <c r="AT238" s="19"/>
      <c r="AU238" s="19"/>
      <c r="AV238" s="19"/>
      <c r="AW238" s="19"/>
      <c r="AX238" s="19"/>
      <c r="AY238" s="19"/>
      <c r="AZ238" s="19"/>
      <c r="BA238" s="19"/>
      <c r="BB238" s="19"/>
      <c r="BC238" s="19"/>
      <c r="BD238" s="19"/>
      <c r="BE238" s="19"/>
      <c r="BF238" s="19"/>
      <c r="BG238" s="19"/>
      <c r="BH238" s="19"/>
      <c r="BI238" s="19"/>
      <c r="BJ238" s="19"/>
      <c r="BK238" s="19"/>
      <c r="BL238" s="19"/>
      <c r="BM238" s="19"/>
      <c r="BN238" s="19"/>
      <c r="BO238" s="19"/>
    </row>
    <row r="239" spans="1:67" ht="23.45" customHeight="1">
      <c r="A239" s="34"/>
      <c r="B239" s="35"/>
      <c r="C239" s="35"/>
      <c r="D239" s="35" t="s">
        <v>35</v>
      </c>
      <c r="E239" s="33"/>
      <c r="F239" s="33" t="s">
        <v>57</v>
      </c>
      <c r="G239" s="33" t="s">
        <v>154</v>
      </c>
      <c r="H239" s="1" t="s">
        <v>33</v>
      </c>
      <c r="I239" s="1"/>
      <c r="J239" s="1"/>
      <c r="K239" s="1"/>
      <c r="L239" s="7"/>
      <c r="M239" s="1"/>
      <c r="N239" s="1"/>
      <c r="O239" s="1" t="s">
        <v>73</v>
      </c>
      <c r="P239" s="19"/>
      <c r="Q239" s="19"/>
      <c r="R239" s="19">
        <v>3</v>
      </c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>
        <v>3</v>
      </c>
      <c r="AF239" s="19"/>
      <c r="AG239" s="19"/>
      <c r="AH239" s="19"/>
      <c r="AI239" s="19"/>
      <c r="AJ239" s="19"/>
      <c r="AK239" s="19"/>
      <c r="AL239" s="19"/>
      <c r="AM239" s="19"/>
      <c r="AN239" s="19"/>
      <c r="AO239" s="19"/>
      <c r="AP239" s="19"/>
      <c r="AQ239" s="19"/>
      <c r="AR239" s="19">
        <v>3</v>
      </c>
      <c r="AS239" s="19"/>
      <c r="AT239" s="19"/>
      <c r="AU239" s="19"/>
      <c r="AV239" s="19"/>
      <c r="AW239" s="19"/>
      <c r="AX239" s="19"/>
      <c r="AY239" s="19"/>
      <c r="AZ239" s="19"/>
      <c r="BA239" s="19"/>
      <c r="BB239" s="19"/>
      <c r="BC239" s="19"/>
      <c r="BD239" s="19"/>
      <c r="BE239" s="19">
        <v>3</v>
      </c>
      <c r="BF239" s="19"/>
      <c r="BG239" s="19"/>
      <c r="BH239" s="19"/>
      <c r="BI239" s="19"/>
      <c r="BJ239" s="19"/>
      <c r="BK239" s="19"/>
      <c r="BL239" s="19"/>
      <c r="BM239" s="19"/>
      <c r="BN239" s="19"/>
      <c r="BO239" s="19"/>
    </row>
    <row r="240" spans="1:67" ht="23.45" customHeight="1">
      <c r="A240" s="34"/>
      <c r="B240" s="35"/>
      <c r="C240" s="35"/>
      <c r="D240" s="35" t="s">
        <v>35</v>
      </c>
      <c r="E240" s="33"/>
      <c r="F240" s="33"/>
      <c r="G240" s="33"/>
      <c r="H240" s="1" t="s">
        <v>36</v>
      </c>
      <c r="I240" s="1"/>
      <c r="J240" s="1"/>
      <c r="K240" s="1"/>
      <c r="L240" s="1"/>
      <c r="M240" s="1"/>
      <c r="N240" s="1"/>
      <c r="O240" s="1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  <c r="AH240" s="19"/>
      <c r="AI240" s="19"/>
      <c r="AJ240" s="19"/>
      <c r="AK240" s="19"/>
      <c r="AL240" s="19"/>
      <c r="AM240" s="19"/>
      <c r="AN240" s="19"/>
      <c r="AO240" s="19"/>
      <c r="AP240" s="19"/>
      <c r="AQ240" s="19"/>
      <c r="AR240" s="19"/>
      <c r="AS240" s="19"/>
      <c r="AT240" s="19"/>
      <c r="AU240" s="19"/>
      <c r="AV240" s="19"/>
      <c r="AW240" s="19"/>
      <c r="AX240" s="19"/>
      <c r="AY240" s="19"/>
      <c r="AZ240" s="19"/>
      <c r="BA240" s="19"/>
      <c r="BB240" s="19"/>
      <c r="BC240" s="19"/>
      <c r="BD240" s="19"/>
      <c r="BE240" s="19"/>
      <c r="BF240" s="19"/>
      <c r="BG240" s="19"/>
      <c r="BH240" s="19"/>
      <c r="BI240" s="19"/>
      <c r="BJ240" s="19"/>
      <c r="BK240" s="19"/>
      <c r="BL240" s="19"/>
      <c r="BM240" s="19"/>
      <c r="BN240" s="19"/>
      <c r="BO240" s="19"/>
    </row>
    <row r="241" spans="1:67" ht="23.45" customHeight="1">
      <c r="A241" s="34"/>
      <c r="B241" s="35"/>
      <c r="C241" s="35"/>
      <c r="D241" s="35" t="s">
        <v>35</v>
      </c>
      <c r="E241" s="33"/>
      <c r="F241" s="33"/>
      <c r="G241" s="33" t="s">
        <v>155</v>
      </c>
      <c r="H241" s="1" t="s">
        <v>33</v>
      </c>
      <c r="I241" s="1"/>
      <c r="J241" s="1"/>
      <c r="K241" s="1"/>
      <c r="L241" s="1"/>
      <c r="M241" s="1"/>
      <c r="N241" s="3"/>
      <c r="O241" s="1" t="s">
        <v>41</v>
      </c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  <c r="AH241" s="19"/>
      <c r="AI241" s="19"/>
      <c r="AJ241" s="19"/>
      <c r="AK241" s="19"/>
      <c r="AL241" s="19"/>
      <c r="AM241" s="19"/>
      <c r="AN241" s="19"/>
      <c r="AO241" s="19"/>
      <c r="AP241" s="19"/>
      <c r="AQ241" s="19"/>
      <c r="AR241" s="19"/>
      <c r="AS241" s="19"/>
      <c r="AT241" s="19"/>
      <c r="AU241" s="19"/>
      <c r="AV241" s="19"/>
      <c r="AW241" s="19"/>
      <c r="AX241" s="19"/>
      <c r="AY241" s="19"/>
      <c r="AZ241" s="19"/>
      <c r="BA241" s="19"/>
      <c r="BB241" s="19"/>
      <c r="BC241" s="19"/>
      <c r="BD241" s="19"/>
      <c r="BE241" s="19"/>
      <c r="BF241" s="19"/>
      <c r="BG241" s="19"/>
      <c r="BH241" s="19"/>
      <c r="BI241" s="19"/>
      <c r="BJ241" s="19">
        <v>5</v>
      </c>
      <c r="BK241" s="19"/>
      <c r="BL241" s="19"/>
      <c r="BM241" s="19"/>
      <c r="BN241" s="19"/>
      <c r="BO241" s="19"/>
    </row>
    <row r="242" spans="1:67" ht="23.45" customHeight="1">
      <c r="A242" s="34"/>
      <c r="B242" s="35"/>
      <c r="C242" s="35"/>
      <c r="D242" s="35" t="s">
        <v>35</v>
      </c>
      <c r="E242" s="33"/>
      <c r="F242" s="33"/>
      <c r="G242" s="33"/>
      <c r="H242" s="1" t="s">
        <v>36</v>
      </c>
      <c r="I242" s="1"/>
      <c r="J242" s="1"/>
      <c r="K242" s="1"/>
      <c r="L242" s="1"/>
      <c r="M242" s="1"/>
      <c r="N242" s="1"/>
      <c r="O242" s="1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  <c r="AI242" s="19"/>
      <c r="AJ242" s="19"/>
      <c r="AK242" s="19"/>
      <c r="AL242" s="19"/>
      <c r="AM242" s="19"/>
      <c r="AN242" s="19"/>
      <c r="AO242" s="19"/>
      <c r="AP242" s="19"/>
      <c r="AQ242" s="19"/>
      <c r="AR242" s="19"/>
      <c r="AS242" s="19"/>
      <c r="AT242" s="19"/>
      <c r="AU242" s="19"/>
      <c r="AV242" s="19"/>
      <c r="AW242" s="19"/>
      <c r="AX242" s="19"/>
      <c r="AY242" s="19"/>
      <c r="AZ242" s="19"/>
      <c r="BA242" s="19"/>
      <c r="BB242" s="19"/>
      <c r="BC242" s="19"/>
      <c r="BD242" s="19"/>
      <c r="BE242" s="19"/>
      <c r="BF242" s="19"/>
      <c r="BG242" s="19"/>
      <c r="BH242" s="19"/>
      <c r="BI242" s="19"/>
      <c r="BJ242" s="19"/>
      <c r="BK242" s="19"/>
      <c r="BL242" s="19"/>
      <c r="BM242" s="19"/>
      <c r="BN242" s="19"/>
      <c r="BO242" s="19"/>
    </row>
    <row r="243" spans="1:67" ht="23.45" customHeight="1">
      <c r="A243" s="34"/>
      <c r="B243" s="35"/>
      <c r="C243" s="35"/>
      <c r="D243" s="35" t="s">
        <v>35</v>
      </c>
      <c r="E243" s="33"/>
      <c r="F243" s="33" t="s">
        <v>156</v>
      </c>
      <c r="G243" s="33" t="s">
        <v>157</v>
      </c>
      <c r="H243" s="1" t="s">
        <v>33</v>
      </c>
      <c r="I243" s="1"/>
      <c r="J243" s="1"/>
      <c r="K243" s="5"/>
      <c r="L243" s="1"/>
      <c r="M243" s="1"/>
      <c r="N243" s="1"/>
      <c r="O243" s="1" t="s">
        <v>46</v>
      </c>
      <c r="P243" s="19"/>
      <c r="Q243" s="19"/>
      <c r="R243" s="19">
        <v>2</v>
      </c>
      <c r="S243" s="19"/>
      <c r="T243" s="19"/>
      <c r="U243" s="19"/>
      <c r="V243" s="19"/>
      <c r="W243" s="19">
        <v>2</v>
      </c>
      <c r="X243" s="19"/>
      <c r="Y243" s="19"/>
      <c r="Z243" s="19"/>
      <c r="AA243" s="19">
        <v>2</v>
      </c>
      <c r="AB243" s="19"/>
      <c r="AC243" s="19"/>
      <c r="AD243" s="19"/>
      <c r="AE243" s="19">
        <v>2</v>
      </c>
      <c r="AF243" s="19"/>
      <c r="AG243" s="19"/>
      <c r="AH243" s="19"/>
      <c r="AI243" s="19">
        <v>2</v>
      </c>
      <c r="AJ243" s="19"/>
      <c r="AK243" s="19"/>
      <c r="AL243" s="19"/>
      <c r="AM243" s="19"/>
      <c r="AN243" s="19">
        <v>2</v>
      </c>
      <c r="AO243" s="19"/>
      <c r="AP243" s="19"/>
      <c r="AQ243" s="19"/>
      <c r="AR243" s="19">
        <v>2</v>
      </c>
      <c r="AS243" s="19"/>
      <c r="AT243" s="19"/>
      <c r="AU243" s="19"/>
      <c r="AV243" s="19"/>
      <c r="AW243" s="19">
        <v>2</v>
      </c>
      <c r="AX243" s="19"/>
      <c r="AY243" s="19"/>
      <c r="AZ243" s="19"/>
      <c r="BA243" s="19">
        <v>2</v>
      </c>
      <c r="BB243" s="19"/>
      <c r="BC243" s="19"/>
      <c r="BD243" s="19"/>
      <c r="BE243" s="19">
        <v>2</v>
      </c>
      <c r="BF243" s="19"/>
      <c r="BG243" s="19"/>
      <c r="BH243" s="19"/>
      <c r="BI243" s="19"/>
      <c r="BJ243" s="19">
        <v>2</v>
      </c>
      <c r="BK243" s="19"/>
      <c r="BL243" s="19"/>
      <c r="BM243" s="19"/>
      <c r="BN243" s="19">
        <v>2</v>
      </c>
      <c r="BO243" s="19"/>
    </row>
    <row r="244" spans="1:67" ht="23.45" customHeight="1">
      <c r="A244" s="34"/>
      <c r="B244" s="35"/>
      <c r="C244" s="35"/>
      <c r="D244" s="35" t="s">
        <v>35</v>
      </c>
      <c r="E244" s="33"/>
      <c r="F244" s="33"/>
      <c r="G244" s="33"/>
      <c r="H244" s="1" t="s">
        <v>36</v>
      </c>
      <c r="I244" s="1"/>
      <c r="J244" s="1"/>
      <c r="K244" s="1"/>
      <c r="L244" s="1"/>
      <c r="M244" s="1"/>
      <c r="N244" s="1"/>
      <c r="O244" s="1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9"/>
      <c r="AJ244" s="19"/>
      <c r="AK244" s="19"/>
      <c r="AL244" s="19"/>
      <c r="AM244" s="19"/>
      <c r="AN244" s="19"/>
      <c r="AO244" s="19"/>
      <c r="AP244" s="19"/>
      <c r="AQ244" s="19"/>
      <c r="AR244" s="19"/>
      <c r="AS244" s="19"/>
      <c r="AT244" s="19"/>
      <c r="AU244" s="19"/>
      <c r="AV244" s="19"/>
      <c r="AW244" s="19"/>
      <c r="AX244" s="19"/>
      <c r="AY244" s="19"/>
      <c r="AZ244" s="19"/>
      <c r="BA244" s="19"/>
      <c r="BB244" s="19"/>
      <c r="BC244" s="19"/>
      <c r="BD244" s="19"/>
      <c r="BE244" s="19"/>
      <c r="BF244" s="19"/>
      <c r="BG244" s="19"/>
      <c r="BH244" s="19"/>
      <c r="BI244" s="19"/>
      <c r="BJ244" s="19"/>
      <c r="BK244" s="19"/>
      <c r="BL244" s="19"/>
      <c r="BM244" s="19"/>
      <c r="BN244" s="19"/>
      <c r="BO244" s="19"/>
    </row>
    <row r="245" spans="1:67" ht="23.45" customHeight="1">
      <c r="A245" s="34"/>
      <c r="B245" s="35" t="s">
        <v>239</v>
      </c>
      <c r="C245" s="35" t="s">
        <v>240</v>
      </c>
      <c r="D245" s="35" t="s">
        <v>241</v>
      </c>
      <c r="E245" s="33" t="s">
        <v>152</v>
      </c>
      <c r="F245" s="33" t="s">
        <v>31</v>
      </c>
      <c r="G245" s="33" t="s">
        <v>153</v>
      </c>
      <c r="H245" s="1" t="s">
        <v>33</v>
      </c>
      <c r="I245" s="1"/>
      <c r="J245" s="2"/>
      <c r="K245" s="1"/>
      <c r="L245" s="1"/>
      <c r="M245" s="1"/>
      <c r="N245" s="1"/>
      <c r="O245" s="1" t="s">
        <v>34</v>
      </c>
      <c r="P245" s="19">
        <v>1</v>
      </c>
      <c r="Q245" s="19">
        <v>1</v>
      </c>
      <c r="R245" s="19">
        <v>1</v>
      </c>
      <c r="S245" s="19">
        <v>1</v>
      </c>
      <c r="T245" s="19">
        <v>1</v>
      </c>
      <c r="U245" s="19">
        <v>1</v>
      </c>
      <c r="V245" s="19">
        <v>1</v>
      </c>
      <c r="W245" s="19">
        <v>1</v>
      </c>
      <c r="X245" s="19">
        <v>1</v>
      </c>
      <c r="Y245" s="19">
        <v>1</v>
      </c>
      <c r="Z245" s="19">
        <v>1</v>
      </c>
      <c r="AA245" s="19">
        <v>1</v>
      </c>
      <c r="AB245" s="19">
        <v>1</v>
      </c>
      <c r="AC245" s="19">
        <v>1</v>
      </c>
      <c r="AD245" s="19">
        <v>1</v>
      </c>
      <c r="AE245" s="19">
        <v>1</v>
      </c>
      <c r="AF245" s="19">
        <v>1</v>
      </c>
      <c r="AG245" s="19">
        <v>1</v>
      </c>
      <c r="AH245" s="19">
        <v>1</v>
      </c>
      <c r="AI245" s="19">
        <v>1</v>
      </c>
      <c r="AJ245" s="19">
        <v>1</v>
      </c>
      <c r="AK245" s="19">
        <v>1</v>
      </c>
      <c r="AL245" s="19">
        <v>1</v>
      </c>
      <c r="AM245" s="19">
        <v>1</v>
      </c>
      <c r="AN245" s="19">
        <v>1</v>
      </c>
      <c r="AO245" s="19">
        <v>1</v>
      </c>
      <c r="AP245" s="19">
        <v>1</v>
      </c>
      <c r="AQ245" s="19">
        <v>1</v>
      </c>
      <c r="AR245" s="19">
        <v>1</v>
      </c>
      <c r="AS245" s="19">
        <v>1</v>
      </c>
      <c r="AT245" s="19">
        <v>1</v>
      </c>
      <c r="AU245" s="19">
        <v>1</v>
      </c>
      <c r="AV245" s="19">
        <v>1</v>
      </c>
      <c r="AW245" s="19">
        <v>1</v>
      </c>
      <c r="AX245" s="19">
        <v>1</v>
      </c>
      <c r="AY245" s="19">
        <v>1</v>
      </c>
      <c r="AZ245" s="19">
        <v>1</v>
      </c>
      <c r="BA245" s="19">
        <v>1</v>
      </c>
      <c r="BB245" s="19">
        <v>1</v>
      </c>
      <c r="BC245" s="19">
        <v>1</v>
      </c>
      <c r="BD245" s="19">
        <v>1</v>
      </c>
      <c r="BE245" s="19">
        <v>1</v>
      </c>
      <c r="BF245" s="19">
        <v>1</v>
      </c>
      <c r="BG245" s="19">
        <v>1</v>
      </c>
      <c r="BH245" s="19">
        <v>1</v>
      </c>
      <c r="BI245" s="19">
        <v>1</v>
      </c>
      <c r="BJ245" s="19">
        <v>1</v>
      </c>
      <c r="BK245" s="19">
        <v>1</v>
      </c>
      <c r="BL245" s="19">
        <v>1</v>
      </c>
      <c r="BM245" s="19">
        <v>1</v>
      </c>
      <c r="BN245" s="19">
        <v>1</v>
      </c>
      <c r="BO245" s="19">
        <v>1</v>
      </c>
    </row>
    <row r="246" spans="1:67" ht="23.45" customHeight="1">
      <c r="A246" s="34"/>
      <c r="B246" s="35"/>
      <c r="C246" s="35"/>
      <c r="D246" s="35" t="s">
        <v>35</v>
      </c>
      <c r="E246" s="33"/>
      <c r="F246" s="33"/>
      <c r="G246" s="33"/>
      <c r="H246" s="1" t="s">
        <v>36</v>
      </c>
      <c r="I246" s="1"/>
      <c r="J246" s="1"/>
      <c r="K246" s="1"/>
      <c r="L246" s="1"/>
      <c r="M246" s="1"/>
      <c r="N246" s="1"/>
      <c r="O246" s="1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  <c r="AJ246" s="19"/>
      <c r="AK246" s="19"/>
      <c r="AL246" s="19"/>
      <c r="AM246" s="19"/>
      <c r="AN246" s="19"/>
      <c r="AO246" s="19"/>
      <c r="AP246" s="19"/>
      <c r="AQ246" s="19"/>
      <c r="AR246" s="19"/>
      <c r="AS246" s="19"/>
      <c r="AT246" s="19"/>
      <c r="AU246" s="19"/>
      <c r="AV246" s="19"/>
      <c r="AW246" s="19"/>
      <c r="AX246" s="19"/>
      <c r="AY246" s="19"/>
      <c r="AZ246" s="19"/>
      <c r="BA246" s="19"/>
      <c r="BB246" s="19"/>
      <c r="BC246" s="19"/>
      <c r="BD246" s="19"/>
      <c r="BE246" s="19"/>
      <c r="BF246" s="19"/>
      <c r="BG246" s="19"/>
      <c r="BH246" s="19"/>
      <c r="BI246" s="19"/>
      <c r="BJ246" s="19"/>
      <c r="BK246" s="19"/>
      <c r="BL246" s="19"/>
      <c r="BM246" s="19"/>
      <c r="BN246" s="19"/>
      <c r="BO246" s="19"/>
    </row>
    <row r="247" spans="1:67" ht="23.45" customHeight="1">
      <c r="A247" s="34"/>
      <c r="B247" s="35"/>
      <c r="C247" s="35"/>
      <c r="D247" s="35" t="s">
        <v>35</v>
      </c>
      <c r="E247" s="33"/>
      <c r="F247" s="33" t="s">
        <v>57</v>
      </c>
      <c r="G247" s="33" t="s">
        <v>154</v>
      </c>
      <c r="H247" s="1" t="s">
        <v>33</v>
      </c>
      <c r="I247" s="1"/>
      <c r="J247" s="1"/>
      <c r="K247" s="1"/>
      <c r="L247" s="7"/>
      <c r="M247" s="1"/>
      <c r="N247" s="1"/>
      <c r="O247" s="1" t="s">
        <v>73</v>
      </c>
      <c r="P247" s="19"/>
      <c r="Q247" s="19"/>
      <c r="R247" s="19">
        <v>3</v>
      </c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>
        <v>3</v>
      </c>
      <c r="AF247" s="19"/>
      <c r="AG247" s="19"/>
      <c r="AH247" s="19"/>
      <c r="AI247" s="19"/>
      <c r="AJ247" s="19"/>
      <c r="AK247" s="19"/>
      <c r="AL247" s="19"/>
      <c r="AM247" s="19"/>
      <c r="AN247" s="19"/>
      <c r="AO247" s="19"/>
      <c r="AP247" s="19"/>
      <c r="AQ247" s="19"/>
      <c r="AR247" s="19">
        <v>3</v>
      </c>
      <c r="AS247" s="19"/>
      <c r="AT247" s="19"/>
      <c r="AU247" s="19"/>
      <c r="AV247" s="19"/>
      <c r="AW247" s="19"/>
      <c r="AX247" s="19"/>
      <c r="AY247" s="19"/>
      <c r="AZ247" s="19"/>
      <c r="BA247" s="19"/>
      <c r="BB247" s="19"/>
      <c r="BC247" s="19"/>
      <c r="BD247" s="19"/>
      <c r="BE247" s="19">
        <v>3</v>
      </c>
      <c r="BF247" s="19"/>
      <c r="BG247" s="19"/>
      <c r="BH247" s="19"/>
      <c r="BI247" s="19"/>
      <c r="BJ247" s="19"/>
      <c r="BK247" s="19"/>
      <c r="BL247" s="19"/>
      <c r="BM247" s="19"/>
      <c r="BN247" s="19"/>
      <c r="BO247" s="19"/>
    </row>
    <row r="248" spans="1:67" ht="23.45" customHeight="1">
      <c r="A248" s="34"/>
      <c r="B248" s="35"/>
      <c r="C248" s="35"/>
      <c r="D248" s="35" t="s">
        <v>35</v>
      </c>
      <c r="E248" s="33"/>
      <c r="F248" s="33"/>
      <c r="G248" s="33"/>
      <c r="H248" s="1" t="s">
        <v>36</v>
      </c>
      <c r="I248" s="1"/>
      <c r="J248" s="1"/>
      <c r="K248" s="1"/>
      <c r="L248" s="1"/>
      <c r="M248" s="1"/>
      <c r="N248" s="1"/>
      <c r="O248" s="1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  <c r="AH248" s="19"/>
      <c r="AI248" s="19"/>
      <c r="AJ248" s="19"/>
      <c r="AK248" s="19"/>
      <c r="AL248" s="19"/>
      <c r="AM248" s="19"/>
      <c r="AN248" s="19"/>
      <c r="AO248" s="19"/>
      <c r="AP248" s="19"/>
      <c r="AQ248" s="19"/>
      <c r="AR248" s="19"/>
      <c r="AS248" s="19"/>
      <c r="AT248" s="19"/>
      <c r="AU248" s="19"/>
      <c r="AV248" s="19"/>
      <c r="AW248" s="19"/>
      <c r="AX248" s="19"/>
      <c r="AY248" s="19"/>
      <c r="AZ248" s="19"/>
      <c r="BA248" s="19"/>
      <c r="BB248" s="19"/>
      <c r="BC248" s="19"/>
      <c r="BD248" s="19"/>
      <c r="BE248" s="19"/>
      <c r="BF248" s="19"/>
      <c r="BG248" s="19"/>
      <c r="BH248" s="19"/>
      <c r="BI248" s="19"/>
      <c r="BJ248" s="19"/>
      <c r="BK248" s="19"/>
      <c r="BL248" s="19"/>
      <c r="BM248" s="19"/>
      <c r="BN248" s="19"/>
      <c r="BO248" s="19"/>
    </row>
    <row r="249" spans="1:67" ht="23.45" customHeight="1">
      <c r="A249" s="34"/>
      <c r="B249" s="35"/>
      <c r="C249" s="35"/>
      <c r="D249" s="35" t="s">
        <v>35</v>
      </c>
      <c r="E249" s="33"/>
      <c r="F249" s="33"/>
      <c r="G249" s="33" t="s">
        <v>155</v>
      </c>
      <c r="H249" s="1" t="s">
        <v>33</v>
      </c>
      <c r="I249" s="1"/>
      <c r="J249" s="1"/>
      <c r="K249" s="1"/>
      <c r="L249" s="1"/>
      <c r="M249" s="1"/>
      <c r="N249" s="3"/>
      <c r="O249" s="1" t="s">
        <v>41</v>
      </c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  <c r="AH249" s="19"/>
      <c r="AI249" s="19"/>
      <c r="AJ249" s="19"/>
      <c r="AK249" s="19"/>
      <c r="AL249" s="19"/>
      <c r="AM249" s="19"/>
      <c r="AN249" s="19"/>
      <c r="AO249" s="19"/>
      <c r="AP249" s="19"/>
      <c r="AQ249" s="19"/>
      <c r="AR249" s="19"/>
      <c r="AS249" s="19"/>
      <c r="AT249" s="19"/>
      <c r="AU249" s="19"/>
      <c r="AV249" s="19"/>
      <c r="AW249" s="19"/>
      <c r="AX249" s="19"/>
      <c r="AY249" s="19"/>
      <c r="AZ249" s="19"/>
      <c r="BA249" s="19"/>
      <c r="BB249" s="19"/>
      <c r="BC249" s="19"/>
      <c r="BD249" s="19"/>
      <c r="BE249" s="19"/>
      <c r="BF249" s="19"/>
      <c r="BG249" s="19"/>
      <c r="BH249" s="19"/>
      <c r="BI249" s="19"/>
      <c r="BJ249" s="19">
        <v>5</v>
      </c>
      <c r="BK249" s="19"/>
      <c r="BL249" s="19"/>
      <c r="BM249" s="19"/>
      <c r="BN249" s="19"/>
      <c r="BO249" s="19"/>
    </row>
    <row r="250" spans="1:67" ht="23.45" customHeight="1">
      <c r="A250" s="34"/>
      <c r="B250" s="35"/>
      <c r="C250" s="35"/>
      <c r="D250" s="35" t="s">
        <v>35</v>
      </c>
      <c r="E250" s="33"/>
      <c r="F250" s="33"/>
      <c r="G250" s="33"/>
      <c r="H250" s="1" t="s">
        <v>36</v>
      </c>
      <c r="I250" s="1"/>
      <c r="J250" s="1"/>
      <c r="K250" s="1"/>
      <c r="L250" s="1"/>
      <c r="M250" s="1"/>
      <c r="N250" s="1"/>
      <c r="O250" s="1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  <c r="AH250" s="19"/>
      <c r="AI250" s="19"/>
      <c r="AJ250" s="19"/>
      <c r="AK250" s="19"/>
      <c r="AL250" s="19"/>
      <c r="AM250" s="19"/>
      <c r="AN250" s="19"/>
      <c r="AO250" s="19"/>
      <c r="AP250" s="19"/>
      <c r="AQ250" s="19"/>
      <c r="AR250" s="19"/>
      <c r="AS250" s="19"/>
      <c r="AT250" s="19"/>
      <c r="AU250" s="19"/>
      <c r="AV250" s="19"/>
      <c r="AW250" s="19"/>
      <c r="AX250" s="19"/>
      <c r="AY250" s="19"/>
      <c r="AZ250" s="19"/>
      <c r="BA250" s="19"/>
      <c r="BB250" s="19"/>
      <c r="BC250" s="19"/>
      <c r="BD250" s="19"/>
      <c r="BE250" s="19"/>
      <c r="BF250" s="19"/>
      <c r="BG250" s="19"/>
      <c r="BH250" s="19"/>
      <c r="BI250" s="19"/>
      <c r="BJ250" s="19"/>
      <c r="BK250" s="19"/>
      <c r="BL250" s="19"/>
      <c r="BM250" s="19"/>
      <c r="BN250" s="19"/>
      <c r="BO250" s="19"/>
    </row>
    <row r="251" spans="1:67" ht="23.45" customHeight="1">
      <c r="A251" s="34"/>
      <c r="B251" s="35"/>
      <c r="C251" s="35"/>
      <c r="D251" s="35" t="s">
        <v>35</v>
      </c>
      <c r="E251" s="33"/>
      <c r="F251" s="33" t="s">
        <v>156</v>
      </c>
      <c r="G251" s="33" t="s">
        <v>157</v>
      </c>
      <c r="H251" s="1" t="s">
        <v>33</v>
      </c>
      <c r="I251" s="1"/>
      <c r="J251" s="1"/>
      <c r="K251" s="5"/>
      <c r="L251" s="1"/>
      <c r="M251" s="1"/>
      <c r="N251" s="1"/>
      <c r="O251" s="1" t="s">
        <v>46</v>
      </c>
      <c r="P251" s="19"/>
      <c r="Q251" s="19"/>
      <c r="R251" s="19">
        <v>2</v>
      </c>
      <c r="S251" s="19"/>
      <c r="T251" s="19"/>
      <c r="U251" s="19"/>
      <c r="V251" s="19"/>
      <c r="W251" s="19">
        <v>2</v>
      </c>
      <c r="X251" s="19"/>
      <c r="Y251" s="19"/>
      <c r="Z251" s="19"/>
      <c r="AA251" s="19">
        <v>2</v>
      </c>
      <c r="AB251" s="19"/>
      <c r="AC251" s="19"/>
      <c r="AD251" s="19"/>
      <c r="AE251" s="19">
        <v>2</v>
      </c>
      <c r="AF251" s="19"/>
      <c r="AG251" s="19"/>
      <c r="AH251" s="19"/>
      <c r="AI251" s="19">
        <v>2</v>
      </c>
      <c r="AJ251" s="19"/>
      <c r="AK251" s="19"/>
      <c r="AL251" s="19"/>
      <c r="AM251" s="19"/>
      <c r="AN251" s="19">
        <v>2</v>
      </c>
      <c r="AO251" s="19"/>
      <c r="AP251" s="19"/>
      <c r="AQ251" s="19"/>
      <c r="AR251" s="19">
        <v>2</v>
      </c>
      <c r="AS251" s="19"/>
      <c r="AT251" s="19"/>
      <c r="AU251" s="19"/>
      <c r="AV251" s="19"/>
      <c r="AW251" s="19">
        <v>2</v>
      </c>
      <c r="AX251" s="19"/>
      <c r="AY251" s="19"/>
      <c r="AZ251" s="19"/>
      <c r="BA251" s="19">
        <v>2</v>
      </c>
      <c r="BB251" s="19"/>
      <c r="BC251" s="19"/>
      <c r="BD251" s="19"/>
      <c r="BE251" s="19">
        <v>2</v>
      </c>
      <c r="BF251" s="19"/>
      <c r="BG251" s="19"/>
      <c r="BH251" s="19"/>
      <c r="BI251" s="19"/>
      <c r="BJ251" s="19">
        <v>2</v>
      </c>
      <c r="BK251" s="19"/>
      <c r="BL251" s="19"/>
      <c r="BM251" s="19"/>
      <c r="BN251" s="19">
        <v>2</v>
      </c>
      <c r="BO251" s="19"/>
    </row>
    <row r="252" spans="1:67" ht="23.45" customHeight="1">
      <c r="A252" s="34"/>
      <c r="B252" s="35"/>
      <c r="C252" s="35"/>
      <c r="D252" s="35" t="s">
        <v>35</v>
      </c>
      <c r="E252" s="33"/>
      <c r="F252" s="33"/>
      <c r="G252" s="33"/>
      <c r="H252" s="1" t="s">
        <v>36</v>
      </c>
      <c r="I252" s="1"/>
      <c r="J252" s="1"/>
      <c r="K252" s="1"/>
      <c r="L252" s="1"/>
      <c r="M252" s="1"/>
      <c r="N252" s="1"/>
      <c r="O252" s="1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19"/>
      <c r="AJ252" s="19"/>
      <c r="AK252" s="19"/>
      <c r="AL252" s="19"/>
      <c r="AM252" s="19"/>
      <c r="AN252" s="19"/>
      <c r="AO252" s="19"/>
      <c r="AP252" s="19"/>
      <c r="AQ252" s="19"/>
      <c r="AR252" s="19"/>
      <c r="AS252" s="19"/>
      <c r="AT252" s="19"/>
      <c r="AU252" s="19"/>
      <c r="AV252" s="19"/>
      <c r="AW252" s="19"/>
      <c r="AX252" s="19"/>
      <c r="AY252" s="19"/>
      <c r="AZ252" s="19"/>
      <c r="BA252" s="19"/>
      <c r="BB252" s="19"/>
      <c r="BC252" s="19"/>
      <c r="BD252" s="19"/>
      <c r="BE252" s="19"/>
      <c r="BF252" s="19"/>
      <c r="BG252" s="19"/>
      <c r="BH252" s="19"/>
      <c r="BI252" s="19"/>
      <c r="BJ252" s="19"/>
      <c r="BK252" s="19"/>
      <c r="BL252" s="19"/>
      <c r="BM252" s="19"/>
      <c r="BN252" s="19"/>
      <c r="BO252" s="19"/>
    </row>
    <row r="253" spans="1:67" ht="23.45" customHeight="1">
      <c r="A253" s="34"/>
      <c r="B253" s="35" t="s">
        <v>242</v>
      </c>
      <c r="C253" s="35" t="s">
        <v>243</v>
      </c>
      <c r="D253" s="35" t="s">
        <v>244</v>
      </c>
      <c r="E253" s="33" t="s">
        <v>152</v>
      </c>
      <c r="F253" s="33" t="s">
        <v>31</v>
      </c>
      <c r="G253" s="33" t="s">
        <v>153</v>
      </c>
      <c r="H253" s="1" t="s">
        <v>33</v>
      </c>
      <c r="I253" s="1"/>
      <c r="J253" s="2"/>
      <c r="K253" s="1"/>
      <c r="L253" s="1"/>
      <c r="M253" s="1"/>
      <c r="N253" s="1"/>
      <c r="O253" s="1" t="s">
        <v>34</v>
      </c>
      <c r="P253" s="19">
        <v>1</v>
      </c>
      <c r="Q253" s="19">
        <v>1</v>
      </c>
      <c r="R253" s="19">
        <v>1</v>
      </c>
      <c r="S253" s="19">
        <v>1</v>
      </c>
      <c r="T253" s="19">
        <v>1</v>
      </c>
      <c r="U253" s="19">
        <v>1</v>
      </c>
      <c r="V253" s="19">
        <v>1</v>
      </c>
      <c r="W253" s="19">
        <v>1</v>
      </c>
      <c r="X253" s="19">
        <v>1</v>
      </c>
      <c r="Y253" s="19">
        <v>1</v>
      </c>
      <c r="Z253" s="19">
        <v>1</v>
      </c>
      <c r="AA253" s="19">
        <v>1</v>
      </c>
      <c r="AB253" s="19">
        <v>1</v>
      </c>
      <c r="AC253" s="19">
        <v>1</v>
      </c>
      <c r="AD253" s="19">
        <v>1</v>
      </c>
      <c r="AE253" s="19">
        <v>1</v>
      </c>
      <c r="AF253" s="19">
        <v>1</v>
      </c>
      <c r="AG253" s="19">
        <v>1</v>
      </c>
      <c r="AH253" s="19">
        <v>1</v>
      </c>
      <c r="AI253" s="19">
        <v>1</v>
      </c>
      <c r="AJ253" s="19">
        <v>1</v>
      </c>
      <c r="AK253" s="19">
        <v>1</v>
      </c>
      <c r="AL253" s="19">
        <v>1</v>
      </c>
      <c r="AM253" s="19">
        <v>1</v>
      </c>
      <c r="AN253" s="19">
        <v>1</v>
      </c>
      <c r="AO253" s="19">
        <v>1</v>
      </c>
      <c r="AP253" s="19">
        <v>1</v>
      </c>
      <c r="AQ253" s="19">
        <v>1</v>
      </c>
      <c r="AR253" s="19">
        <v>1</v>
      </c>
      <c r="AS253" s="19">
        <v>1</v>
      </c>
      <c r="AT253" s="19">
        <v>1</v>
      </c>
      <c r="AU253" s="19">
        <v>1</v>
      </c>
      <c r="AV253" s="19">
        <v>1</v>
      </c>
      <c r="AW253" s="19">
        <v>1</v>
      </c>
      <c r="AX253" s="19">
        <v>1</v>
      </c>
      <c r="AY253" s="19">
        <v>1</v>
      </c>
      <c r="AZ253" s="19">
        <v>1</v>
      </c>
      <c r="BA253" s="19">
        <v>1</v>
      </c>
      <c r="BB253" s="19">
        <v>1</v>
      </c>
      <c r="BC253" s="19">
        <v>1</v>
      </c>
      <c r="BD253" s="19">
        <v>1</v>
      </c>
      <c r="BE253" s="19">
        <v>1</v>
      </c>
      <c r="BF253" s="19">
        <v>1</v>
      </c>
      <c r="BG253" s="19">
        <v>1</v>
      </c>
      <c r="BH253" s="19">
        <v>1</v>
      </c>
      <c r="BI253" s="19">
        <v>1</v>
      </c>
      <c r="BJ253" s="19">
        <v>1</v>
      </c>
      <c r="BK253" s="19">
        <v>1</v>
      </c>
      <c r="BL253" s="19">
        <v>1</v>
      </c>
      <c r="BM253" s="19">
        <v>1</v>
      </c>
      <c r="BN253" s="19">
        <v>1</v>
      </c>
      <c r="BO253" s="19">
        <v>1</v>
      </c>
    </row>
    <row r="254" spans="1:67" ht="23.45" customHeight="1">
      <c r="A254" s="34"/>
      <c r="B254" s="35"/>
      <c r="C254" s="35"/>
      <c r="D254" s="35" t="s">
        <v>35</v>
      </c>
      <c r="E254" s="33"/>
      <c r="F254" s="33"/>
      <c r="G254" s="33"/>
      <c r="H254" s="1" t="s">
        <v>36</v>
      </c>
      <c r="I254" s="1"/>
      <c r="J254" s="1"/>
      <c r="K254" s="1"/>
      <c r="L254" s="1"/>
      <c r="M254" s="1"/>
      <c r="N254" s="1"/>
      <c r="O254" s="1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9"/>
      <c r="AJ254" s="19"/>
      <c r="AK254" s="19"/>
      <c r="AL254" s="19"/>
      <c r="AM254" s="19"/>
      <c r="AN254" s="19"/>
      <c r="AO254" s="19"/>
      <c r="AP254" s="19"/>
      <c r="AQ254" s="19"/>
      <c r="AR254" s="19"/>
      <c r="AS254" s="19"/>
      <c r="AT254" s="19"/>
      <c r="AU254" s="19"/>
      <c r="AV254" s="19"/>
      <c r="AW254" s="19"/>
      <c r="AX254" s="19"/>
      <c r="AY254" s="19"/>
      <c r="AZ254" s="19"/>
      <c r="BA254" s="19"/>
      <c r="BB254" s="19"/>
      <c r="BC254" s="19"/>
      <c r="BD254" s="19"/>
      <c r="BE254" s="19"/>
      <c r="BF254" s="19"/>
      <c r="BG254" s="19"/>
      <c r="BH254" s="19"/>
      <c r="BI254" s="19"/>
      <c r="BJ254" s="19"/>
      <c r="BK254" s="19"/>
      <c r="BL254" s="19"/>
      <c r="BM254" s="19"/>
      <c r="BN254" s="19"/>
      <c r="BO254" s="19"/>
    </row>
    <row r="255" spans="1:67" ht="23.45" customHeight="1">
      <c r="A255" s="34"/>
      <c r="B255" s="35"/>
      <c r="C255" s="35"/>
      <c r="D255" s="35" t="s">
        <v>35</v>
      </c>
      <c r="E255" s="33"/>
      <c r="F255" s="33" t="s">
        <v>57</v>
      </c>
      <c r="G255" s="33" t="s">
        <v>154</v>
      </c>
      <c r="H255" s="1" t="s">
        <v>33</v>
      </c>
      <c r="I255" s="1"/>
      <c r="J255" s="1"/>
      <c r="K255" s="1"/>
      <c r="L255" s="7"/>
      <c r="M255" s="1"/>
      <c r="N255" s="1"/>
      <c r="O255" s="1" t="s">
        <v>73</v>
      </c>
      <c r="P255" s="19"/>
      <c r="Q255" s="19"/>
      <c r="R255" s="19">
        <v>3</v>
      </c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>
        <v>3</v>
      </c>
      <c r="AF255" s="19"/>
      <c r="AG255" s="19"/>
      <c r="AH255" s="19"/>
      <c r="AI255" s="19"/>
      <c r="AJ255" s="19"/>
      <c r="AK255" s="19"/>
      <c r="AL255" s="19"/>
      <c r="AM255" s="19"/>
      <c r="AN255" s="19"/>
      <c r="AO255" s="19"/>
      <c r="AP255" s="19"/>
      <c r="AQ255" s="19"/>
      <c r="AR255" s="19">
        <v>3</v>
      </c>
      <c r="AS255" s="19"/>
      <c r="AT255" s="19"/>
      <c r="AU255" s="19"/>
      <c r="AV255" s="19"/>
      <c r="AW255" s="19"/>
      <c r="AX255" s="19"/>
      <c r="AY255" s="19"/>
      <c r="AZ255" s="19"/>
      <c r="BA255" s="19"/>
      <c r="BB255" s="19"/>
      <c r="BC255" s="19"/>
      <c r="BD255" s="19"/>
      <c r="BE255" s="19">
        <v>3</v>
      </c>
      <c r="BF255" s="19"/>
      <c r="BG255" s="19"/>
      <c r="BH255" s="19"/>
      <c r="BI255" s="19"/>
      <c r="BJ255" s="19"/>
      <c r="BK255" s="19"/>
      <c r="BL255" s="19"/>
      <c r="BM255" s="19"/>
      <c r="BN255" s="19"/>
      <c r="BO255" s="19"/>
    </row>
    <row r="256" spans="1:67" ht="23.45" customHeight="1">
      <c r="A256" s="34"/>
      <c r="B256" s="35"/>
      <c r="C256" s="35"/>
      <c r="D256" s="35" t="s">
        <v>35</v>
      </c>
      <c r="E256" s="33"/>
      <c r="F256" s="33"/>
      <c r="G256" s="33"/>
      <c r="H256" s="1" t="s">
        <v>36</v>
      </c>
      <c r="I256" s="1"/>
      <c r="J256" s="1"/>
      <c r="K256" s="1"/>
      <c r="L256" s="1"/>
      <c r="M256" s="1"/>
      <c r="N256" s="1"/>
      <c r="O256" s="1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19"/>
      <c r="AL256" s="19"/>
      <c r="AM256" s="19"/>
      <c r="AN256" s="19"/>
      <c r="AO256" s="19"/>
      <c r="AP256" s="19"/>
      <c r="AQ256" s="19"/>
      <c r="AR256" s="19"/>
      <c r="AS256" s="19"/>
      <c r="AT256" s="19"/>
      <c r="AU256" s="19"/>
      <c r="AV256" s="19"/>
      <c r="AW256" s="19"/>
      <c r="AX256" s="19"/>
      <c r="AY256" s="19"/>
      <c r="AZ256" s="19"/>
      <c r="BA256" s="19"/>
      <c r="BB256" s="19"/>
      <c r="BC256" s="19"/>
      <c r="BD256" s="19"/>
      <c r="BE256" s="19"/>
      <c r="BF256" s="19"/>
      <c r="BG256" s="19"/>
      <c r="BH256" s="19"/>
      <c r="BI256" s="19"/>
      <c r="BJ256" s="19"/>
      <c r="BK256" s="19"/>
      <c r="BL256" s="19"/>
      <c r="BM256" s="19"/>
      <c r="BN256" s="19"/>
      <c r="BO256" s="19"/>
    </row>
    <row r="257" spans="1:67" ht="23.45" customHeight="1">
      <c r="A257" s="34"/>
      <c r="B257" s="35"/>
      <c r="C257" s="35"/>
      <c r="D257" s="35" t="s">
        <v>35</v>
      </c>
      <c r="E257" s="33"/>
      <c r="F257" s="33"/>
      <c r="G257" s="33" t="s">
        <v>155</v>
      </c>
      <c r="H257" s="1" t="s">
        <v>33</v>
      </c>
      <c r="I257" s="1"/>
      <c r="J257" s="1"/>
      <c r="K257" s="1"/>
      <c r="L257" s="1"/>
      <c r="M257" s="1"/>
      <c r="N257" s="3"/>
      <c r="O257" s="1" t="s">
        <v>41</v>
      </c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19"/>
      <c r="AL257" s="19"/>
      <c r="AM257" s="19"/>
      <c r="AN257" s="19"/>
      <c r="AO257" s="19"/>
      <c r="AP257" s="19"/>
      <c r="AQ257" s="19"/>
      <c r="AR257" s="19"/>
      <c r="AS257" s="19"/>
      <c r="AT257" s="19"/>
      <c r="AU257" s="19"/>
      <c r="AV257" s="19"/>
      <c r="AW257" s="19"/>
      <c r="AX257" s="19"/>
      <c r="AY257" s="19"/>
      <c r="AZ257" s="19"/>
      <c r="BA257" s="19"/>
      <c r="BB257" s="19"/>
      <c r="BC257" s="19"/>
      <c r="BD257" s="19"/>
      <c r="BE257" s="19"/>
      <c r="BF257" s="19"/>
      <c r="BG257" s="19"/>
      <c r="BH257" s="19"/>
      <c r="BI257" s="19"/>
      <c r="BJ257" s="19">
        <v>5</v>
      </c>
      <c r="BK257" s="19"/>
      <c r="BL257" s="19"/>
      <c r="BM257" s="19"/>
      <c r="BN257" s="19"/>
      <c r="BO257" s="19"/>
    </row>
    <row r="258" spans="1:67" ht="23.45" customHeight="1">
      <c r="A258" s="34"/>
      <c r="B258" s="35"/>
      <c r="C258" s="35"/>
      <c r="D258" s="35" t="s">
        <v>35</v>
      </c>
      <c r="E258" s="33"/>
      <c r="F258" s="33"/>
      <c r="G258" s="33"/>
      <c r="H258" s="1" t="s">
        <v>36</v>
      </c>
      <c r="I258" s="1"/>
      <c r="J258" s="1"/>
      <c r="K258" s="1"/>
      <c r="L258" s="1"/>
      <c r="M258" s="1"/>
      <c r="N258" s="1"/>
      <c r="O258" s="1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19"/>
      <c r="BJ258" s="19"/>
      <c r="BK258" s="19"/>
      <c r="BL258" s="19"/>
      <c r="BM258" s="19"/>
      <c r="BN258" s="19"/>
      <c r="BO258" s="19"/>
    </row>
    <row r="259" spans="1:67" ht="23.45" customHeight="1">
      <c r="A259" s="34"/>
      <c r="B259" s="35"/>
      <c r="C259" s="35"/>
      <c r="D259" s="35" t="s">
        <v>35</v>
      </c>
      <c r="E259" s="33"/>
      <c r="F259" s="33" t="s">
        <v>156</v>
      </c>
      <c r="G259" s="33" t="s">
        <v>157</v>
      </c>
      <c r="H259" s="1" t="s">
        <v>33</v>
      </c>
      <c r="I259" s="1"/>
      <c r="J259" s="1"/>
      <c r="K259" s="5"/>
      <c r="L259" s="1"/>
      <c r="M259" s="1"/>
      <c r="N259" s="1"/>
      <c r="O259" s="1" t="s">
        <v>46</v>
      </c>
      <c r="P259" s="19"/>
      <c r="Q259" s="19"/>
      <c r="R259" s="19">
        <v>2</v>
      </c>
      <c r="S259" s="19"/>
      <c r="T259" s="19"/>
      <c r="U259" s="19"/>
      <c r="V259" s="19"/>
      <c r="W259" s="19">
        <v>2</v>
      </c>
      <c r="X259" s="19"/>
      <c r="Y259" s="19"/>
      <c r="Z259" s="19"/>
      <c r="AA259" s="19">
        <v>2</v>
      </c>
      <c r="AB259" s="19"/>
      <c r="AC259" s="19"/>
      <c r="AD259" s="19"/>
      <c r="AE259" s="19">
        <v>2</v>
      </c>
      <c r="AF259" s="19"/>
      <c r="AG259" s="19"/>
      <c r="AH259" s="19"/>
      <c r="AI259" s="19">
        <v>2</v>
      </c>
      <c r="AJ259" s="19"/>
      <c r="AK259" s="19"/>
      <c r="AL259" s="19"/>
      <c r="AM259" s="19"/>
      <c r="AN259" s="19">
        <v>2</v>
      </c>
      <c r="AO259" s="19"/>
      <c r="AP259" s="19"/>
      <c r="AQ259" s="19"/>
      <c r="AR259" s="19">
        <v>2</v>
      </c>
      <c r="AS259" s="19"/>
      <c r="AT259" s="19"/>
      <c r="AU259" s="19"/>
      <c r="AV259" s="19"/>
      <c r="AW259" s="19">
        <v>2</v>
      </c>
      <c r="AX259" s="19"/>
      <c r="AY259" s="19"/>
      <c r="AZ259" s="19"/>
      <c r="BA259" s="19">
        <v>2</v>
      </c>
      <c r="BB259" s="19"/>
      <c r="BC259" s="19"/>
      <c r="BD259" s="19"/>
      <c r="BE259" s="19">
        <v>2</v>
      </c>
      <c r="BF259" s="19"/>
      <c r="BG259" s="19"/>
      <c r="BH259" s="19"/>
      <c r="BI259" s="19"/>
      <c r="BJ259" s="19">
        <v>2</v>
      </c>
      <c r="BK259" s="19"/>
      <c r="BL259" s="19"/>
      <c r="BM259" s="19"/>
      <c r="BN259" s="19">
        <v>2</v>
      </c>
      <c r="BO259" s="19"/>
    </row>
    <row r="260" spans="1:67" ht="23.45" customHeight="1">
      <c r="A260" s="34"/>
      <c r="B260" s="35"/>
      <c r="C260" s="35"/>
      <c r="D260" s="35" t="s">
        <v>35</v>
      </c>
      <c r="E260" s="33"/>
      <c r="F260" s="33"/>
      <c r="G260" s="33"/>
      <c r="H260" s="1" t="s">
        <v>36</v>
      </c>
      <c r="I260" s="1"/>
      <c r="J260" s="1"/>
      <c r="K260" s="1"/>
      <c r="L260" s="1"/>
      <c r="M260" s="1"/>
      <c r="N260" s="1"/>
      <c r="O260" s="1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  <c r="AE260" s="19"/>
      <c r="AF260" s="19"/>
      <c r="AG260" s="19"/>
      <c r="AH260" s="19"/>
      <c r="AI260" s="19"/>
      <c r="AJ260" s="19"/>
      <c r="AK260" s="19"/>
      <c r="AL260" s="19"/>
      <c r="AM260" s="19"/>
      <c r="AN260" s="19"/>
      <c r="AO260" s="19"/>
      <c r="AP260" s="19"/>
      <c r="AQ260" s="19"/>
      <c r="AR260" s="19"/>
      <c r="AS260" s="19"/>
      <c r="AT260" s="19"/>
      <c r="AU260" s="19"/>
      <c r="AV260" s="19"/>
      <c r="AW260" s="19"/>
      <c r="AX260" s="19"/>
      <c r="AY260" s="19"/>
      <c r="AZ260" s="19"/>
      <c r="BA260" s="19"/>
      <c r="BB260" s="19"/>
      <c r="BC260" s="19"/>
      <c r="BD260" s="19"/>
      <c r="BE260" s="19"/>
      <c r="BF260" s="19"/>
      <c r="BG260" s="19"/>
      <c r="BH260" s="19"/>
      <c r="BI260" s="19"/>
      <c r="BJ260" s="19"/>
      <c r="BK260" s="19"/>
      <c r="BL260" s="19"/>
      <c r="BM260" s="19"/>
      <c r="BN260" s="19"/>
      <c r="BO260" s="19"/>
    </row>
    <row r="261" spans="1:67" ht="21" customHeight="1">
      <c r="A261" s="34"/>
      <c r="B261" s="35" t="s">
        <v>245</v>
      </c>
      <c r="C261" s="35" t="s">
        <v>246</v>
      </c>
      <c r="D261" s="35" t="s">
        <v>247</v>
      </c>
      <c r="E261" s="33" t="s">
        <v>248</v>
      </c>
      <c r="F261" s="33" t="s">
        <v>111</v>
      </c>
      <c r="G261" s="33" t="s">
        <v>56</v>
      </c>
      <c r="H261" s="1" t="s">
        <v>33</v>
      </c>
      <c r="I261" s="1"/>
      <c r="J261" s="2"/>
      <c r="K261" s="1"/>
      <c r="L261" s="1"/>
      <c r="M261" s="1"/>
      <c r="N261" s="1"/>
      <c r="O261" s="1" t="s">
        <v>34</v>
      </c>
      <c r="P261" s="19">
        <v>1</v>
      </c>
      <c r="Q261" s="19">
        <v>1</v>
      </c>
      <c r="R261" s="19">
        <v>1</v>
      </c>
      <c r="S261" s="19">
        <v>1</v>
      </c>
      <c r="T261" s="19">
        <v>1</v>
      </c>
      <c r="U261" s="19">
        <v>1</v>
      </c>
      <c r="V261" s="19">
        <v>1</v>
      </c>
      <c r="W261" s="19">
        <v>1</v>
      </c>
      <c r="X261" s="19">
        <v>1</v>
      </c>
      <c r="Y261" s="19">
        <v>1</v>
      </c>
      <c r="Z261" s="19">
        <v>1</v>
      </c>
      <c r="AA261" s="19">
        <v>1</v>
      </c>
      <c r="AB261" s="19">
        <v>1</v>
      </c>
      <c r="AC261" s="19">
        <v>1</v>
      </c>
      <c r="AD261" s="19">
        <v>1</v>
      </c>
      <c r="AE261" s="19">
        <v>1</v>
      </c>
      <c r="AF261" s="19">
        <v>1</v>
      </c>
      <c r="AG261" s="19">
        <v>1</v>
      </c>
      <c r="AH261" s="19">
        <v>1</v>
      </c>
      <c r="AI261" s="19">
        <v>1</v>
      </c>
      <c r="AJ261" s="19">
        <v>1</v>
      </c>
      <c r="AK261" s="19">
        <v>1</v>
      </c>
      <c r="AL261" s="19">
        <v>1</v>
      </c>
      <c r="AM261" s="19">
        <v>1</v>
      </c>
      <c r="AN261" s="19">
        <v>1</v>
      </c>
      <c r="AO261" s="19">
        <v>1</v>
      </c>
      <c r="AP261" s="19">
        <v>1</v>
      </c>
      <c r="AQ261" s="19">
        <v>1</v>
      </c>
      <c r="AR261" s="19">
        <v>1</v>
      </c>
      <c r="AS261" s="19">
        <v>1</v>
      </c>
      <c r="AT261" s="19">
        <v>1</v>
      </c>
      <c r="AU261" s="19">
        <v>1</v>
      </c>
      <c r="AV261" s="19">
        <v>1</v>
      </c>
      <c r="AW261" s="19">
        <v>1</v>
      </c>
      <c r="AX261" s="19">
        <v>1</v>
      </c>
      <c r="AY261" s="19">
        <v>1</v>
      </c>
      <c r="AZ261" s="19">
        <v>1</v>
      </c>
      <c r="BA261" s="19">
        <v>1</v>
      </c>
      <c r="BB261" s="19">
        <v>1</v>
      </c>
      <c r="BC261" s="19">
        <v>1</v>
      </c>
      <c r="BD261" s="19">
        <v>1</v>
      </c>
      <c r="BE261" s="19">
        <v>1</v>
      </c>
      <c r="BF261" s="19">
        <v>1</v>
      </c>
      <c r="BG261" s="19">
        <v>1</v>
      </c>
      <c r="BH261" s="19">
        <v>1</v>
      </c>
      <c r="BI261" s="19">
        <v>1</v>
      </c>
      <c r="BJ261" s="19">
        <v>1</v>
      </c>
      <c r="BK261" s="19">
        <v>1</v>
      </c>
      <c r="BL261" s="19">
        <v>1</v>
      </c>
      <c r="BM261" s="19">
        <v>1</v>
      </c>
      <c r="BN261" s="19">
        <v>1</v>
      </c>
      <c r="BO261" s="19">
        <v>1</v>
      </c>
    </row>
    <row r="262" spans="1:67" ht="21" customHeight="1">
      <c r="A262" s="34"/>
      <c r="B262" s="35"/>
      <c r="C262" s="35"/>
      <c r="D262" s="35" t="s">
        <v>35</v>
      </c>
      <c r="E262" s="33"/>
      <c r="F262" s="33"/>
      <c r="G262" s="33"/>
      <c r="H262" s="1" t="s">
        <v>36</v>
      </c>
      <c r="I262" s="1"/>
      <c r="J262" s="1"/>
      <c r="K262" s="1"/>
      <c r="L262" s="1"/>
      <c r="M262" s="1"/>
      <c r="N262" s="1"/>
      <c r="O262" s="1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  <c r="AH262" s="19"/>
      <c r="AI262" s="19"/>
      <c r="AJ262" s="19"/>
      <c r="AK262" s="19"/>
      <c r="AL262" s="19"/>
      <c r="AM262" s="19"/>
      <c r="AN262" s="19"/>
      <c r="AO262" s="19"/>
      <c r="AP262" s="19"/>
      <c r="AQ262" s="19"/>
      <c r="AR262" s="19"/>
      <c r="AS262" s="19"/>
      <c r="AT262" s="19"/>
      <c r="AU262" s="19"/>
      <c r="AV262" s="19"/>
      <c r="AW262" s="19"/>
      <c r="AX262" s="19"/>
      <c r="AY262" s="19"/>
      <c r="AZ262" s="19"/>
      <c r="BA262" s="19"/>
      <c r="BB262" s="19"/>
      <c r="BC262" s="19"/>
      <c r="BD262" s="19"/>
      <c r="BE262" s="19"/>
      <c r="BF262" s="19"/>
      <c r="BG262" s="19"/>
      <c r="BH262" s="19"/>
      <c r="BI262" s="19"/>
      <c r="BJ262" s="19"/>
      <c r="BK262" s="19"/>
      <c r="BL262" s="19"/>
      <c r="BM262" s="19"/>
      <c r="BN262" s="19"/>
      <c r="BO262" s="19"/>
    </row>
    <row r="263" spans="1:67" ht="21" customHeight="1">
      <c r="A263" s="34"/>
      <c r="B263" s="35" t="s">
        <v>249</v>
      </c>
      <c r="C263" s="35" t="s">
        <v>250</v>
      </c>
      <c r="D263" s="35" t="s">
        <v>251</v>
      </c>
      <c r="E263" s="33" t="s">
        <v>248</v>
      </c>
      <c r="F263" s="33" t="s">
        <v>111</v>
      </c>
      <c r="G263" s="33" t="s">
        <v>56</v>
      </c>
      <c r="H263" s="1" t="s">
        <v>33</v>
      </c>
      <c r="I263" s="1"/>
      <c r="J263" s="2"/>
      <c r="K263" s="1"/>
      <c r="L263" s="1"/>
      <c r="M263" s="1"/>
      <c r="N263" s="1"/>
      <c r="O263" s="1" t="s">
        <v>34</v>
      </c>
      <c r="P263" s="19">
        <v>1</v>
      </c>
      <c r="Q263" s="19">
        <v>1</v>
      </c>
      <c r="R263" s="19">
        <v>1</v>
      </c>
      <c r="S263" s="19">
        <v>1</v>
      </c>
      <c r="T263" s="19">
        <v>1</v>
      </c>
      <c r="U263" s="19">
        <v>1</v>
      </c>
      <c r="V263" s="19">
        <v>1</v>
      </c>
      <c r="W263" s="19">
        <v>1</v>
      </c>
      <c r="X263" s="19">
        <v>1</v>
      </c>
      <c r="Y263" s="19">
        <v>1</v>
      </c>
      <c r="Z263" s="19">
        <v>1</v>
      </c>
      <c r="AA263" s="19">
        <v>1</v>
      </c>
      <c r="AB263" s="19">
        <v>1</v>
      </c>
      <c r="AC263" s="19">
        <v>1</v>
      </c>
      <c r="AD263" s="19">
        <v>1</v>
      </c>
      <c r="AE263" s="19">
        <v>1</v>
      </c>
      <c r="AF263" s="19">
        <v>1</v>
      </c>
      <c r="AG263" s="19">
        <v>1</v>
      </c>
      <c r="AH263" s="19">
        <v>1</v>
      </c>
      <c r="AI263" s="19">
        <v>1</v>
      </c>
      <c r="AJ263" s="19">
        <v>1</v>
      </c>
      <c r="AK263" s="19">
        <v>1</v>
      </c>
      <c r="AL263" s="19">
        <v>1</v>
      </c>
      <c r="AM263" s="19">
        <v>1</v>
      </c>
      <c r="AN263" s="19">
        <v>1</v>
      </c>
      <c r="AO263" s="19">
        <v>1</v>
      </c>
      <c r="AP263" s="19">
        <v>1</v>
      </c>
      <c r="AQ263" s="19">
        <v>1</v>
      </c>
      <c r="AR263" s="19">
        <v>1</v>
      </c>
      <c r="AS263" s="19">
        <v>1</v>
      </c>
      <c r="AT263" s="19">
        <v>1</v>
      </c>
      <c r="AU263" s="19">
        <v>1</v>
      </c>
      <c r="AV263" s="19">
        <v>1</v>
      </c>
      <c r="AW263" s="19">
        <v>1</v>
      </c>
      <c r="AX263" s="19">
        <v>1</v>
      </c>
      <c r="AY263" s="19">
        <v>1</v>
      </c>
      <c r="AZ263" s="19">
        <v>1</v>
      </c>
      <c r="BA263" s="19">
        <v>1</v>
      </c>
      <c r="BB263" s="19">
        <v>1</v>
      </c>
      <c r="BC263" s="19">
        <v>1</v>
      </c>
      <c r="BD263" s="19">
        <v>1</v>
      </c>
      <c r="BE263" s="19">
        <v>1</v>
      </c>
      <c r="BF263" s="19">
        <v>1</v>
      </c>
      <c r="BG263" s="19">
        <v>1</v>
      </c>
      <c r="BH263" s="19">
        <v>1</v>
      </c>
      <c r="BI263" s="19">
        <v>1</v>
      </c>
      <c r="BJ263" s="19">
        <v>1</v>
      </c>
      <c r="BK263" s="19">
        <v>1</v>
      </c>
      <c r="BL263" s="19">
        <v>1</v>
      </c>
      <c r="BM263" s="19">
        <v>1</v>
      </c>
      <c r="BN263" s="19">
        <v>1</v>
      </c>
      <c r="BO263" s="19">
        <v>1</v>
      </c>
    </row>
    <row r="264" spans="1:67" ht="21" customHeight="1">
      <c r="A264" s="34"/>
      <c r="B264" s="35"/>
      <c r="C264" s="35"/>
      <c r="D264" s="35" t="s">
        <v>35</v>
      </c>
      <c r="E264" s="33"/>
      <c r="F264" s="33"/>
      <c r="G264" s="33"/>
      <c r="H264" s="1" t="s">
        <v>36</v>
      </c>
      <c r="I264" s="1"/>
      <c r="J264" s="1"/>
      <c r="K264" s="1"/>
      <c r="L264" s="1"/>
      <c r="M264" s="1"/>
      <c r="N264" s="1"/>
      <c r="O264" s="1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/>
      <c r="AG264" s="19"/>
      <c r="AH264" s="19"/>
      <c r="AI264" s="19"/>
      <c r="AJ264" s="19"/>
      <c r="AK264" s="19"/>
      <c r="AL264" s="19"/>
      <c r="AM264" s="19"/>
      <c r="AN264" s="19"/>
      <c r="AO264" s="19"/>
      <c r="AP264" s="19"/>
      <c r="AQ264" s="19"/>
      <c r="AR264" s="19"/>
      <c r="AS264" s="19"/>
      <c r="AT264" s="19"/>
      <c r="AU264" s="19"/>
      <c r="AV264" s="19"/>
      <c r="AW264" s="19"/>
      <c r="AX264" s="19"/>
      <c r="AY264" s="19"/>
      <c r="AZ264" s="19"/>
      <c r="BA264" s="19"/>
      <c r="BB264" s="19"/>
      <c r="BC264" s="19"/>
      <c r="BD264" s="19"/>
      <c r="BE264" s="19"/>
      <c r="BF264" s="19"/>
      <c r="BG264" s="19"/>
      <c r="BH264" s="19"/>
      <c r="BI264" s="19"/>
      <c r="BJ264" s="19"/>
      <c r="BK264" s="19"/>
      <c r="BL264" s="19"/>
      <c r="BM264" s="19"/>
      <c r="BN264" s="19"/>
      <c r="BO264" s="19"/>
    </row>
    <row r="265" spans="1:67" ht="21" customHeight="1">
      <c r="A265" s="34"/>
      <c r="B265" s="35" t="s">
        <v>252</v>
      </c>
      <c r="C265" s="35" t="s">
        <v>253</v>
      </c>
      <c r="D265" s="35" t="s">
        <v>254</v>
      </c>
      <c r="E265" s="33" t="s">
        <v>255</v>
      </c>
      <c r="F265" s="33" t="s">
        <v>31</v>
      </c>
      <c r="G265" s="33" t="s">
        <v>32</v>
      </c>
      <c r="H265" s="1" t="s">
        <v>33</v>
      </c>
      <c r="I265" s="6"/>
      <c r="J265" s="2"/>
      <c r="K265" s="6"/>
      <c r="L265" s="6"/>
      <c r="M265" s="6"/>
      <c r="N265" s="6"/>
      <c r="O265" s="1" t="s">
        <v>34</v>
      </c>
      <c r="P265" s="19">
        <v>1</v>
      </c>
      <c r="Q265" s="19">
        <v>1</v>
      </c>
      <c r="R265" s="19">
        <v>1</v>
      </c>
      <c r="S265" s="19">
        <v>1</v>
      </c>
      <c r="T265" s="19">
        <v>1</v>
      </c>
      <c r="U265" s="19">
        <v>1</v>
      </c>
      <c r="V265" s="19">
        <v>1</v>
      </c>
      <c r="W265" s="19">
        <v>1</v>
      </c>
      <c r="X265" s="19">
        <v>1</v>
      </c>
      <c r="Y265" s="19">
        <v>1</v>
      </c>
      <c r="Z265" s="19">
        <v>1</v>
      </c>
      <c r="AA265" s="19">
        <v>1</v>
      </c>
      <c r="AB265" s="19">
        <v>1</v>
      </c>
      <c r="AC265" s="19">
        <v>1</v>
      </c>
      <c r="AD265" s="19">
        <v>1</v>
      </c>
      <c r="AE265" s="19">
        <v>1</v>
      </c>
      <c r="AF265" s="19">
        <v>1</v>
      </c>
      <c r="AG265" s="19">
        <v>1</v>
      </c>
      <c r="AH265" s="19">
        <v>1</v>
      </c>
      <c r="AI265" s="19">
        <v>1</v>
      </c>
      <c r="AJ265" s="19">
        <v>1</v>
      </c>
      <c r="AK265" s="19">
        <v>1</v>
      </c>
      <c r="AL265" s="19">
        <v>1</v>
      </c>
      <c r="AM265" s="19">
        <v>1</v>
      </c>
      <c r="AN265" s="19">
        <v>1</v>
      </c>
      <c r="AO265" s="19">
        <v>1</v>
      </c>
      <c r="AP265" s="19">
        <v>1</v>
      </c>
      <c r="AQ265" s="19">
        <v>1</v>
      </c>
      <c r="AR265" s="19">
        <v>1</v>
      </c>
      <c r="AS265" s="19">
        <v>1</v>
      </c>
      <c r="AT265" s="19">
        <v>1</v>
      </c>
      <c r="AU265" s="19">
        <v>1</v>
      </c>
      <c r="AV265" s="19">
        <v>1</v>
      </c>
      <c r="AW265" s="19">
        <v>1</v>
      </c>
      <c r="AX265" s="19">
        <v>1</v>
      </c>
      <c r="AY265" s="19">
        <v>1</v>
      </c>
      <c r="AZ265" s="19">
        <v>1</v>
      </c>
      <c r="BA265" s="19">
        <v>1</v>
      </c>
      <c r="BB265" s="19">
        <v>1</v>
      </c>
      <c r="BC265" s="19">
        <v>1</v>
      </c>
      <c r="BD265" s="19">
        <v>1</v>
      </c>
      <c r="BE265" s="19">
        <v>1</v>
      </c>
      <c r="BF265" s="19">
        <v>1</v>
      </c>
      <c r="BG265" s="19">
        <v>1</v>
      </c>
      <c r="BH265" s="19">
        <v>1</v>
      </c>
      <c r="BI265" s="19">
        <v>1</v>
      </c>
      <c r="BJ265" s="19">
        <v>1</v>
      </c>
      <c r="BK265" s="19">
        <v>1</v>
      </c>
      <c r="BL265" s="19">
        <v>1</v>
      </c>
      <c r="BM265" s="19">
        <v>1</v>
      </c>
      <c r="BN265" s="19">
        <v>1</v>
      </c>
      <c r="BO265" s="19">
        <v>1</v>
      </c>
    </row>
    <row r="266" spans="1:67" ht="21" customHeight="1">
      <c r="A266" s="34"/>
      <c r="B266" s="35"/>
      <c r="C266" s="35"/>
      <c r="D266" s="35" t="s">
        <v>35</v>
      </c>
      <c r="E266" s="33"/>
      <c r="F266" s="33"/>
      <c r="G266" s="33"/>
      <c r="H266" s="1" t="s">
        <v>36</v>
      </c>
      <c r="I266" s="6"/>
      <c r="J266" s="6"/>
      <c r="K266" s="6"/>
      <c r="L266" s="6"/>
      <c r="M266" s="6"/>
      <c r="N266" s="6"/>
      <c r="O266" s="1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  <c r="AH266" s="19"/>
      <c r="AI266" s="19"/>
      <c r="AJ266" s="19"/>
      <c r="AK266" s="19"/>
      <c r="AL266" s="19"/>
      <c r="AM266" s="19"/>
      <c r="AN266" s="19"/>
      <c r="AO266" s="19"/>
      <c r="AP266" s="19"/>
      <c r="AQ266" s="19"/>
      <c r="AR266" s="19"/>
      <c r="AS266" s="19"/>
      <c r="AT266" s="19"/>
      <c r="AU266" s="19"/>
      <c r="AV266" s="19"/>
      <c r="AW266" s="19"/>
      <c r="AX266" s="19"/>
      <c r="AY266" s="19"/>
      <c r="AZ266" s="19"/>
      <c r="BA266" s="19"/>
      <c r="BB266" s="19"/>
      <c r="BC266" s="19"/>
      <c r="BD266" s="19"/>
      <c r="BE266" s="19"/>
      <c r="BF266" s="19"/>
      <c r="BG266" s="19"/>
      <c r="BH266" s="19"/>
      <c r="BI266" s="19"/>
      <c r="BJ266" s="19"/>
      <c r="BK266" s="19"/>
      <c r="BL266" s="19"/>
      <c r="BM266" s="19"/>
      <c r="BN266" s="19"/>
      <c r="BO266" s="19"/>
    </row>
    <row r="267" spans="1:67" ht="21" customHeight="1">
      <c r="A267" s="34"/>
      <c r="B267" s="35"/>
      <c r="C267" s="35"/>
      <c r="D267" s="35" t="s">
        <v>35</v>
      </c>
      <c r="E267" s="33"/>
      <c r="F267" s="33" t="s">
        <v>105</v>
      </c>
      <c r="G267" s="33" t="s">
        <v>256</v>
      </c>
      <c r="H267" s="1" t="s">
        <v>33</v>
      </c>
      <c r="I267" s="6"/>
      <c r="J267" s="6"/>
      <c r="K267" s="6"/>
      <c r="L267" s="7"/>
      <c r="M267" s="6"/>
      <c r="N267" s="6"/>
      <c r="O267" s="1" t="s">
        <v>257</v>
      </c>
      <c r="P267" s="19"/>
      <c r="Q267" s="19"/>
      <c r="R267" s="19">
        <v>3</v>
      </c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>
        <v>3</v>
      </c>
      <c r="AF267" s="19"/>
      <c r="AG267" s="19"/>
      <c r="AH267" s="19"/>
      <c r="AI267" s="19"/>
      <c r="AJ267" s="19"/>
      <c r="AK267" s="19"/>
      <c r="AL267" s="19"/>
      <c r="AM267" s="19"/>
      <c r="AN267" s="19"/>
      <c r="AO267" s="19"/>
      <c r="AP267" s="19"/>
      <c r="AQ267" s="19"/>
      <c r="AR267" s="19">
        <v>3</v>
      </c>
      <c r="AS267" s="19"/>
      <c r="AT267" s="19"/>
      <c r="AU267" s="19"/>
      <c r="AV267" s="19"/>
      <c r="AW267" s="19"/>
      <c r="AX267" s="19"/>
      <c r="AY267" s="19"/>
      <c r="AZ267" s="19"/>
      <c r="BA267" s="19"/>
      <c r="BB267" s="19"/>
      <c r="BC267" s="19"/>
      <c r="BD267" s="19"/>
      <c r="BE267" s="19">
        <v>3</v>
      </c>
      <c r="BF267" s="19"/>
      <c r="BG267" s="19"/>
      <c r="BH267" s="19"/>
      <c r="BI267" s="19"/>
      <c r="BJ267" s="19"/>
      <c r="BK267" s="19"/>
      <c r="BL267" s="19"/>
      <c r="BM267" s="19"/>
      <c r="BN267" s="19"/>
      <c r="BO267" s="19"/>
    </row>
    <row r="268" spans="1:67" ht="21" customHeight="1">
      <c r="A268" s="34"/>
      <c r="B268" s="35"/>
      <c r="C268" s="35"/>
      <c r="D268" s="35" t="s">
        <v>35</v>
      </c>
      <c r="E268" s="33"/>
      <c r="F268" s="33"/>
      <c r="G268" s="33"/>
      <c r="H268" s="1" t="s">
        <v>36</v>
      </c>
      <c r="I268" s="6"/>
      <c r="J268" s="6"/>
      <c r="K268" s="6"/>
      <c r="L268" s="6"/>
      <c r="M268" s="6"/>
      <c r="N268" s="6"/>
      <c r="O268" s="6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  <c r="AH268" s="19"/>
      <c r="AI268" s="19"/>
      <c r="AJ268" s="19"/>
      <c r="AK268" s="19"/>
      <c r="AL268" s="19"/>
      <c r="AM268" s="19"/>
      <c r="AN268" s="19"/>
      <c r="AO268" s="19"/>
      <c r="AP268" s="19"/>
      <c r="AQ268" s="19"/>
      <c r="AR268" s="19"/>
      <c r="AS268" s="19"/>
      <c r="AT268" s="19"/>
      <c r="AU268" s="19"/>
      <c r="AV268" s="19"/>
      <c r="AW268" s="19"/>
      <c r="AX268" s="19"/>
      <c r="AY268" s="19"/>
      <c r="AZ268" s="19"/>
      <c r="BA268" s="19"/>
      <c r="BB268" s="19"/>
      <c r="BC268" s="19"/>
      <c r="BD268" s="19"/>
      <c r="BE268" s="19"/>
      <c r="BF268" s="19"/>
      <c r="BG268" s="19"/>
      <c r="BH268" s="19"/>
      <c r="BI268" s="19"/>
      <c r="BJ268" s="19"/>
      <c r="BK268" s="19"/>
      <c r="BL268" s="19"/>
      <c r="BM268" s="19"/>
      <c r="BN268" s="19"/>
      <c r="BO268" s="19"/>
    </row>
    <row r="269" spans="1:67" ht="21" customHeight="1">
      <c r="A269" s="34"/>
      <c r="B269" s="35"/>
      <c r="C269" s="35"/>
      <c r="D269" s="35" t="s">
        <v>35</v>
      </c>
      <c r="E269" s="33"/>
      <c r="F269" s="33" t="s">
        <v>258</v>
      </c>
      <c r="G269" s="33" t="s">
        <v>256</v>
      </c>
      <c r="H269" s="1" t="s">
        <v>33</v>
      </c>
      <c r="I269" s="6"/>
      <c r="J269" s="2"/>
      <c r="K269" s="6"/>
      <c r="L269" s="6"/>
      <c r="M269" s="6"/>
      <c r="N269" s="6"/>
      <c r="O269" s="1" t="s">
        <v>9</v>
      </c>
      <c r="P269" s="19">
        <v>1</v>
      </c>
      <c r="Q269" s="19">
        <v>1</v>
      </c>
      <c r="R269" s="19">
        <v>1</v>
      </c>
      <c r="S269" s="19">
        <v>1</v>
      </c>
      <c r="T269" s="19">
        <v>1</v>
      </c>
      <c r="U269" s="19">
        <v>1</v>
      </c>
      <c r="V269" s="19">
        <v>1</v>
      </c>
      <c r="W269" s="19">
        <v>1</v>
      </c>
      <c r="X269" s="19">
        <v>1</v>
      </c>
      <c r="Y269" s="19">
        <v>1</v>
      </c>
      <c r="Z269" s="19">
        <v>1</v>
      </c>
      <c r="AA269" s="19">
        <v>1</v>
      </c>
      <c r="AB269" s="19">
        <v>1</v>
      </c>
      <c r="AC269" s="19">
        <v>1</v>
      </c>
      <c r="AD269" s="19">
        <v>1</v>
      </c>
      <c r="AE269" s="19">
        <v>1</v>
      </c>
      <c r="AF269" s="19">
        <v>1</v>
      </c>
      <c r="AG269" s="19">
        <v>1</v>
      </c>
      <c r="AH269" s="19">
        <v>1</v>
      </c>
      <c r="AI269" s="19">
        <v>1</v>
      </c>
      <c r="AJ269" s="19">
        <v>1</v>
      </c>
      <c r="AK269" s="19">
        <v>1</v>
      </c>
      <c r="AL269" s="19">
        <v>1</v>
      </c>
      <c r="AM269" s="19">
        <v>1</v>
      </c>
      <c r="AN269" s="19">
        <v>1</v>
      </c>
      <c r="AO269" s="19">
        <v>1</v>
      </c>
      <c r="AP269" s="19">
        <v>1</v>
      </c>
      <c r="AQ269" s="19">
        <v>1</v>
      </c>
      <c r="AR269" s="19">
        <v>1</v>
      </c>
      <c r="AS269" s="19">
        <v>1</v>
      </c>
      <c r="AT269" s="19">
        <v>1</v>
      </c>
      <c r="AU269" s="19">
        <v>1</v>
      </c>
      <c r="AV269" s="19">
        <v>1</v>
      </c>
      <c r="AW269" s="19">
        <v>1</v>
      </c>
      <c r="AX269" s="19">
        <v>1</v>
      </c>
      <c r="AY269" s="19">
        <v>1</v>
      </c>
      <c r="AZ269" s="19">
        <v>1</v>
      </c>
      <c r="BA269" s="19">
        <v>1</v>
      </c>
      <c r="BB269" s="19">
        <v>1</v>
      </c>
      <c r="BC269" s="19">
        <v>1</v>
      </c>
      <c r="BD269" s="19">
        <v>1</v>
      </c>
      <c r="BE269" s="19">
        <v>1</v>
      </c>
      <c r="BF269" s="19">
        <v>1</v>
      </c>
      <c r="BG269" s="19">
        <v>1</v>
      </c>
      <c r="BH269" s="19">
        <v>1</v>
      </c>
      <c r="BI269" s="19">
        <v>1</v>
      </c>
      <c r="BJ269" s="19">
        <v>1</v>
      </c>
      <c r="BK269" s="19">
        <v>1</v>
      </c>
      <c r="BL269" s="19">
        <v>1</v>
      </c>
      <c r="BM269" s="19">
        <v>1</v>
      </c>
      <c r="BN269" s="19">
        <v>1</v>
      </c>
      <c r="BO269" s="19">
        <v>1</v>
      </c>
    </row>
    <row r="270" spans="1:67" ht="21.6" customHeight="1">
      <c r="A270" s="34"/>
      <c r="B270" s="35"/>
      <c r="C270" s="35"/>
      <c r="D270" s="35" t="s">
        <v>35</v>
      </c>
      <c r="E270" s="33"/>
      <c r="F270" s="33"/>
      <c r="G270" s="33"/>
      <c r="H270" s="1" t="s">
        <v>36</v>
      </c>
      <c r="I270" s="6"/>
      <c r="J270" s="6"/>
      <c r="K270" s="6"/>
      <c r="L270" s="6"/>
      <c r="M270" s="6"/>
      <c r="N270" s="6"/>
      <c r="O270" s="6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  <c r="AF270" s="19"/>
      <c r="AG270" s="19"/>
      <c r="AH270" s="19"/>
      <c r="AI270" s="19"/>
      <c r="AJ270" s="19"/>
      <c r="AK270" s="19"/>
      <c r="AL270" s="19"/>
      <c r="AM270" s="19"/>
      <c r="AN270" s="19"/>
      <c r="AO270" s="19"/>
      <c r="AP270" s="19"/>
      <c r="AQ270" s="19"/>
      <c r="AR270" s="19"/>
      <c r="AS270" s="19"/>
      <c r="AT270" s="19"/>
      <c r="AU270" s="19"/>
      <c r="AV270" s="19"/>
      <c r="AW270" s="19"/>
      <c r="AX270" s="19"/>
      <c r="AY270" s="19"/>
      <c r="AZ270" s="19"/>
      <c r="BA270" s="19"/>
      <c r="BB270" s="19"/>
      <c r="BC270" s="19"/>
      <c r="BD270" s="19"/>
      <c r="BE270" s="19"/>
      <c r="BF270" s="19"/>
      <c r="BG270" s="19"/>
      <c r="BH270" s="19"/>
      <c r="BI270" s="19"/>
      <c r="BJ270" s="19"/>
      <c r="BK270" s="19"/>
      <c r="BL270" s="19"/>
      <c r="BM270" s="19"/>
      <c r="BN270" s="19"/>
      <c r="BO270" s="19"/>
    </row>
    <row r="271" spans="1:67" ht="21.6" customHeight="1">
      <c r="A271" s="34"/>
      <c r="B271" s="32" t="s">
        <v>259</v>
      </c>
      <c r="C271" s="32" t="s">
        <v>260</v>
      </c>
      <c r="D271" s="32" t="s">
        <v>261</v>
      </c>
      <c r="E271" s="33" t="s">
        <v>262</v>
      </c>
      <c r="F271" s="33" t="s">
        <v>31</v>
      </c>
      <c r="G271" s="33" t="s">
        <v>153</v>
      </c>
      <c r="H271" s="1" t="s">
        <v>33</v>
      </c>
      <c r="I271" s="1"/>
      <c r="J271" s="2"/>
      <c r="K271" s="1"/>
      <c r="L271" s="1"/>
      <c r="M271" s="1"/>
      <c r="N271" s="1"/>
      <c r="O271" s="1" t="s">
        <v>34</v>
      </c>
      <c r="P271" s="19">
        <v>1</v>
      </c>
      <c r="Q271" s="19">
        <v>1</v>
      </c>
      <c r="R271" s="19">
        <v>1</v>
      </c>
      <c r="S271" s="19">
        <v>1</v>
      </c>
      <c r="T271" s="19">
        <v>1</v>
      </c>
      <c r="U271" s="19">
        <v>1</v>
      </c>
      <c r="V271" s="19">
        <v>1</v>
      </c>
      <c r="W271" s="19">
        <v>1</v>
      </c>
      <c r="X271" s="19">
        <v>1</v>
      </c>
      <c r="Y271" s="19">
        <v>1</v>
      </c>
      <c r="Z271" s="19">
        <v>1</v>
      </c>
      <c r="AA271" s="19">
        <v>1</v>
      </c>
      <c r="AB271" s="19">
        <v>1</v>
      </c>
      <c r="AC271" s="19">
        <v>1</v>
      </c>
      <c r="AD271" s="19">
        <v>1</v>
      </c>
      <c r="AE271" s="19">
        <v>1</v>
      </c>
      <c r="AF271" s="19">
        <v>1</v>
      </c>
      <c r="AG271" s="19">
        <v>1</v>
      </c>
      <c r="AH271" s="19">
        <v>1</v>
      </c>
      <c r="AI271" s="19">
        <v>1</v>
      </c>
      <c r="AJ271" s="19">
        <v>1</v>
      </c>
      <c r="AK271" s="19">
        <v>1</v>
      </c>
      <c r="AL271" s="19">
        <v>1</v>
      </c>
      <c r="AM271" s="19">
        <v>1</v>
      </c>
      <c r="AN271" s="19">
        <v>1</v>
      </c>
      <c r="AO271" s="19">
        <v>1</v>
      </c>
      <c r="AP271" s="19">
        <v>1</v>
      </c>
      <c r="AQ271" s="19">
        <v>1</v>
      </c>
      <c r="AR271" s="19">
        <v>1</v>
      </c>
      <c r="AS271" s="19">
        <v>1</v>
      </c>
      <c r="AT271" s="19">
        <v>1</v>
      </c>
      <c r="AU271" s="19">
        <v>1</v>
      </c>
      <c r="AV271" s="19">
        <v>1</v>
      </c>
      <c r="AW271" s="19">
        <v>1</v>
      </c>
      <c r="AX271" s="19">
        <v>1</v>
      </c>
      <c r="AY271" s="19">
        <v>1</v>
      </c>
      <c r="AZ271" s="19">
        <v>1</v>
      </c>
      <c r="BA271" s="19">
        <v>1</v>
      </c>
      <c r="BB271" s="19">
        <v>1</v>
      </c>
      <c r="BC271" s="19">
        <v>1</v>
      </c>
      <c r="BD271" s="19">
        <v>1</v>
      </c>
      <c r="BE271" s="19">
        <v>1</v>
      </c>
      <c r="BF271" s="19">
        <v>1</v>
      </c>
      <c r="BG271" s="19">
        <v>1</v>
      </c>
      <c r="BH271" s="19">
        <v>1</v>
      </c>
      <c r="BI271" s="19">
        <v>1</v>
      </c>
      <c r="BJ271" s="19">
        <v>1</v>
      </c>
      <c r="BK271" s="19">
        <v>1</v>
      </c>
      <c r="BL271" s="19">
        <v>1</v>
      </c>
      <c r="BM271" s="19">
        <v>1</v>
      </c>
      <c r="BN271" s="19">
        <v>1</v>
      </c>
      <c r="BO271" s="19">
        <v>1</v>
      </c>
    </row>
    <row r="272" spans="1:67" ht="21.6" customHeight="1">
      <c r="A272" s="34"/>
      <c r="B272" s="32"/>
      <c r="C272" s="32"/>
      <c r="D272" s="32" t="s">
        <v>35</v>
      </c>
      <c r="E272" s="33"/>
      <c r="F272" s="33"/>
      <c r="G272" s="33"/>
      <c r="H272" s="1" t="s">
        <v>36</v>
      </c>
      <c r="I272" s="1"/>
      <c r="J272" s="1"/>
      <c r="K272" s="1"/>
      <c r="L272" s="1"/>
      <c r="M272" s="1"/>
      <c r="N272" s="1"/>
      <c r="O272" s="1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  <c r="AE272" s="19"/>
      <c r="AF272" s="19"/>
      <c r="AG272" s="19"/>
      <c r="AH272" s="19"/>
      <c r="AI272" s="19"/>
      <c r="AJ272" s="19"/>
      <c r="AK272" s="19"/>
      <c r="AL272" s="19"/>
      <c r="AM272" s="19"/>
      <c r="AN272" s="19"/>
      <c r="AO272" s="19"/>
      <c r="AP272" s="19"/>
      <c r="AQ272" s="19"/>
      <c r="AR272" s="19"/>
      <c r="AS272" s="19"/>
      <c r="AT272" s="19"/>
      <c r="AU272" s="19"/>
      <c r="AV272" s="19"/>
      <c r="AW272" s="19"/>
      <c r="AX272" s="19"/>
      <c r="AY272" s="19"/>
      <c r="AZ272" s="19"/>
      <c r="BA272" s="19"/>
      <c r="BB272" s="19"/>
      <c r="BC272" s="19"/>
      <c r="BD272" s="19"/>
      <c r="BE272" s="19"/>
      <c r="BF272" s="19"/>
      <c r="BG272" s="19"/>
      <c r="BH272" s="19"/>
      <c r="BI272" s="19"/>
      <c r="BJ272" s="19"/>
      <c r="BK272" s="19"/>
      <c r="BL272" s="19"/>
      <c r="BM272" s="19"/>
      <c r="BN272" s="19"/>
      <c r="BO272" s="19"/>
    </row>
    <row r="273" spans="1:67" ht="21.6" customHeight="1">
      <c r="A273" s="34"/>
      <c r="B273" s="32"/>
      <c r="C273" s="32"/>
      <c r="D273" s="32" t="s">
        <v>35</v>
      </c>
      <c r="E273" s="33"/>
      <c r="F273" s="33" t="s">
        <v>57</v>
      </c>
      <c r="G273" s="33" t="s">
        <v>154</v>
      </c>
      <c r="H273" s="1" t="s">
        <v>33</v>
      </c>
      <c r="I273" s="1"/>
      <c r="J273" s="1"/>
      <c r="K273" s="1"/>
      <c r="L273" s="7"/>
      <c r="M273" s="1"/>
      <c r="N273" s="1"/>
      <c r="O273" s="1" t="s">
        <v>73</v>
      </c>
      <c r="P273" s="19"/>
      <c r="Q273" s="19"/>
      <c r="R273" s="19">
        <v>3</v>
      </c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>
        <v>3</v>
      </c>
      <c r="AF273" s="19"/>
      <c r="AG273" s="19"/>
      <c r="AH273" s="19"/>
      <c r="AI273" s="19"/>
      <c r="AJ273" s="19"/>
      <c r="AK273" s="19"/>
      <c r="AL273" s="19"/>
      <c r="AM273" s="19"/>
      <c r="AN273" s="19"/>
      <c r="AO273" s="19"/>
      <c r="AP273" s="19"/>
      <c r="AQ273" s="19"/>
      <c r="AR273" s="19">
        <v>3</v>
      </c>
      <c r="AS273" s="19"/>
      <c r="AT273" s="19"/>
      <c r="AU273" s="19"/>
      <c r="AV273" s="19"/>
      <c r="AW273" s="19"/>
      <c r="AX273" s="19"/>
      <c r="AY273" s="19"/>
      <c r="AZ273" s="19"/>
      <c r="BA273" s="19"/>
      <c r="BB273" s="19"/>
      <c r="BC273" s="19"/>
      <c r="BD273" s="19"/>
      <c r="BE273" s="19">
        <v>3</v>
      </c>
      <c r="BF273" s="19"/>
      <c r="BG273" s="19"/>
      <c r="BH273" s="19"/>
      <c r="BI273" s="19"/>
      <c r="BJ273" s="19"/>
      <c r="BK273" s="19"/>
      <c r="BL273" s="19"/>
      <c r="BM273" s="19"/>
      <c r="BN273" s="19"/>
      <c r="BO273" s="19"/>
    </row>
    <row r="274" spans="1:67" ht="21.6" customHeight="1">
      <c r="A274" s="34"/>
      <c r="B274" s="32"/>
      <c r="C274" s="32"/>
      <c r="D274" s="32" t="s">
        <v>35</v>
      </c>
      <c r="E274" s="33"/>
      <c r="F274" s="33"/>
      <c r="G274" s="33"/>
      <c r="H274" s="1" t="s">
        <v>36</v>
      </c>
      <c r="I274" s="1"/>
      <c r="J274" s="1"/>
      <c r="K274" s="1"/>
      <c r="L274" s="1"/>
      <c r="M274" s="1"/>
      <c r="N274" s="1"/>
      <c r="O274" s="1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  <c r="AF274" s="19"/>
      <c r="AG274" s="19"/>
      <c r="AH274" s="19"/>
      <c r="AI274" s="19"/>
      <c r="AJ274" s="19"/>
      <c r="AK274" s="19"/>
      <c r="AL274" s="19"/>
      <c r="AM274" s="19"/>
      <c r="AN274" s="19"/>
      <c r="AO274" s="19"/>
      <c r="AP274" s="19"/>
      <c r="AQ274" s="19"/>
      <c r="AR274" s="19"/>
      <c r="AS274" s="19"/>
      <c r="AT274" s="19"/>
      <c r="AU274" s="19"/>
      <c r="AV274" s="19"/>
      <c r="AW274" s="19"/>
      <c r="AX274" s="19"/>
      <c r="AY274" s="19"/>
      <c r="AZ274" s="19"/>
      <c r="BA274" s="19"/>
      <c r="BB274" s="19"/>
      <c r="BC274" s="19"/>
      <c r="BD274" s="19"/>
      <c r="BE274" s="19"/>
      <c r="BF274" s="19"/>
      <c r="BG274" s="19"/>
      <c r="BH274" s="19"/>
      <c r="BI274" s="19"/>
      <c r="BJ274" s="19"/>
      <c r="BK274" s="19"/>
      <c r="BL274" s="19"/>
      <c r="BM274" s="19"/>
      <c r="BN274" s="19"/>
      <c r="BO274" s="19"/>
    </row>
    <row r="275" spans="1:67" ht="21.6" customHeight="1">
      <c r="A275" s="34"/>
      <c r="B275" s="32"/>
      <c r="C275" s="32"/>
      <c r="D275" s="32" t="s">
        <v>35</v>
      </c>
      <c r="E275" s="33"/>
      <c r="F275" s="33"/>
      <c r="G275" s="33" t="s">
        <v>155</v>
      </c>
      <c r="H275" s="1" t="s">
        <v>33</v>
      </c>
      <c r="I275" s="1"/>
      <c r="J275" s="1"/>
      <c r="K275" s="1"/>
      <c r="L275" s="1"/>
      <c r="M275" s="1"/>
      <c r="N275" s="3"/>
      <c r="O275" s="1" t="s">
        <v>41</v>
      </c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  <c r="AF275" s="19"/>
      <c r="AG275" s="19"/>
      <c r="AH275" s="19"/>
      <c r="AI275" s="19"/>
      <c r="AJ275" s="19"/>
      <c r="AK275" s="19"/>
      <c r="AL275" s="19"/>
      <c r="AM275" s="19"/>
      <c r="AN275" s="19"/>
      <c r="AO275" s="19"/>
      <c r="AP275" s="19"/>
      <c r="AQ275" s="19"/>
      <c r="AR275" s="19"/>
      <c r="AS275" s="19"/>
      <c r="AT275" s="19"/>
      <c r="AU275" s="19"/>
      <c r="AV275" s="19"/>
      <c r="AW275" s="19"/>
      <c r="AX275" s="19"/>
      <c r="AY275" s="19"/>
      <c r="AZ275" s="19"/>
      <c r="BA275" s="19"/>
      <c r="BB275" s="19"/>
      <c r="BC275" s="19"/>
      <c r="BD275" s="19"/>
      <c r="BE275" s="19"/>
      <c r="BF275" s="19"/>
      <c r="BG275" s="19"/>
      <c r="BH275" s="19"/>
      <c r="BI275" s="19"/>
      <c r="BJ275" s="19">
        <v>5</v>
      </c>
      <c r="BK275" s="19"/>
      <c r="BL275" s="19"/>
      <c r="BM275" s="19"/>
      <c r="BN275" s="19"/>
      <c r="BO275" s="19"/>
    </row>
    <row r="276" spans="1:67" ht="21.6" customHeight="1">
      <c r="A276" s="34"/>
      <c r="B276" s="32"/>
      <c r="C276" s="32"/>
      <c r="D276" s="32" t="s">
        <v>35</v>
      </c>
      <c r="E276" s="33"/>
      <c r="F276" s="33"/>
      <c r="G276" s="33"/>
      <c r="H276" s="1" t="s">
        <v>36</v>
      </c>
      <c r="I276" s="1"/>
      <c r="J276" s="1"/>
      <c r="K276" s="1"/>
      <c r="L276" s="1"/>
      <c r="M276" s="1"/>
      <c r="N276" s="1"/>
      <c r="O276" s="1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  <c r="AF276" s="19"/>
      <c r="AG276" s="19"/>
      <c r="AH276" s="19"/>
      <c r="AI276" s="19"/>
      <c r="AJ276" s="19"/>
      <c r="AK276" s="19"/>
      <c r="AL276" s="19"/>
      <c r="AM276" s="19"/>
      <c r="AN276" s="19"/>
      <c r="AO276" s="19"/>
      <c r="AP276" s="19"/>
      <c r="AQ276" s="19"/>
      <c r="AR276" s="19"/>
      <c r="AS276" s="19"/>
      <c r="AT276" s="19"/>
      <c r="AU276" s="19"/>
      <c r="AV276" s="19"/>
      <c r="AW276" s="19"/>
      <c r="AX276" s="19"/>
      <c r="AY276" s="19"/>
      <c r="AZ276" s="19"/>
      <c r="BA276" s="19"/>
      <c r="BB276" s="19"/>
      <c r="BC276" s="19"/>
      <c r="BD276" s="19"/>
      <c r="BE276" s="19"/>
      <c r="BF276" s="19"/>
      <c r="BG276" s="19"/>
      <c r="BH276" s="19"/>
      <c r="BI276" s="19"/>
      <c r="BJ276" s="19"/>
      <c r="BK276" s="19"/>
      <c r="BL276" s="19"/>
      <c r="BM276" s="19"/>
      <c r="BN276" s="19"/>
      <c r="BO276" s="19"/>
    </row>
    <row r="277" spans="1:67" ht="26.25" customHeight="1">
      <c r="A277" s="34"/>
      <c r="B277" s="32"/>
      <c r="C277" s="32"/>
      <c r="D277" s="32" t="s">
        <v>35</v>
      </c>
      <c r="E277" s="33"/>
      <c r="F277" s="33" t="s">
        <v>156</v>
      </c>
      <c r="G277" s="33" t="s">
        <v>157</v>
      </c>
      <c r="H277" s="1" t="s">
        <v>33</v>
      </c>
      <c r="I277" s="1"/>
      <c r="J277" s="1"/>
      <c r="K277" s="5"/>
      <c r="L277" s="1"/>
      <c r="M277" s="1"/>
      <c r="N277" s="1"/>
      <c r="O277" s="1" t="s">
        <v>46</v>
      </c>
      <c r="P277" s="19"/>
      <c r="Q277" s="19"/>
      <c r="R277" s="19">
        <v>2</v>
      </c>
      <c r="S277" s="19"/>
      <c r="T277" s="19"/>
      <c r="U277" s="19"/>
      <c r="V277" s="19"/>
      <c r="W277" s="19">
        <v>2</v>
      </c>
      <c r="X277" s="19"/>
      <c r="Y277" s="19"/>
      <c r="Z277" s="19"/>
      <c r="AA277" s="19">
        <v>2</v>
      </c>
      <c r="AB277" s="19"/>
      <c r="AC277" s="19"/>
      <c r="AD277" s="19"/>
      <c r="AE277" s="19">
        <v>2</v>
      </c>
      <c r="AF277" s="19"/>
      <c r="AG277" s="19"/>
      <c r="AH277" s="19"/>
      <c r="AI277" s="19">
        <v>2</v>
      </c>
      <c r="AJ277" s="19"/>
      <c r="AK277" s="19"/>
      <c r="AL277" s="19"/>
      <c r="AM277" s="19"/>
      <c r="AN277" s="19">
        <v>2</v>
      </c>
      <c r="AO277" s="19"/>
      <c r="AP277" s="19"/>
      <c r="AQ277" s="19"/>
      <c r="AR277" s="19">
        <v>2</v>
      </c>
      <c r="AS277" s="19"/>
      <c r="AT277" s="19"/>
      <c r="AU277" s="19"/>
      <c r="AV277" s="19"/>
      <c r="AW277" s="19">
        <v>2</v>
      </c>
      <c r="AX277" s="19"/>
      <c r="AY277" s="19"/>
      <c r="AZ277" s="19"/>
      <c r="BA277" s="19">
        <v>2</v>
      </c>
      <c r="BB277" s="19"/>
      <c r="BC277" s="19"/>
      <c r="BD277" s="19"/>
      <c r="BE277" s="19">
        <v>2</v>
      </c>
      <c r="BF277" s="19"/>
      <c r="BG277" s="19"/>
      <c r="BH277" s="19"/>
      <c r="BI277" s="19"/>
      <c r="BJ277" s="19">
        <v>2</v>
      </c>
      <c r="BK277" s="19"/>
      <c r="BL277" s="19"/>
      <c r="BM277" s="19"/>
      <c r="BN277" s="19">
        <v>2</v>
      </c>
      <c r="BO277" s="19"/>
    </row>
    <row r="278" spans="1:67" ht="26.25" customHeight="1" thickBot="1">
      <c r="A278" s="34"/>
      <c r="B278" s="32"/>
      <c r="C278" s="32"/>
      <c r="D278" s="32" t="s">
        <v>35</v>
      </c>
      <c r="E278" s="33"/>
      <c r="F278" s="33"/>
      <c r="G278" s="33"/>
      <c r="H278" s="1" t="s">
        <v>36</v>
      </c>
      <c r="I278" s="1"/>
      <c r="J278" s="1"/>
      <c r="K278" s="1"/>
      <c r="L278" s="1"/>
      <c r="M278" s="1"/>
      <c r="N278" s="1"/>
      <c r="O278" s="1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  <c r="AF278" s="19"/>
      <c r="AG278" s="19"/>
      <c r="AH278" s="19"/>
      <c r="AI278" s="19"/>
      <c r="AJ278" s="19"/>
      <c r="AK278" s="19"/>
      <c r="AL278" s="19"/>
      <c r="AM278" s="19"/>
      <c r="AN278" s="19"/>
      <c r="AO278" s="19"/>
      <c r="AP278" s="19"/>
      <c r="AQ278" s="19"/>
      <c r="AR278" s="19"/>
      <c r="AS278" s="19"/>
      <c r="AT278" s="19"/>
      <c r="AU278" s="19"/>
      <c r="AV278" s="19"/>
      <c r="AW278" s="19"/>
      <c r="AX278" s="19"/>
      <c r="AY278" s="19"/>
      <c r="AZ278" s="19"/>
      <c r="BA278" s="19"/>
      <c r="BB278" s="19"/>
      <c r="BC278" s="19"/>
      <c r="BD278" s="19"/>
      <c r="BE278" s="19"/>
      <c r="BF278" s="19"/>
      <c r="BG278" s="19"/>
      <c r="BH278" s="19"/>
      <c r="BI278" s="19"/>
      <c r="BJ278" s="19"/>
      <c r="BK278" s="19"/>
      <c r="BL278" s="19"/>
      <c r="BM278" s="19"/>
      <c r="BN278" s="19"/>
      <c r="BO278" s="19"/>
    </row>
    <row r="279" spans="1:67" ht="26.25" customHeight="1">
      <c r="A279" s="36"/>
      <c r="B279" s="37"/>
      <c r="C279" s="37"/>
      <c r="D279" s="37"/>
      <c r="E279" s="37"/>
      <c r="F279" s="37"/>
      <c r="G279" s="37"/>
      <c r="H279" s="37"/>
      <c r="I279" s="37"/>
      <c r="J279" s="37"/>
      <c r="K279" s="37"/>
      <c r="L279" s="37"/>
      <c r="M279" s="37"/>
      <c r="N279" s="37"/>
      <c r="O279" s="38"/>
      <c r="P279" s="54"/>
      <c r="Q279" s="54"/>
      <c r="R279" s="54"/>
      <c r="S279" s="54"/>
      <c r="T279" s="54"/>
      <c r="U279" s="54"/>
      <c r="V279" s="54"/>
      <c r="W279" s="54"/>
      <c r="X279" s="54"/>
      <c r="Y279" s="54"/>
      <c r="Z279" s="54"/>
      <c r="AA279" s="54"/>
      <c r="AB279" s="54"/>
      <c r="AC279" s="54"/>
      <c r="AD279" s="54"/>
      <c r="AE279" s="54"/>
      <c r="AF279" s="54"/>
      <c r="AG279" s="54"/>
      <c r="AH279" s="54"/>
      <c r="AI279" s="54"/>
      <c r="AJ279" s="54"/>
      <c r="AK279" s="54"/>
      <c r="AL279" s="54"/>
      <c r="AM279" s="54"/>
      <c r="AN279" s="54"/>
      <c r="AO279" s="54"/>
      <c r="AP279" s="54"/>
      <c r="AQ279" s="54"/>
      <c r="AR279" s="54"/>
      <c r="AS279" s="15"/>
      <c r="AT279" s="54"/>
      <c r="AU279" s="54"/>
      <c r="AV279" s="54"/>
      <c r="AW279" s="54"/>
      <c r="AX279" s="54"/>
      <c r="AY279" s="54"/>
      <c r="AZ279" s="54"/>
      <c r="BA279" s="54"/>
      <c r="BB279" s="54"/>
      <c r="BC279" s="54"/>
      <c r="BD279" s="54"/>
      <c r="BE279" s="54"/>
      <c r="BF279" s="54"/>
      <c r="BG279" s="54"/>
      <c r="BH279" s="54"/>
      <c r="BI279" s="54"/>
      <c r="BJ279" s="54"/>
      <c r="BK279" s="54"/>
      <c r="BL279" s="54"/>
      <c r="BM279" s="54"/>
      <c r="BN279" s="54"/>
      <c r="BO279" s="54"/>
    </row>
    <row r="280" spans="1:67" ht="25.5" customHeight="1">
      <c r="A280" s="66" t="s">
        <v>264</v>
      </c>
      <c r="B280" s="67"/>
      <c r="C280" s="67"/>
      <c r="D280" s="67"/>
      <c r="E280" s="68"/>
      <c r="F280" s="66" t="s">
        <v>263</v>
      </c>
      <c r="G280" s="68"/>
      <c r="H280" s="60" t="s">
        <v>266</v>
      </c>
      <c r="I280" s="61"/>
      <c r="J280" s="61"/>
      <c r="K280" s="61"/>
      <c r="L280" s="61" t="s">
        <v>267</v>
      </c>
      <c r="M280" s="61"/>
      <c r="N280" s="61"/>
      <c r="O280" s="64"/>
      <c r="P280" s="55"/>
      <c r="Q280" s="55"/>
      <c r="R280" s="55"/>
      <c r="S280" s="55"/>
      <c r="T280" s="55"/>
      <c r="U280" s="55"/>
      <c r="V280" s="55"/>
      <c r="W280" s="55"/>
      <c r="X280" s="55"/>
      <c r="Y280" s="55"/>
      <c r="Z280" s="55"/>
      <c r="AA280" s="55"/>
      <c r="AB280" s="55"/>
      <c r="AC280" s="55"/>
      <c r="AD280" s="55"/>
      <c r="AE280" s="55"/>
      <c r="AF280" s="55"/>
      <c r="AG280" s="55"/>
      <c r="AH280" s="55"/>
      <c r="AI280" s="55"/>
      <c r="AJ280" s="55"/>
      <c r="AK280" s="55"/>
      <c r="AL280" s="55"/>
      <c r="AM280" s="55"/>
      <c r="AN280" s="55"/>
      <c r="AO280" s="55"/>
      <c r="AP280" s="55"/>
      <c r="AQ280" s="55"/>
      <c r="AR280" s="55"/>
      <c r="AS280" s="16"/>
      <c r="AT280" s="55"/>
      <c r="AU280" s="55"/>
      <c r="AV280" s="55"/>
      <c r="AW280" s="55"/>
      <c r="AX280" s="55"/>
      <c r="AY280" s="55"/>
      <c r="AZ280" s="55"/>
      <c r="BA280" s="55"/>
      <c r="BB280" s="55"/>
      <c r="BC280" s="55"/>
      <c r="BD280" s="55"/>
      <c r="BE280" s="55"/>
      <c r="BF280" s="55"/>
      <c r="BG280" s="55"/>
      <c r="BH280" s="55"/>
      <c r="BI280" s="55"/>
      <c r="BJ280" s="55"/>
      <c r="BK280" s="55"/>
      <c r="BL280" s="55"/>
      <c r="BM280" s="55"/>
      <c r="BN280" s="55"/>
      <c r="BO280" s="55"/>
    </row>
    <row r="281" spans="1:67" ht="14.45" customHeight="1">
      <c r="A281" s="69"/>
      <c r="B281" s="70"/>
      <c r="C281" s="70"/>
      <c r="D281" s="70"/>
      <c r="E281" s="71"/>
      <c r="F281" s="69"/>
      <c r="G281" s="71"/>
      <c r="H281" s="62"/>
      <c r="I281" s="63"/>
      <c r="J281" s="63"/>
      <c r="K281" s="63"/>
      <c r="L281" s="63"/>
      <c r="M281" s="63"/>
      <c r="N281" s="63"/>
      <c r="O281" s="65"/>
      <c r="P281" s="56"/>
      <c r="Q281" s="56"/>
      <c r="R281" s="56"/>
      <c r="S281" s="56"/>
      <c r="T281" s="56"/>
      <c r="U281" s="56"/>
      <c r="V281" s="56"/>
      <c r="W281" s="56"/>
      <c r="X281" s="56"/>
      <c r="Y281" s="56"/>
      <c r="Z281" s="56"/>
      <c r="AA281" s="56"/>
      <c r="AB281" s="56"/>
      <c r="AC281" s="56"/>
      <c r="AD281" s="56"/>
      <c r="AE281" s="56"/>
      <c r="AF281" s="56"/>
      <c r="AG281" s="56"/>
      <c r="AH281" s="56"/>
      <c r="AI281" s="56"/>
      <c r="AJ281" s="56"/>
      <c r="AK281" s="56"/>
      <c r="AL281" s="56"/>
      <c r="AM281" s="56"/>
      <c r="AN281" s="56"/>
      <c r="AO281" s="56"/>
      <c r="AP281" s="56"/>
      <c r="AQ281" s="56"/>
      <c r="AR281" s="56"/>
      <c r="AS281" s="17"/>
      <c r="AT281" s="56"/>
      <c r="AU281" s="56"/>
      <c r="AV281" s="56"/>
      <c r="AW281" s="56"/>
      <c r="AX281" s="56"/>
      <c r="AY281" s="56"/>
      <c r="AZ281" s="56"/>
      <c r="BA281" s="56"/>
      <c r="BB281" s="56"/>
      <c r="BC281" s="56"/>
      <c r="BD281" s="56"/>
      <c r="BE281" s="56"/>
      <c r="BF281" s="56"/>
      <c r="BG281" s="56"/>
      <c r="BH281" s="56"/>
      <c r="BI281" s="56"/>
      <c r="BJ281" s="56"/>
      <c r="BK281" s="56"/>
      <c r="BL281" s="56"/>
      <c r="BM281" s="56"/>
      <c r="BN281" s="56"/>
      <c r="BO281" s="56"/>
    </row>
    <row r="282" spans="1:67">
      <c r="P282">
        <f>SUM(P5:P278)</f>
        <v>72</v>
      </c>
      <c r="Q282">
        <f t="shared" ref="Q282:T282" si="0">SUM(Q5:Q278)</f>
        <v>55</v>
      </c>
      <c r="R282">
        <f t="shared" si="0"/>
        <v>177</v>
      </c>
      <c r="S282">
        <f t="shared" si="0"/>
        <v>55</v>
      </c>
      <c r="T282">
        <f t="shared" si="0"/>
        <v>55</v>
      </c>
      <c r="U282">
        <f t="shared" ref="U282:AW282" si="1">SUM(U5:U278)</f>
        <v>63</v>
      </c>
      <c r="V282">
        <f t="shared" si="1"/>
        <v>55</v>
      </c>
      <c r="W282">
        <f t="shared" si="1"/>
        <v>117</v>
      </c>
      <c r="X282">
        <f t="shared" si="1"/>
        <v>55</v>
      </c>
      <c r="Y282">
        <f t="shared" si="1"/>
        <v>63</v>
      </c>
      <c r="Z282">
        <f t="shared" si="1"/>
        <v>55</v>
      </c>
      <c r="AA282">
        <f t="shared" si="1"/>
        <v>117</v>
      </c>
      <c r="AB282">
        <f t="shared" si="1"/>
        <v>55</v>
      </c>
      <c r="AC282">
        <f t="shared" si="1"/>
        <v>72</v>
      </c>
      <c r="AD282">
        <f t="shared" si="1"/>
        <v>55</v>
      </c>
      <c r="AE282">
        <f t="shared" si="1"/>
        <v>165</v>
      </c>
      <c r="AF282">
        <f t="shared" si="1"/>
        <v>55</v>
      </c>
      <c r="AG282">
        <f t="shared" si="1"/>
        <v>63</v>
      </c>
      <c r="AH282">
        <f t="shared" si="1"/>
        <v>55</v>
      </c>
      <c r="AI282">
        <f t="shared" si="1"/>
        <v>117</v>
      </c>
      <c r="AJ282">
        <f t="shared" si="1"/>
        <v>55</v>
      </c>
      <c r="AK282">
        <f t="shared" si="1"/>
        <v>55</v>
      </c>
      <c r="AL282">
        <f t="shared" si="1"/>
        <v>63</v>
      </c>
      <c r="AM282">
        <f t="shared" si="1"/>
        <v>55</v>
      </c>
      <c r="AN282">
        <f t="shared" si="1"/>
        <v>117</v>
      </c>
      <c r="AO282">
        <f t="shared" si="1"/>
        <v>55</v>
      </c>
      <c r="AP282">
        <f t="shared" si="1"/>
        <v>72</v>
      </c>
      <c r="AQ282">
        <f t="shared" si="1"/>
        <v>55</v>
      </c>
      <c r="AR282">
        <f t="shared" si="1"/>
        <v>177</v>
      </c>
      <c r="AT282">
        <f t="shared" si="1"/>
        <v>55</v>
      </c>
      <c r="AU282">
        <f t="shared" si="1"/>
        <v>63</v>
      </c>
      <c r="AV282">
        <f t="shared" si="1"/>
        <v>55</v>
      </c>
      <c r="AW282">
        <f t="shared" si="1"/>
        <v>117</v>
      </c>
      <c r="AY282">
        <f t="shared" ref="AY282:BO282" si="2">SUM(AY5:AY278)</f>
        <v>63</v>
      </c>
      <c r="AZ282">
        <f t="shared" si="2"/>
        <v>55</v>
      </c>
      <c r="BA282">
        <f t="shared" si="2"/>
        <v>117</v>
      </c>
      <c r="BB282">
        <f t="shared" si="2"/>
        <v>55</v>
      </c>
      <c r="BC282">
        <f t="shared" si="2"/>
        <v>72</v>
      </c>
      <c r="BD282">
        <f t="shared" si="2"/>
        <v>55</v>
      </c>
      <c r="BE282">
        <f t="shared" si="2"/>
        <v>165</v>
      </c>
      <c r="BF282">
        <f t="shared" si="2"/>
        <v>55</v>
      </c>
      <c r="BG282">
        <f t="shared" si="2"/>
        <v>55</v>
      </c>
      <c r="BH282">
        <f t="shared" si="2"/>
        <v>68</v>
      </c>
      <c r="BI282">
        <f t="shared" si="2"/>
        <v>55</v>
      </c>
      <c r="BJ282">
        <f t="shared" si="2"/>
        <v>227</v>
      </c>
      <c r="BK282">
        <f t="shared" si="2"/>
        <v>55</v>
      </c>
      <c r="BL282">
        <f t="shared" si="2"/>
        <v>63</v>
      </c>
      <c r="BM282">
        <f t="shared" si="2"/>
        <v>55</v>
      </c>
      <c r="BN282">
        <f t="shared" si="2"/>
        <v>117</v>
      </c>
      <c r="BO282">
        <f t="shared" si="2"/>
        <v>55</v>
      </c>
    </row>
    <row r="283" spans="1:67">
      <c r="P283" s="53">
        <f>P282+Q282+R282+S282+T282</f>
        <v>414</v>
      </c>
      <c r="Q283" s="53"/>
      <c r="R283" s="53"/>
      <c r="S283" s="53"/>
      <c r="T283" s="53"/>
      <c r="U283" s="53">
        <f>U282+V282+W282+X282</f>
        <v>290</v>
      </c>
      <c r="V283" s="53"/>
      <c r="W283" s="53"/>
      <c r="X283" s="53"/>
      <c r="Y283" s="53">
        <f>Y282+Z282+AA282+AB282</f>
        <v>290</v>
      </c>
      <c r="Z283" s="53"/>
      <c r="AA283" s="53"/>
      <c r="AB283" s="53"/>
      <c r="AC283" s="53">
        <f>AC282+AD282+AE282+AF282</f>
        <v>347</v>
      </c>
      <c r="AD283" s="53"/>
      <c r="AE283" s="53"/>
      <c r="AF283" s="53"/>
      <c r="AG283" s="53">
        <f>AG282+AH282+AI282+AJ282+AK282</f>
        <v>345</v>
      </c>
      <c r="AH283" s="53"/>
      <c r="AI283" s="53"/>
      <c r="AJ283" s="53"/>
      <c r="AK283" s="53"/>
      <c r="AL283" s="53" t="e">
        <f>AL282+AM282+AN282+AO282+#REF!</f>
        <v>#REF!</v>
      </c>
      <c r="AM283" s="53"/>
      <c r="AN283" s="53"/>
      <c r="AO283" s="53"/>
      <c r="AP283" s="53" t="e">
        <f>AP282+AQ282+AR282+AT282+#REF!</f>
        <v>#REF!</v>
      </c>
      <c r="AQ283" s="53"/>
      <c r="AR283" s="53"/>
      <c r="AS283" s="53"/>
      <c r="AT283" s="53"/>
      <c r="AU283" s="53" t="e">
        <f>AU282+AV282+AW282+#REF!</f>
        <v>#REF!</v>
      </c>
      <c r="AV283" s="53"/>
      <c r="AW283" s="53"/>
      <c r="AX283" s="53"/>
      <c r="AY283" s="53">
        <f>AY282+AZ282+BA282+BB282</f>
        <v>290</v>
      </c>
      <c r="AZ283" s="53"/>
      <c r="BA283" s="53"/>
      <c r="BB283" s="53"/>
      <c r="BC283" s="53">
        <f>BC282+BD282+BE282+BF282+BG282</f>
        <v>402</v>
      </c>
      <c r="BD283" s="53"/>
      <c r="BE283" s="53"/>
      <c r="BF283" s="53"/>
      <c r="BG283" s="53"/>
      <c r="BH283" s="53">
        <f>BH282+BI282+BJ282+BK282</f>
        <v>405</v>
      </c>
      <c r="BI283" s="53"/>
      <c r="BJ283" s="53"/>
      <c r="BK283" s="53"/>
      <c r="BL283" s="53">
        <f>BL282+BM282+BN282+BO282</f>
        <v>290</v>
      </c>
      <c r="BM283" s="53"/>
      <c r="BN283" s="53"/>
      <c r="BO283" s="53"/>
    </row>
  </sheetData>
  <mergeCells count="471">
    <mergeCell ref="I2:I4"/>
    <mergeCell ref="P2:T2"/>
    <mergeCell ref="P3:T3"/>
    <mergeCell ref="A5:A20"/>
    <mergeCell ref="B5:B20"/>
    <mergeCell ref="C5:C20"/>
    <mergeCell ref="D5:D20"/>
    <mergeCell ref="E5:E20"/>
    <mergeCell ref="F5:F6"/>
    <mergeCell ref="G5:G6"/>
    <mergeCell ref="F7:F8"/>
    <mergeCell ref="J2:J4"/>
    <mergeCell ref="K2:K4"/>
    <mergeCell ref="L2:L4"/>
    <mergeCell ref="M2:M4"/>
    <mergeCell ref="N2:N4"/>
    <mergeCell ref="O2:O4"/>
    <mergeCell ref="A2:A4"/>
    <mergeCell ref="B2:B4"/>
    <mergeCell ref="C2:C4"/>
    <mergeCell ref="D2:D4"/>
    <mergeCell ref="E2:E4"/>
    <mergeCell ref="F2:F4"/>
    <mergeCell ref="G2:G4"/>
    <mergeCell ref="H2:H4"/>
    <mergeCell ref="F15:F16"/>
    <mergeCell ref="G15:G16"/>
    <mergeCell ref="F17:F18"/>
    <mergeCell ref="G17:G18"/>
    <mergeCell ref="F19:F20"/>
    <mergeCell ref="G19:G20"/>
    <mergeCell ref="G7:G8"/>
    <mergeCell ref="F9:F10"/>
    <mergeCell ref="G9:G10"/>
    <mergeCell ref="F11:F12"/>
    <mergeCell ref="G11:G12"/>
    <mergeCell ref="F13:F14"/>
    <mergeCell ref="G13:G14"/>
    <mergeCell ref="G21:G22"/>
    <mergeCell ref="F23:F24"/>
    <mergeCell ref="G23:G24"/>
    <mergeCell ref="F25:F26"/>
    <mergeCell ref="G25:G26"/>
    <mergeCell ref="B27:B32"/>
    <mergeCell ref="C27:C32"/>
    <mergeCell ref="D27:D32"/>
    <mergeCell ref="E27:E32"/>
    <mergeCell ref="F27:F28"/>
    <mergeCell ref="B21:B26"/>
    <mergeCell ref="C21:C26"/>
    <mergeCell ref="D21:D26"/>
    <mergeCell ref="E21:E26"/>
    <mergeCell ref="F21:F22"/>
    <mergeCell ref="G33:G34"/>
    <mergeCell ref="F35:F38"/>
    <mergeCell ref="G35:G36"/>
    <mergeCell ref="G37:G38"/>
    <mergeCell ref="F39:F40"/>
    <mergeCell ref="G39:G40"/>
    <mergeCell ref="G27:G28"/>
    <mergeCell ref="F29:F30"/>
    <mergeCell ref="G29:G30"/>
    <mergeCell ref="F31:F32"/>
    <mergeCell ref="G31:G32"/>
    <mergeCell ref="F33:F34"/>
    <mergeCell ref="G41:G42"/>
    <mergeCell ref="F43:F44"/>
    <mergeCell ref="G43:G44"/>
    <mergeCell ref="B45:B66"/>
    <mergeCell ref="C45:C66"/>
    <mergeCell ref="D45:D66"/>
    <mergeCell ref="E45:E66"/>
    <mergeCell ref="F45:F46"/>
    <mergeCell ref="G45:G46"/>
    <mergeCell ref="F47:F50"/>
    <mergeCell ref="B33:B44"/>
    <mergeCell ref="C33:C44"/>
    <mergeCell ref="D33:D44"/>
    <mergeCell ref="E33:E44"/>
    <mergeCell ref="F41:F42"/>
    <mergeCell ref="F57:F58"/>
    <mergeCell ref="F65:F66"/>
    <mergeCell ref="G57:G58"/>
    <mergeCell ref="F59:F60"/>
    <mergeCell ref="G59:G60"/>
    <mergeCell ref="F61:F62"/>
    <mergeCell ref="G61:G62"/>
    <mergeCell ref="F63:F64"/>
    <mergeCell ref="G63:G64"/>
    <mergeCell ref="G47:G48"/>
    <mergeCell ref="G49:G50"/>
    <mergeCell ref="F51:F54"/>
    <mergeCell ref="G51:G52"/>
    <mergeCell ref="G53:G54"/>
    <mergeCell ref="F55:F56"/>
    <mergeCell ref="G55:G56"/>
    <mergeCell ref="G65:G66"/>
    <mergeCell ref="B67:B78"/>
    <mergeCell ref="C67:C78"/>
    <mergeCell ref="D67:D78"/>
    <mergeCell ref="E67:E78"/>
    <mergeCell ref="F67:F68"/>
    <mergeCell ref="G67:G68"/>
    <mergeCell ref="F69:F70"/>
    <mergeCell ref="G69:G70"/>
    <mergeCell ref="F71:F72"/>
    <mergeCell ref="G79:G80"/>
    <mergeCell ref="F81:F82"/>
    <mergeCell ref="G81:G82"/>
    <mergeCell ref="F83:F84"/>
    <mergeCell ref="G83:G84"/>
    <mergeCell ref="F85:F86"/>
    <mergeCell ref="G71:G72"/>
    <mergeCell ref="F73:F74"/>
    <mergeCell ref="G73:G74"/>
    <mergeCell ref="F75:F76"/>
    <mergeCell ref="G75:G76"/>
    <mergeCell ref="F77:F78"/>
    <mergeCell ref="G77:G78"/>
    <mergeCell ref="A91:A110"/>
    <mergeCell ref="B91:B110"/>
    <mergeCell ref="C91:C110"/>
    <mergeCell ref="D91:D110"/>
    <mergeCell ref="E91:E110"/>
    <mergeCell ref="C79:C90"/>
    <mergeCell ref="D79:D90"/>
    <mergeCell ref="E79:E90"/>
    <mergeCell ref="F79:F80"/>
    <mergeCell ref="A21:A90"/>
    <mergeCell ref="B79:B90"/>
    <mergeCell ref="F91:F92"/>
    <mergeCell ref="F105:F106"/>
    <mergeCell ref="G91:G92"/>
    <mergeCell ref="F93:F94"/>
    <mergeCell ref="G93:G94"/>
    <mergeCell ref="F95:F96"/>
    <mergeCell ref="G95:G96"/>
    <mergeCell ref="G85:G86"/>
    <mergeCell ref="F87:F88"/>
    <mergeCell ref="G87:G88"/>
    <mergeCell ref="F89:F90"/>
    <mergeCell ref="G89:G90"/>
    <mergeCell ref="G105:G106"/>
    <mergeCell ref="F107:F108"/>
    <mergeCell ref="G107:G108"/>
    <mergeCell ref="F109:F110"/>
    <mergeCell ref="G109:G110"/>
    <mergeCell ref="F97:F100"/>
    <mergeCell ref="G97:G98"/>
    <mergeCell ref="G99:G100"/>
    <mergeCell ref="F101:F102"/>
    <mergeCell ref="G101:G102"/>
    <mergeCell ref="F103:F104"/>
    <mergeCell ref="G103:G104"/>
    <mergeCell ref="A111:A174"/>
    <mergeCell ref="B111:B118"/>
    <mergeCell ref="C111:C118"/>
    <mergeCell ref="D111:D118"/>
    <mergeCell ref="E111:E118"/>
    <mergeCell ref="F111:F112"/>
    <mergeCell ref="B119:B126"/>
    <mergeCell ref="C119:C126"/>
    <mergeCell ref="D119:D126"/>
    <mergeCell ref="E119:E126"/>
    <mergeCell ref="F119:F120"/>
    <mergeCell ref="B143:B150"/>
    <mergeCell ref="C143:C150"/>
    <mergeCell ref="D143:D150"/>
    <mergeCell ref="E143:E150"/>
    <mergeCell ref="F143:F144"/>
    <mergeCell ref="B167:B174"/>
    <mergeCell ref="C167:C174"/>
    <mergeCell ref="D167:D174"/>
    <mergeCell ref="E167:E174"/>
    <mergeCell ref="F167:F168"/>
    <mergeCell ref="B159:B166"/>
    <mergeCell ref="C159:C166"/>
    <mergeCell ref="D159:D166"/>
    <mergeCell ref="G119:G120"/>
    <mergeCell ref="F121:F124"/>
    <mergeCell ref="G121:G122"/>
    <mergeCell ref="G123:G124"/>
    <mergeCell ref="F125:F126"/>
    <mergeCell ref="G125:G126"/>
    <mergeCell ref="G111:G112"/>
    <mergeCell ref="F113:F116"/>
    <mergeCell ref="G113:G114"/>
    <mergeCell ref="G115:G116"/>
    <mergeCell ref="F117:F118"/>
    <mergeCell ref="G117:G118"/>
    <mergeCell ref="G133:G134"/>
    <mergeCell ref="B135:B142"/>
    <mergeCell ref="C135:C142"/>
    <mergeCell ref="D135:D142"/>
    <mergeCell ref="E135:E142"/>
    <mergeCell ref="F135:F136"/>
    <mergeCell ref="G135:G136"/>
    <mergeCell ref="F137:F140"/>
    <mergeCell ref="G137:G138"/>
    <mergeCell ref="G139:G140"/>
    <mergeCell ref="B127:B134"/>
    <mergeCell ref="C127:C134"/>
    <mergeCell ref="D127:D134"/>
    <mergeCell ref="E127:E134"/>
    <mergeCell ref="F127:F128"/>
    <mergeCell ref="G127:G128"/>
    <mergeCell ref="F129:F132"/>
    <mergeCell ref="G129:G130"/>
    <mergeCell ref="G131:G132"/>
    <mergeCell ref="F133:F134"/>
    <mergeCell ref="F141:F142"/>
    <mergeCell ref="G141:G142"/>
    <mergeCell ref="G143:G144"/>
    <mergeCell ref="F145:F148"/>
    <mergeCell ref="G145:G146"/>
    <mergeCell ref="G147:G148"/>
    <mergeCell ref="F149:F150"/>
    <mergeCell ref="G149:G150"/>
    <mergeCell ref="B151:B158"/>
    <mergeCell ref="C151:C158"/>
    <mergeCell ref="D151:D158"/>
    <mergeCell ref="E151:E158"/>
    <mergeCell ref="F151:F152"/>
    <mergeCell ref="G151:G152"/>
    <mergeCell ref="F153:F156"/>
    <mergeCell ref="G153:G154"/>
    <mergeCell ref="G155:G156"/>
    <mergeCell ref="F157:F158"/>
    <mergeCell ref="G157:G158"/>
    <mergeCell ref="E265:E270"/>
    <mergeCell ref="F265:F266"/>
    <mergeCell ref="E159:E166"/>
    <mergeCell ref="F159:F160"/>
    <mergeCell ref="G159:G160"/>
    <mergeCell ref="G167:G168"/>
    <mergeCell ref="F169:F172"/>
    <mergeCell ref="G169:G170"/>
    <mergeCell ref="G171:G172"/>
    <mergeCell ref="F173:F174"/>
    <mergeCell ref="G173:G174"/>
    <mergeCell ref="F161:F164"/>
    <mergeCell ref="G161:G162"/>
    <mergeCell ref="G163:G164"/>
    <mergeCell ref="F165:F166"/>
    <mergeCell ref="G165:G166"/>
    <mergeCell ref="G183:G184"/>
    <mergeCell ref="F185:F188"/>
    <mergeCell ref="G185:G186"/>
    <mergeCell ref="G187:G188"/>
    <mergeCell ref="F189:F190"/>
    <mergeCell ref="G189:G190"/>
    <mergeCell ref="G175:G176"/>
    <mergeCell ref="F177:F180"/>
    <mergeCell ref="G177:G178"/>
    <mergeCell ref="G179:G180"/>
    <mergeCell ref="F181:F182"/>
    <mergeCell ref="G181:G182"/>
    <mergeCell ref="F175:F176"/>
    <mergeCell ref="F183:F184"/>
    <mergeCell ref="G199:G200"/>
    <mergeCell ref="F201:F204"/>
    <mergeCell ref="G201:G202"/>
    <mergeCell ref="G203:G204"/>
    <mergeCell ref="F205:F206"/>
    <mergeCell ref="G205:G206"/>
    <mergeCell ref="G191:G192"/>
    <mergeCell ref="F193:F194"/>
    <mergeCell ref="G193:G194"/>
    <mergeCell ref="F195:F196"/>
    <mergeCell ref="G195:G196"/>
    <mergeCell ref="F197:F198"/>
    <mergeCell ref="G197:G198"/>
    <mergeCell ref="F191:F192"/>
    <mergeCell ref="F199:F200"/>
    <mergeCell ref="G207:G208"/>
    <mergeCell ref="B209:B232"/>
    <mergeCell ref="C209:C232"/>
    <mergeCell ref="D209:D232"/>
    <mergeCell ref="E209:E232"/>
    <mergeCell ref="F209:F210"/>
    <mergeCell ref="G209:G210"/>
    <mergeCell ref="F211:F212"/>
    <mergeCell ref="G211:G212"/>
    <mergeCell ref="F213:F214"/>
    <mergeCell ref="F221:F222"/>
    <mergeCell ref="G221:G222"/>
    <mergeCell ref="F223:F224"/>
    <mergeCell ref="G223:G224"/>
    <mergeCell ref="F225:F226"/>
    <mergeCell ref="G225:G226"/>
    <mergeCell ref="G213:G214"/>
    <mergeCell ref="F215:F216"/>
    <mergeCell ref="G215:G216"/>
    <mergeCell ref="F217:F218"/>
    <mergeCell ref="G217:G218"/>
    <mergeCell ref="F219:F220"/>
    <mergeCell ref="G219:G220"/>
    <mergeCell ref="F227:F230"/>
    <mergeCell ref="G227:G228"/>
    <mergeCell ref="G229:G230"/>
    <mergeCell ref="F231:F232"/>
    <mergeCell ref="G231:G232"/>
    <mergeCell ref="B233:B236"/>
    <mergeCell ref="C233:C236"/>
    <mergeCell ref="D233:D236"/>
    <mergeCell ref="E233:E236"/>
    <mergeCell ref="F233:F234"/>
    <mergeCell ref="G233:G234"/>
    <mergeCell ref="F235:F236"/>
    <mergeCell ref="G235:G236"/>
    <mergeCell ref="G237:G238"/>
    <mergeCell ref="F239:F242"/>
    <mergeCell ref="B253:B260"/>
    <mergeCell ref="C253:C260"/>
    <mergeCell ref="D253:D260"/>
    <mergeCell ref="E253:E260"/>
    <mergeCell ref="F253:F254"/>
    <mergeCell ref="G239:G240"/>
    <mergeCell ref="G241:G242"/>
    <mergeCell ref="F243:F244"/>
    <mergeCell ref="G243:G244"/>
    <mergeCell ref="B245:B252"/>
    <mergeCell ref="C245:C252"/>
    <mergeCell ref="D245:D252"/>
    <mergeCell ref="E245:E252"/>
    <mergeCell ref="F245:F246"/>
    <mergeCell ref="G245:G246"/>
    <mergeCell ref="G253:G254"/>
    <mergeCell ref="F255:F258"/>
    <mergeCell ref="G255:G256"/>
    <mergeCell ref="G257:G258"/>
    <mergeCell ref="F259:F260"/>
    <mergeCell ref="G259:G260"/>
    <mergeCell ref="F247:F250"/>
    <mergeCell ref="G247:G248"/>
    <mergeCell ref="G249:G250"/>
    <mergeCell ref="F251:F252"/>
    <mergeCell ref="G251:G252"/>
    <mergeCell ref="B263:B264"/>
    <mergeCell ref="C263:C264"/>
    <mergeCell ref="D263:D264"/>
    <mergeCell ref="E263:E264"/>
    <mergeCell ref="F263:F264"/>
    <mergeCell ref="G263:G264"/>
    <mergeCell ref="B261:B262"/>
    <mergeCell ref="C261:C262"/>
    <mergeCell ref="D261:D262"/>
    <mergeCell ref="E261:E262"/>
    <mergeCell ref="F261:F262"/>
    <mergeCell ref="G261:G262"/>
    <mergeCell ref="G265:G266"/>
    <mergeCell ref="F267:F268"/>
    <mergeCell ref="G267:G268"/>
    <mergeCell ref="F269:F270"/>
    <mergeCell ref="G269:G270"/>
    <mergeCell ref="T279:T281"/>
    <mergeCell ref="A280:E281"/>
    <mergeCell ref="F280:G281"/>
    <mergeCell ref="P283:T283"/>
    <mergeCell ref="A175:A278"/>
    <mergeCell ref="B175:B208"/>
    <mergeCell ref="C175:C208"/>
    <mergeCell ref="D175:D208"/>
    <mergeCell ref="E175:E208"/>
    <mergeCell ref="F207:F208"/>
    <mergeCell ref="B237:B244"/>
    <mergeCell ref="C237:C244"/>
    <mergeCell ref="D237:D244"/>
    <mergeCell ref="E237:E244"/>
    <mergeCell ref="F237:F238"/>
    <mergeCell ref="F277:F278"/>
    <mergeCell ref="B265:B270"/>
    <mergeCell ref="C265:C270"/>
    <mergeCell ref="D265:D270"/>
    <mergeCell ref="G277:G278"/>
    <mergeCell ref="A279:O279"/>
    <mergeCell ref="P279:P281"/>
    <mergeCell ref="Q279:Q281"/>
    <mergeCell ref="R279:R281"/>
    <mergeCell ref="S279:S281"/>
    <mergeCell ref="B271:B278"/>
    <mergeCell ref="C271:C278"/>
    <mergeCell ref="D271:D278"/>
    <mergeCell ref="E271:E278"/>
    <mergeCell ref="F271:F272"/>
    <mergeCell ref="G271:G272"/>
    <mergeCell ref="F273:F276"/>
    <mergeCell ref="G273:G274"/>
    <mergeCell ref="G275:G276"/>
    <mergeCell ref="U283:X283"/>
    <mergeCell ref="Y2:AB2"/>
    <mergeCell ref="Y3:AB3"/>
    <mergeCell ref="Y279:Y281"/>
    <mergeCell ref="Z279:Z281"/>
    <mergeCell ref="AA279:AA281"/>
    <mergeCell ref="AB279:AB281"/>
    <mergeCell ref="Y283:AB283"/>
    <mergeCell ref="AC283:AF283"/>
    <mergeCell ref="U2:X2"/>
    <mergeCell ref="U3:X3"/>
    <mergeCell ref="U279:U281"/>
    <mergeCell ref="V279:V281"/>
    <mergeCell ref="W279:W281"/>
    <mergeCell ref="X279:X281"/>
    <mergeCell ref="AG2:AK2"/>
    <mergeCell ref="AG3:AK3"/>
    <mergeCell ref="AG279:AG281"/>
    <mergeCell ref="AH279:AH281"/>
    <mergeCell ref="AI279:AI281"/>
    <mergeCell ref="AJ279:AJ281"/>
    <mergeCell ref="AK279:AK281"/>
    <mergeCell ref="AG283:AK283"/>
    <mergeCell ref="AC2:AF2"/>
    <mergeCell ref="AC3:AF3"/>
    <mergeCell ref="AC279:AC281"/>
    <mergeCell ref="AD279:AD281"/>
    <mergeCell ref="AE279:AE281"/>
    <mergeCell ref="AF279:AF281"/>
    <mergeCell ref="AL283:AO283"/>
    <mergeCell ref="AP2:AT2"/>
    <mergeCell ref="AP3:AT3"/>
    <mergeCell ref="AP279:AP281"/>
    <mergeCell ref="AQ279:AQ281"/>
    <mergeCell ref="AR279:AR281"/>
    <mergeCell ref="AT279:AT281"/>
    <mergeCell ref="AP283:AT283"/>
    <mergeCell ref="AL2:AO2"/>
    <mergeCell ref="AL3:AO3"/>
    <mergeCell ref="AL279:AL281"/>
    <mergeCell ref="AM279:AM281"/>
    <mergeCell ref="AN279:AN281"/>
    <mergeCell ref="AO279:AO281"/>
    <mergeCell ref="BG279:BG281"/>
    <mergeCell ref="AU283:AX283"/>
    <mergeCell ref="AY2:BB2"/>
    <mergeCell ref="AY3:BB3"/>
    <mergeCell ref="AY279:AY281"/>
    <mergeCell ref="AZ279:AZ281"/>
    <mergeCell ref="BA279:BA281"/>
    <mergeCell ref="BB279:BB281"/>
    <mergeCell ref="AY283:BB283"/>
    <mergeCell ref="AU2:AX2"/>
    <mergeCell ref="AU3:AX3"/>
    <mergeCell ref="AU279:AU281"/>
    <mergeCell ref="AV279:AV281"/>
    <mergeCell ref="AW279:AW281"/>
    <mergeCell ref="AX279:AX281"/>
    <mergeCell ref="BL283:BO283"/>
    <mergeCell ref="A1:BO1"/>
    <mergeCell ref="H280:K281"/>
    <mergeCell ref="L280:O281"/>
    <mergeCell ref="BL2:BO2"/>
    <mergeCell ref="BL3:BO3"/>
    <mergeCell ref="BL279:BL281"/>
    <mergeCell ref="BM279:BM281"/>
    <mergeCell ref="BN279:BN281"/>
    <mergeCell ref="BO279:BO281"/>
    <mergeCell ref="BC283:BG283"/>
    <mergeCell ref="BH2:BK2"/>
    <mergeCell ref="BH3:BK3"/>
    <mergeCell ref="BH279:BH281"/>
    <mergeCell ref="BI279:BI281"/>
    <mergeCell ref="BJ279:BJ281"/>
    <mergeCell ref="BK279:BK281"/>
    <mergeCell ref="BH283:BK283"/>
    <mergeCell ref="BC2:BG2"/>
    <mergeCell ref="BC3:BG3"/>
    <mergeCell ref="BC279:BC281"/>
    <mergeCell ref="BD279:BD281"/>
    <mergeCell ref="BE279:BE281"/>
    <mergeCell ref="BF279:BF281"/>
  </mergeCells>
  <conditionalFormatting sqref="P5:BO278">
    <cfRule type="cellIs" dxfId="1776" priority="2845" operator="greaterThan">
      <formula>6</formula>
    </cfRule>
    <cfRule type="cellIs" dxfId="1775" priority="2846" operator="greaterThan">
      <formula>5</formula>
    </cfRule>
    <cfRule type="cellIs" dxfId="1774" priority="2847" operator="greaterThan">
      <formula>4</formula>
    </cfRule>
    <cfRule type="cellIs" dxfId="1773" priority="2848" operator="equal">
      <formula>3</formula>
    </cfRule>
    <cfRule type="cellIs" dxfId="1772" priority="2849" operator="equal">
      <formula>2</formula>
    </cfRule>
    <cfRule type="cellIs" dxfId="1771" priority="2850" operator="equal">
      <formula>1</formula>
    </cfRule>
  </conditionalFormatting>
  <conditionalFormatting sqref="P5:BO278">
    <cfRule type="cellIs" dxfId="1770" priority="2840" operator="equal">
      <formula>5</formula>
    </cfRule>
    <cfRule type="cellIs" dxfId="1769" priority="2841" operator="equal">
      <formula>4</formula>
    </cfRule>
    <cfRule type="cellIs" dxfId="1768" priority="2842" operator="equal">
      <formula>3</formula>
    </cfRule>
    <cfRule type="cellIs" dxfId="1767" priority="2843" operator="equal">
      <formula>2</formula>
    </cfRule>
    <cfRule type="cellIs" dxfId="1766" priority="2844" operator="equal">
      <formula>1</formula>
    </cfRule>
  </conditionalFormatting>
  <conditionalFormatting sqref="P6:BO6 P8:BO8 P10:BO10 P12:BO12 P14:BO14 P16:BO16 P18:BO18 P20:BO20">
    <cfRule type="cellIs" dxfId="1765" priority="2837" operator="equal">
      <formula>"0-5"</formula>
    </cfRule>
    <cfRule type="iconSet" priority="2838">
      <iconSet iconSet="3Symbols" showValue="0">
        <cfvo type="percent" val="0"/>
        <cfvo type="percent" val="33"/>
        <cfvo type="percent" val="67"/>
      </iconSet>
    </cfRule>
    <cfRule type="iconSet" priority="2839">
      <iconSet iconSet="3Symbols">
        <cfvo type="percent" val="0"/>
        <cfvo type="percent" val="33"/>
        <cfvo type="percent" val="67"/>
      </iconSet>
    </cfRule>
  </conditionalFormatting>
  <conditionalFormatting sqref="P6:BO6">
    <cfRule type="cellIs" dxfId="1764" priority="2826" operator="equal">
      <formula>5</formula>
    </cfRule>
    <cfRule type="cellIs" dxfId="1763" priority="2827" operator="equal">
      <formula>4</formula>
    </cfRule>
    <cfRule type="cellIs" dxfId="1762" priority="2828" operator="equal">
      <formula>3</formula>
    </cfRule>
    <cfRule type="cellIs" dxfId="1761" priority="2829" operator="equal">
      <formula>5</formula>
    </cfRule>
    <cfRule type="cellIs" dxfId="1760" priority="2830" operator="equal">
      <formula>4</formula>
    </cfRule>
    <cfRule type="cellIs" dxfId="1759" priority="2831" operator="equal">
      <formula>3</formula>
    </cfRule>
    <cfRule type="cellIs" dxfId="1758" priority="2832" operator="equal">
      <formula>2</formula>
    </cfRule>
    <cfRule type="cellIs" dxfId="1757" priority="2833" operator="equal">
      <formula>1</formula>
    </cfRule>
    <cfRule type="iconSet" priority="2834">
      <iconSet iconSet="3Symbols2" showValue="0">
        <cfvo type="percent" val="0"/>
        <cfvo type="num" val="0"/>
        <cfvo type="num" val="6"/>
      </iconSet>
    </cfRule>
    <cfRule type="iconSet" priority="2835">
      <iconSet iconSet="3Symbols2" showValue="0">
        <cfvo type="percent" val="0"/>
        <cfvo type="num" val="&quot;0+$Y$20&quot;"/>
        <cfvo type="num" val="1"/>
      </iconSet>
    </cfRule>
    <cfRule type="cellIs" dxfId="1756" priority="2836" operator="equal">
      <formula>6</formula>
    </cfRule>
  </conditionalFormatting>
  <conditionalFormatting sqref="P8:BO8">
    <cfRule type="cellIs" dxfId="1755" priority="2824" operator="equal">
      <formula>6</formula>
    </cfRule>
    <cfRule type="iconSet" priority="2825">
      <iconSet showValue="0">
        <cfvo type="percent" val="0"/>
        <cfvo type="num" val="&quot;0+$Y$20&quot;"/>
        <cfvo type="num" val="1"/>
      </iconSet>
    </cfRule>
  </conditionalFormatting>
  <conditionalFormatting sqref="P10:BO10">
    <cfRule type="cellIs" dxfId="1754" priority="2822" operator="equal">
      <formula>6</formula>
    </cfRule>
    <cfRule type="iconSet" priority="2823">
      <iconSet showValue="0">
        <cfvo type="percent" val="0"/>
        <cfvo type="num" val="&quot;0+$Y$20&quot;"/>
        <cfvo type="num" val="1"/>
      </iconSet>
    </cfRule>
  </conditionalFormatting>
  <conditionalFormatting sqref="P12:BO12">
    <cfRule type="cellIs" dxfId="1753" priority="2820" operator="equal">
      <formula>6</formula>
    </cfRule>
    <cfRule type="iconSet" priority="2821">
      <iconSet showValue="0">
        <cfvo type="percent" val="0"/>
        <cfvo type="num" val="&quot;0+$Y$20&quot;"/>
        <cfvo type="num" val="1"/>
      </iconSet>
    </cfRule>
  </conditionalFormatting>
  <conditionalFormatting sqref="P14:BO14">
    <cfRule type="cellIs" dxfId="1752" priority="2818" operator="equal">
      <formula>6</formula>
    </cfRule>
    <cfRule type="iconSet" priority="2819">
      <iconSet showValue="0">
        <cfvo type="percent" val="0"/>
        <cfvo type="num" val="&quot;0+$Y$20&quot;"/>
        <cfvo type="num" val="1"/>
      </iconSet>
    </cfRule>
  </conditionalFormatting>
  <conditionalFormatting sqref="P16:BO16">
    <cfRule type="cellIs" dxfId="1751" priority="2816" operator="equal">
      <formula>6</formula>
    </cfRule>
    <cfRule type="iconSet" priority="2817">
      <iconSet showValue="0">
        <cfvo type="percent" val="0"/>
        <cfvo type="num" val="&quot;0+$Y$20&quot;"/>
        <cfvo type="num" val="1"/>
      </iconSet>
    </cfRule>
  </conditionalFormatting>
  <conditionalFormatting sqref="P18:BO18">
    <cfRule type="cellIs" dxfId="1750" priority="2814" operator="equal">
      <formula>6</formula>
    </cfRule>
    <cfRule type="iconSet" priority="2815">
      <iconSet showValue="0">
        <cfvo type="percent" val="0"/>
        <cfvo type="num" val="&quot;0+$Y$20&quot;"/>
        <cfvo type="num" val="1"/>
      </iconSet>
    </cfRule>
  </conditionalFormatting>
  <conditionalFormatting sqref="P20:BO20">
    <cfRule type="iconSet" priority="2812">
      <iconSet iconSet="3Symbols2" showValue="0">
        <cfvo type="percent" val="0"/>
        <cfvo type="num" val="&quot;0+$Y$20&quot;"/>
        <cfvo type="num" val="1"/>
      </iconSet>
    </cfRule>
    <cfRule type="cellIs" dxfId="1749" priority="2813" operator="equal">
      <formula>6</formula>
    </cfRule>
  </conditionalFormatting>
  <conditionalFormatting sqref="P8:BO8">
    <cfRule type="iconSet" priority="2809">
      <iconSet iconSet="3Symbols2" showValue="0">
        <cfvo type="percent" val="0"/>
        <cfvo type="num" val="0"/>
        <cfvo type="num" val="6"/>
      </iconSet>
    </cfRule>
    <cfRule type="iconSet" priority="2810">
      <iconSet iconSet="3Symbols2" showValue="0">
        <cfvo type="percent" val="0"/>
        <cfvo type="num" val="&quot;0+$Y$20&quot;"/>
        <cfvo type="num" val="1"/>
      </iconSet>
    </cfRule>
    <cfRule type="cellIs" dxfId="1748" priority="2811" operator="equal">
      <formula>6</formula>
    </cfRule>
  </conditionalFormatting>
  <conditionalFormatting sqref="P10:BO10">
    <cfRule type="iconSet" priority="2806">
      <iconSet iconSet="3Symbols2" showValue="0">
        <cfvo type="percent" val="0"/>
        <cfvo type="num" val="0"/>
        <cfvo type="num" val="6"/>
      </iconSet>
    </cfRule>
    <cfRule type="iconSet" priority="2807">
      <iconSet iconSet="3Symbols2" showValue="0">
        <cfvo type="percent" val="0"/>
        <cfvo type="num" val="&quot;0+$Y$20&quot;"/>
        <cfvo type="num" val="1"/>
      </iconSet>
    </cfRule>
    <cfRule type="cellIs" dxfId="1747" priority="2808" operator="equal">
      <formula>6</formula>
    </cfRule>
  </conditionalFormatting>
  <conditionalFormatting sqref="P20:BO20">
    <cfRule type="cellIs" dxfId="1746" priority="2804" operator="equal">
      <formula>6</formula>
    </cfRule>
    <cfRule type="iconSet" priority="2805">
      <iconSet showValue="0">
        <cfvo type="percent" val="0"/>
        <cfvo type="num" val="&quot;0+$Y$20&quot;"/>
        <cfvo type="num" val="1"/>
      </iconSet>
    </cfRule>
  </conditionalFormatting>
  <conditionalFormatting sqref="P20:BO20">
    <cfRule type="iconSet" priority="2801">
      <iconSet iconSet="3Symbols2" showValue="0">
        <cfvo type="percent" val="0"/>
        <cfvo type="num" val="0"/>
        <cfvo type="num" val="6"/>
      </iconSet>
    </cfRule>
    <cfRule type="iconSet" priority="2802">
      <iconSet iconSet="3Symbols2" showValue="0">
        <cfvo type="percent" val="0"/>
        <cfvo type="num" val="&quot;0+$Y$20&quot;"/>
        <cfvo type="num" val="1"/>
      </iconSet>
    </cfRule>
    <cfRule type="cellIs" dxfId="1745" priority="2803" operator="equal">
      <formula>6</formula>
    </cfRule>
  </conditionalFormatting>
  <conditionalFormatting sqref="P18:BO18">
    <cfRule type="iconSet" priority="2799">
      <iconSet iconSet="3Symbols2" showValue="0">
        <cfvo type="percent" val="0"/>
        <cfvo type="num" val="&quot;0+$Y$20&quot;"/>
        <cfvo type="num" val="1"/>
      </iconSet>
    </cfRule>
    <cfRule type="cellIs" dxfId="1744" priority="2800" operator="equal">
      <formula>6</formula>
    </cfRule>
  </conditionalFormatting>
  <conditionalFormatting sqref="P18:BO18">
    <cfRule type="iconSet" priority="2796">
      <iconSet iconSet="3Symbols2" showValue="0">
        <cfvo type="percent" val="0"/>
        <cfvo type="num" val="0"/>
        <cfvo type="num" val="6"/>
      </iconSet>
    </cfRule>
    <cfRule type="iconSet" priority="2797">
      <iconSet iconSet="3Symbols2" showValue="0">
        <cfvo type="percent" val="0"/>
        <cfvo type="num" val="&quot;0+$Y$20&quot;"/>
        <cfvo type="num" val="1"/>
      </iconSet>
    </cfRule>
    <cfRule type="cellIs" dxfId="1743" priority="2798" operator="equal">
      <formula>6</formula>
    </cfRule>
  </conditionalFormatting>
  <conditionalFormatting sqref="P8:BO8">
    <cfRule type="cellIs" dxfId="1742" priority="2785" operator="equal">
      <formula>5</formula>
    </cfRule>
    <cfRule type="cellIs" dxfId="1741" priority="2786" operator="equal">
      <formula>4</formula>
    </cfRule>
    <cfRule type="cellIs" dxfId="1740" priority="2787" operator="equal">
      <formula>3</formula>
    </cfRule>
    <cfRule type="cellIs" dxfId="1739" priority="2788" operator="equal">
      <formula>5</formula>
    </cfRule>
    <cfRule type="cellIs" dxfId="1738" priority="2789" operator="equal">
      <formula>4</formula>
    </cfRule>
    <cfRule type="cellIs" dxfId="1737" priority="2790" operator="equal">
      <formula>3</formula>
    </cfRule>
    <cfRule type="cellIs" dxfId="1736" priority="2791" operator="equal">
      <formula>2</formula>
    </cfRule>
    <cfRule type="cellIs" dxfId="1735" priority="2792" operator="equal">
      <formula>1</formula>
    </cfRule>
    <cfRule type="iconSet" priority="2793">
      <iconSet iconSet="3Symbols2" showValue="0">
        <cfvo type="percent" val="0"/>
        <cfvo type="num" val="0"/>
        <cfvo type="num" val="6"/>
      </iconSet>
    </cfRule>
    <cfRule type="iconSet" priority="2794">
      <iconSet iconSet="3Symbols2" showValue="0">
        <cfvo type="percent" val="0"/>
        <cfvo type="num" val="&quot;0+$Y$20&quot;"/>
        <cfvo type="num" val="1"/>
      </iconSet>
    </cfRule>
    <cfRule type="cellIs" dxfId="1734" priority="2795" operator="equal">
      <formula>6</formula>
    </cfRule>
  </conditionalFormatting>
  <conditionalFormatting sqref="P10:BO10">
    <cfRule type="cellIs" dxfId="1733" priority="2774" operator="equal">
      <formula>5</formula>
    </cfRule>
    <cfRule type="cellIs" dxfId="1732" priority="2775" operator="equal">
      <formula>4</formula>
    </cfRule>
    <cfRule type="cellIs" dxfId="1731" priority="2776" operator="equal">
      <formula>3</formula>
    </cfRule>
    <cfRule type="cellIs" dxfId="1730" priority="2777" operator="equal">
      <formula>5</formula>
    </cfRule>
    <cfRule type="cellIs" dxfId="1729" priority="2778" operator="equal">
      <formula>4</formula>
    </cfRule>
    <cfRule type="cellIs" dxfId="1728" priority="2779" operator="equal">
      <formula>3</formula>
    </cfRule>
    <cfRule type="cellIs" dxfId="1727" priority="2780" operator="equal">
      <formula>2</formula>
    </cfRule>
    <cfRule type="cellIs" dxfId="1726" priority="2781" operator="equal">
      <formula>1</formula>
    </cfRule>
    <cfRule type="iconSet" priority="2782">
      <iconSet iconSet="3Symbols2" showValue="0">
        <cfvo type="percent" val="0"/>
        <cfvo type="num" val="0"/>
        <cfvo type="num" val="6"/>
      </iconSet>
    </cfRule>
    <cfRule type="iconSet" priority="2783">
      <iconSet iconSet="3Symbols2" showValue="0">
        <cfvo type="percent" val="0"/>
        <cfvo type="num" val="&quot;0+$Y$20&quot;"/>
        <cfvo type="num" val="1"/>
      </iconSet>
    </cfRule>
    <cfRule type="cellIs" dxfId="1725" priority="2784" operator="equal">
      <formula>6</formula>
    </cfRule>
  </conditionalFormatting>
  <conditionalFormatting sqref="P12:BO12">
    <cfRule type="iconSet" priority="2771">
      <iconSet iconSet="3Symbols2" showValue="0">
        <cfvo type="percent" val="0"/>
        <cfvo type="num" val="0"/>
        <cfvo type="num" val="6"/>
      </iconSet>
    </cfRule>
    <cfRule type="iconSet" priority="2772">
      <iconSet iconSet="3Symbols2" showValue="0">
        <cfvo type="percent" val="0"/>
        <cfvo type="num" val="&quot;0+$Y$20&quot;"/>
        <cfvo type="num" val="1"/>
      </iconSet>
    </cfRule>
    <cfRule type="cellIs" dxfId="1724" priority="2773" operator="equal">
      <formula>6</formula>
    </cfRule>
  </conditionalFormatting>
  <conditionalFormatting sqref="P12:BO12">
    <cfRule type="cellIs" dxfId="1723" priority="2760" operator="equal">
      <formula>5</formula>
    </cfRule>
    <cfRule type="cellIs" dxfId="1722" priority="2761" operator="equal">
      <formula>4</formula>
    </cfRule>
    <cfRule type="cellIs" dxfId="1721" priority="2762" operator="equal">
      <formula>3</formula>
    </cfRule>
    <cfRule type="cellIs" dxfId="1720" priority="2763" operator="equal">
      <formula>5</formula>
    </cfRule>
    <cfRule type="cellIs" dxfId="1719" priority="2764" operator="equal">
      <formula>4</formula>
    </cfRule>
    <cfRule type="cellIs" dxfId="1718" priority="2765" operator="equal">
      <formula>3</formula>
    </cfRule>
    <cfRule type="cellIs" dxfId="1717" priority="2766" operator="equal">
      <formula>2</formula>
    </cfRule>
    <cfRule type="cellIs" dxfId="1716" priority="2767" operator="equal">
      <formula>1</formula>
    </cfRule>
    <cfRule type="iconSet" priority="2768">
      <iconSet iconSet="3Symbols2" showValue="0">
        <cfvo type="percent" val="0"/>
        <cfvo type="num" val="0"/>
        <cfvo type="num" val="6"/>
      </iconSet>
    </cfRule>
    <cfRule type="iconSet" priority="2769">
      <iconSet iconSet="3Symbols2" showValue="0">
        <cfvo type="percent" val="0"/>
        <cfvo type="num" val="&quot;0+$Y$20&quot;"/>
        <cfvo type="num" val="1"/>
      </iconSet>
    </cfRule>
    <cfRule type="cellIs" dxfId="1715" priority="2770" operator="equal">
      <formula>6</formula>
    </cfRule>
  </conditionalFormatting>
  <conditionalFormatting sqref="P14:BO14">
    <cfRule type="iconSet" priority="2757">
      <iconSet iconSet="3Symbols2" showValue="0">
        <cfvo type="percent" val="0"/>
        <cfvo type="num" val="0"/>
        <cfvo type="num" val="6"/>
      </iconSet>
    </cfRule>
    <cfRule type="iconSet" priority="2758">
      <iconSet iconSet="3Symbols2" showValue="0">
        <cfvo type="percent" val="0"/>
        <cfvo type="num" val="&quot;0+$Y$20&quot;"/>
        <cfvo type="num" val="1"/>
      </iconSet>
    </cfRule>
    <cfRule type="cellIs" dxfId="1714" priority="2759" operator="equal">
      <formula>6</formula>
    </cfRule>
  </conditionalFormatting>
  <conditionalFormatting sqref="P14:BO14">
    <cfRule type="cellIs" dxfId="1713" priority="2746" operator="equal">
      <formula>5</formula>
    </cfRule>
    <cfRule type="cellIs" dxfId="1712" priority="2747" operator="equal">
      <formula>4</formula>
    </cfRule>
    <cfRule type="cellIs" dxfId="1711" priority="2748" operator="equal">
      <formula>3</formula>
    </cfRule>
    <cfRule type="cellIs" dxfId="1710" priority="2749" operator="equal">
      <formula>5</formula>
    </cfRule>
    <cfRule type="cellIs" dxfId="1709" priority="2750" operator="equal">
      <formula>4</formula>
    </cfRule>
    <cfRule type="cellIs" dxfId="1708" priority="2751" operator="equal">
      <formula>3</formula>
    </cfRule>
    <cfRule type="cellIs" dxfId="1707" priority="2752" operator="equal">
      <formula>2</formula>
    </cfRule>
    <cfRule type="cellIs" dxfId="1706" priority="2753" operator="equal">
      <formula>1</formula>
    </cfRule>
    <cfRule type="iconSet" priority="2754">
      <iconSet iconSet="3Symbols2" showValue="0">
        <cfvo type="percent" val="0"/>
        <cfvo type="num" val="0"/>
        <cfvo type="num" val="6"/>
      </iconSet>
    </cfRule>
    <cfRule type="iconSet" priority="2755">
      <iconSet iconSet="3Symbols2" showValue="0">
        <cfvo type="percent" val="0"/>
        <cfvo type="num" val="&quot;0+$Y$20&quot;"/>
        <cfvo type="num" val="1"/>
      </iconSet>
    </cfRule>
    <cfRule type="cellIs" dxfId="1705" priority="2756" operator="equal">
      <formula>6</formula>
    </cfRule>
  </conditionalFormatting>
  <conditionalFormatting sqref="P16:BO16">
    <cfRule type="iconSet" priority="2743">
      <iconSet iconSet="3Symbols2" showValue="0">
        <cfvo type="percent" val="0"/>
        <cfvo type="num" val="0"/>
        <cfvo type="num" val="6"/>
      </iconSet>
    </cfRule>
    <cfRule type="iconSet" priority="2744">
      <iconSet iconSet="3Symbols2" showValue="0">
        <cfvo type="percent" val="0"/>
        <cfvo type="num" val="&quot;0+$Y$20&quot;"/>
        <cfvo type="num" val="1"/>
      </iconSet>
    </cfRule>
    <cfRule type="cellIs" dxfId="1704" priority="2745" operator="equal">
      <formula>6</formula>
    </cfRule>
  </conditionalFormatting>
  <conditionalFormatting sqref="P16:BO16">
    <cfRule type="cellIs" dxfId="1703" priority="2732" operator="equal">
      <formula>5</formula>
    </cfRule>
    <cfRule type="cellIs" dxfId="1702" priority="2733" operator="equal">
      <formula>4</formula>
    </cfRule>
    <cfRule type="cellIs" dxfId="1701" priority="2734" operator="equal">
      <formula>3</formula>
    </cfRule>
    <cfRule type="cellIs" dxfId="1700" priority="2735" operator="equal">
      <formula>5</formula>
    </cfRule>
    <cfRule type="cellIs" dxfId="1699" priority="2736" operator="equal">
      <formula>4</formula>
    </cfRule>
    <cfRule type="cellIs" dxfId="1698" priority="2737" operator="equal">
      <formula>3</formula>
    </cfRule>
    <cfRule type="cellIs" dxfId="1697" priority="2738" operator="equal">
      <formula>2</formula>
    </cfRule>
    <cfRule type="cellIs" dxfId="1696" priority="2739" operator="equal">
      <formula>1</formula>
    </cfRule>
    <cfRule type="iconSet" priority="2740">
      <iconSet iconSet="3Symbols2" showValue="0">
        <cfvo type="percent" val="0"/>
        <cfvo type="num" val="0"/>
        <cfvo type="num" val="6"/>
      </iconSet>
    </cfRule>
    <cfRule type="iconSet" priority="2741">
      <iconSet iconSet="3Symbols2" showValue="0">
        <cfvo type="percent" val="0"/>
        <cfvo type="num" val="&quot;0+$Y$20&quot;"/>
        <cfvo type="num" val="1"/>
      </iconSet>
    </cfRule>
    <cfRule type="cellIs" dxfId="1695" priority="2742" operator="equal">
      <formula>6</formula>
    </cfRule>
  </conditionalFormatting>
  <conditionalFormatting sqref="P18:BO18">
    <cfRule type="cellIs" dxfId="1694" priority="2721" operator="equal">
      <formula>5</formula>
    </cfRule>
    <cfRule type="cellIs" dxfId="1693" priority="2722" operator="equal">
      <formula>4</formula>
    </cfRule>
    <cfRule type="cellIs" dxfId="1692" priority="2723" operator="equal">
      <formula>3</formula>
    </cfRule>
    <cfRule type="cellIs" dxfId="1691" priority="2724" operator="equal">
      <formula>5</formula>
    </cfRule>
    <cfRule type="cellIs" dxfId="1690" priority="2725" operator="equal">
      <formula>4</formula>
    </cfRule>
    <cfRule type="cellIs" dxfId="1689" priority="2726" operator="equal">
      <formula>3</formula>
    </cfRule>
    <cfRule type="cellIs" dxfId="1688" priority="2727" operator="equal">
      <formula>2</formula>
    </cfRule>
    <cfRule type="cellIs" dxfId="1687" priority="2728" operator="equal">
      <formula>1</formula>
    </cfRule>
    <cfRule type="iconSet" priority="2729">
      <iconSet iconSet="3Symbols2" showValue="0">
        <cfvo type="percent" val="0"/>
        <cfvo type="num" val="0"/>
        <cfvo type="num" val="6"/>
      </iconSet>
    </cfRule>
    <cfRule type="iconSet" priority="2730">
      <iconSet iconSet="3Symbols2" showValue="0">
        <cfvo type="percent" val="0"/>
        <cfvo type="num" val="&quot;0+$Y$20&quot;"/>
        <cfvo type="num" val="1"/>
      </iconSet>
    </cfRule>
    <cfRule type="cellIs" dxfId="1686" priority="2731" operator="equal">
      <formula>6</formula>
    </cfRule>
  </conditionalFormatting>
  <conditionalFormatting sqref="P20:BO20">
    <cfRule type="cellIs" dxfId="1685" priority="2710" operator="equal">
      <formula>5</formula>
    </cfRule>
    <cfRule type="cellIs" dxfId="1684" priority="2711" operator="equal">
      <formula>4</formula>
    </cfRule>
    <cfRule type="cellIs" dxfId="1683" priority="2712" operator="equal">
      <formula>3</formula>
    </cfRule>
    <cfRule type="cellIs" dxfId="1682" priority="2713" operator="equal">
      <formula>5</formula>
    </cfRule>
    <cfRule type="cellIs" dxfId="1681" priority="2714" operator="equal">
      <formula>4</formula>
    </cfRule>
    <cfRule type="cellIs" dxfId="1680" priority="2715" operator="equal">
      <formula>3</formula>
    </cfRule>
    <cfRule type="cellIs" dxfId="1679" priority="2716" operator="equal">
      <formula>2</formula>
    </cfRule>
    <cfRule type="cellIs" dxfId="1678" priority="2717" operator="equal">
      <formula>1</formula>
    </cfRule>
    <cfRule type="iconSet" priority="2718">
      <iconSet iconSet="3Symbols2" showValue="0">
        <cfvo type="percent" val="0"/>
        <cfvo type="num" val="0"/>
        <cfvo type="num" val="6"/>
      </iconSet>
    </cfRule>
    <cfRule type="iconSet" priority="2719">
      <iconSet iconSet="3Symbols2" showValue="0">
        <cfvo type="percent" val="0"/>
        <cfvo type="num" val="&quot;0+$Y$20&quot;"/>
        <cfvo type="num" val="1"/>
      </iconSet>
    </cfRule>
    <cfRule type="cellIs" dxfId="1677" priority="2720" operator="equal">
      <formula>6</formula>
    </cfRule>
  </conditionalFormatting>
  <conditionalFormatting sqref="P22:BO22">
    <cfRule type="cellIs" dxfId="1676" priority="2707" operator="equal">
      <formula>"0-5"</formula>
    </cfRule>
    <cfRule type="iconSet" priority="2708">
      <iconSet iconSet="3Symbols" showValue="0">
        <cfvo type="percent" val="0"/>
        <cfvo type="percent" val="33"/>
        <cfvo type="percent" val="67"/>
      </iconSet>
    </cfRule>
    <cfRule type="iconSet" priority="2709">
      <iconSet iconSet="3Symbols">
        <cfvo type="percent" val="0"/>
        <cfvo type="percent" val="33"/>
        <cfvo type="percent" val="67"/>
      </iconSet>
    </cfRule>
  </conditionalFormatting>
  <conditionalFormatting sqref="P22:BO22">
    <cfRule type="iconSet" priority="2705">
      <iconSet iconSet="3Symbols2" showValue="0">
        <cfvo type="percent" val="0"/>
        <cfvo type="num" val="&quot;0+$Y$20&quot;"/>
        <cfvo type="num" val="1"/>
      </iconSet>
    </cfRule>
    <cfRule type="cellIs" dxfId="1675" priority="2706" operator="equal">
      <formula>6</formula>
    </cfRule>
  </conditionalFormatting>
  <conditionalFormatting sqref="P22:BO22">
    <cfRule type="cellIs" dxfId="1674" priority="2703" operator="equal">
      <formula>6</formula>
    </cfRule>
    <cfRule type="iconSet" priority="2704">
      <iconSet showValue="0">
        <cfvo type="percent" val="0"/>
        <cfvo type="num" val="&quot;0+$Y$20&quot;"/>
        <cfvo type="num" val="1"/>
      </iconSet>
    </cfRule>
  </conditionalFormatting>
  <conditionalFormatting sqref="P22:BO22">
    <cfRule type="iconSet" priority="2700">
      <iconSet iconSet="3Symbols2" showValue="0">
        <cfvo type="percent" val="0"/>
        <cfvo type="num" val="0"/>
        <cfvo type="num" val="6"/>
      </iconSet>
    </cfRule>
    <cfRule type="iconSet" priority="2701">
      <iconSet iconSet="3Symbols2" showValue="0">
        <cfvo type="percent" val="0"/>
        <cfvo type="num" val="&quot;0+$Y$20&quot;"/>
        <cfvo type="num" val="1"/>
      </iconSet>
    </cfRule>
    <cfRule type="cellIs" dxfId="1673" priority="2702" operator="equal">
      <formula>6</formula>
    </cfRule>
  </conditionalFormatting>
  <conditionalFormatting sqref="P22:BO22">
    <cfRule type="cellIs" dxfId="1672" priority="2689" operator="equal">
      <formula>5</formula>
    </cfRule>
    <cfRule type="cellIs" dxfId="1671" priority="2690" operator="equal">
      <formula>4</formula>
    </cfRule>
    <cfRule type="cellIs" dxfId="1670" priority="2691" operator="equal">
      <formula>3</formula>
    </cfRule>
    <cfRule type="cellIs" dxfId="1669" priority="2692" operator="equal">
      <formula>5</formula>
    </cfRule>
    <cfRule type="cellIs" dxfId="1668" priority="2693" operator="equal">
      <formula>4</formula>
    </cfRule>
    <cfRule type="cellIs" dxfId="1667" priority="2694" operator="equal">
      <formula>3</formula>
    </cfRule>
    <cfRule type="cellIs" dxfId="1666" priority="2695" operator="equal">
      <formula>2</formula>
    </cfRule>
    <cfRule type="cellIs" dxfId="1665" priority="2696" operator="equal">
      <formula>1</formula>
    </cfRule>
    <cfRule type="iconSet" priority="2697">
      <iconSet iconSet="3Symbols2" showValue="0">
        <cfvo type="percent" val="0"/>
        <cfvo type="num" val="0"/>
        <cfvo type="num" val="6"/>
      </iconSet>
    </cfRule>
    <cfRule type="iconSet" priority="2698">
      <iconSet iconSet="3Symbols2" showValue="0">
        <cfvo type="percent" val="0"/>
        <cfvo type="num" val="&quot;0+$Y$20&quot;"/>
        <cfvo type="num" val="1"/>
      </iconSet>
    </cfRule>
    <cfRule type="cellIs" dxfId="1664" priority="2699" operator="equal">
      <formula>6</formula>
    </cfRule>
  </conditionalFormatting>
  <conditionalFormatting sqref="P24:BO24">
    <cfRule type="cellIs" dxfId="1663" priority="2686" operator="equal">
      <formula>"0-5"</formula>
    </cfRule>
    <cfRule type="iconSet" priority="2687">
      <iconSet iconSet="3Symbols" showValue="0">
        <cfvo type="percent" val="0"/>
        <cfvo type="percent" val="33"/>
        <cfvo type="percent" val="67"/>
      </iconSet>
    </cfRule>
    <cfRule type="iconSet" priority="2688">
      <iconSet iconSet="3Symbols">
        <cfvo type="percent" val="0"/>
        <cfvo type="percent" val="33"/>
        <cfvo type="percent" val="67"/>
      </iconSet>
    </cfRule>
  </conditionalFormatting>
  <conditionalFormatting sqref="P24:BO24">
    <cfRule type="iconSet" priority="2684">
      <iconSet iconSet="3Symbols2" showValue="0">
        <cfvo type="percent" val="0"/>
        <cfvo type="num" val="&quot;0+$Y$20&quot;"/>
        <cfvo type="num" val="1"/>
      </iconSet>
    </cfRule>
    <cfRule type="cellIs" dxfId="1662" priority="2685" operator="equal">
      <formula>6</formula>
    </cfRule>
  </conditionalFormatting>
  <conditionalFormatting sqref="P24:BO24">
    <cfRule type="cellIs" dxfId="1661" priority="2682" operator="equal">
      <formula>6</formula>
    </cfRule>
    <cfRule type="iconSet" priority="2683">
      <iconSet showValue="0">
        <cfvo type="percent" val="0"/>
        <cfvo type="num" val="&quot;0+$Y$20&quot;"/>
        <cfvo type="num" val="1"/>
      </iconSet>
    </cfRule>
  </conditionalFormatting>
  <conditionalFormatting sqref="P24:BO24">
    <cfRule type="iconSet" priority="2679">
      <iconSet iconSet="3Symbols2" showValue="0">
        <cfvo type="percent" val="0"/>
        <cfvo type="num" val="0"/>
        <cfvo type="num" val="6"/>
      </iconSet>
    </cfRule>
    <cfRule type="iconSet" priority="2680">
      <iconSet iconSet="3Symbols2" showValue="0">
        <cfvo type="percent" val="0"/>
        <cfvo type="num" val="&quot;0+$Y$20&quot;"/>
        <cfvo type="num" val="1"/>
      </iconSet>
    </cfRule>
    <cfRule type="cellIs" dxfId="1660" priority="2681" operator="equal">
      <formula>6</formula>
    </cfRule>
  </conditionalFormatting>
  <conditionalFormatting sqref="P24:BO24">
    <cfRule type="cellIs" dxfId="1659" priority="2668" operator="equal">
      <formula>5</formula>
    </cfRule>
    <cfRule type="cellIs" dxfId="1658" priority="2669" operator="equal">
      <formula>4</formula>
    </cfRule>
    <cfRule type="cellIs" dxfId="1657" priority="2670" operator="equal">
      <formula>3</formula>
    </cfRule>
    <cfRule type="cellIs" dxfId="1656" priority="2671" operator="equal">
      <formula>5</formula>
    </cfRule>
    <cfRule type="cellIs" dxfId="1655" priority="2672" operator="equal">
      <formula>4</formula>
    </cfRule>
    <cfRule type="cellIs" dxfId="1654" priority="2673" operator="equal">
      <formula>3</formula>
    </cfRule>
    <cfRule type="cellIs" dxfId="1653" priority="2674" operator="equal">
      <formula>2</formula>
    </cfRule>
    <cfRule type="cellIs" dxfId="1652" priority="2675" operator="equal">
      <formula>1</formula>
    </cfRule>
    <cfRule type="iconSet" priority="2676">
      <iconSet iconSet="3Symbols2" showValue="0">
        <cfvo type="percent" val="0"/>
        <cfvo type="num" val="0"/>
        <cfvo type="num" val="6"/>
      </iconSet>
    </cfRule>
    <cfRule type="iconSet" priority="2677">
      <iconSet iconSet="3Symbols2" showValue="0">
        <cfvo type="percent" val="0"/>
        <cfvo type="num" val="&quot;0+$Y$20&quot;"/>
        <cfvo type="num" val="1"/>
      </iconSet>
    </cfRule>
    <cfRule type="cellIs" dxfId="1651" priority="2678" operator="equal">
      <formula>6</formula>
    </cfRule>
  </conditionalFormatting>
  <conditionalFormatting sqref="P26:BO26">
    <cfRule type="cellIs" dxfId="1650" priority="2665" operator="equal">
      <formula>"0-5"</formula>
    </cfRule>
    <cfRule type="iconSet" priority="2666">
      <iconSet iconSet="3Symbols" showValue="0">
        <cfvo type="percent" val="0"/>
        <cfvo type="percent" val="33"/>
        <cfvo type="percent" val="67"/>
      </iconSet>
    </cfRule>
    <cfRule type="iconSet" priority="2667">
      <iconSet iconSet="3Symbols">
        <cfvo type="percent" val="0"/>
        <cfvo type="percent" val="33"/>
        <cfvo type="percent" val="67"/>
      </iconSet>
    </cfRule>
  </conditionalFormatting>
  <conditionalFormatting sqref="P26:BO26">
    <cfRule type="iconSet" priority="2663">
      <iconSet iconSet="3Symbols2" showValue="0">
        <cfvo type="percent" val="0"/>
        <cfvo type="num" val="&quot;0+$Y$20&quot;"/>
        <cfvo type="num" val="1"/>
      </iconSet>
    </cfRule>
    <cfRule type="cellIs" dxfId="1649" priority="2664" operator="equal">
      <formula>6</formula>
    </cfRule>
  </conditionalFormatting>
  <conditionalFormatting sqref="P26:BO26">
    <cfRule type="cellIs" dxfId="1648" priority="2661" operator="equal">
      <formula>6</formula>
    </cfRule>
    <cfRule type="iconSet" priority="2662">
      <iconSet showValue="0">
        <cfvo type="percent" val="0"/>
        <cfvo type="num" val="&quot;0+$Y$20&quot;"/>
        <cfvo type="num" val="1"/>
      </iconSet>
    </cfRule>
  </conditionalFormatting>
  <conditionalFormatting sqref="P26:BO26">
    <cfRule type="iconSet" priority="2658">
      <iconSet iconSet="3Symbols2" showValue="0">
        <cfvo type="percent" val="0"/>
        <cfvo type="num" val="0"/>
        <cfvo type="num" val="6"/>
      </iconSet>
    </cfRule>
    <cfRule type="iconSet" priority="2659">
      <iconSet iconSet="3Symbols2" showValue="0">
        <cfvo type="percent" val="0"/>
        <cfvo type="num" val="&quot;0+$Y$20&quot;"/>
        <cfvo type="num" val="1"/>
      </iconSet>
    </cfRule>
    <cfRule type="cellIs" dxfId="1647" priority="2660" operator="equal">
      <formula>6</formula>
    </cfRule>
  </conditionalFormatting>
  <conditionalFormatting sqref="P26:BO26">
    <cfRule type="cellIs" dxfId="1646" priority="2647" operator="equal">
      <formula>5</formula>
    </cfRule>
    <cfRule type="cellIs" dxfId="1645" priority="2648" operator="equal">
      <formula>4</formula>
    </cfRule>
    <cfRule type="cellIs" dxfId="1644" priority="2649" operator="equal">
      <formula>3</formula>
    </cfRule>
    <cfRule type="cellIs" dxfId="1643" priority="2650" operator="equal">
      <formula>5</formula>
    </cfRule>
    <cfRule type="cellIs" dxfId="1642" priority="2651" operator="equal">
      <formula>4</formula>
    </cfRule>
    <cfRule type="cellIs" dxfId="1641" priority="2652" operator="equal">
      <formula>3</formula>
    </cfRule>
    <cfRule type="cellIs" dxfId="1640" priority="2653" operator="equal">
      <formula>2</formula>
    </cfRule>
    <cfRule type="cellIs" dxfId="1639" priority="2654" operator="equal">
      <formula>1</formula>
    </cfRule>
    <cfRule type="iconSet" priority="2655">
      <iconSet iconSet="3Symbols2" showValue="0">
        <cfvo type="percent" val="0"/>
        <cfvo type="num" val="0"/>
        <cfvo type="num" val="6"/>
      </iconSet>
    </cfRule>
    <cfRule type="iconSet" priority="2656">
      <iconSet iconSet="3Symbols2" showValue="0">
        <cfvo type="percent" val="0"/>
        <cfvo type="num" val="&quot;0+$Y$20&quot;"/>
        <cfvo type="num" val="1"/>
      </iconSet>
    </cfRule>
    <cfRule type="cellIs" dxfId="1638" priority="2657" operator="equal">
      <formula>6</formula>
    </cfRule>
  </conditionalFormatting>
  <conditionalFormatting sqref="P28:BO28">
    <cfRule type="cellIs" dxfId="1637" priority="2644" operator="equal">
      <formula>"0-5"</formula>
    </cfRule>
    <cfRule type="iconSet" priority="2645">
      <iconSet iconSet="3Symbols" showValue="0">
        <cfvo type="percent" val="0"/>
        <cfvo type="percent" val="33"/>
        <cfvo type="percent" val="67"/>
      </iconSet>
    </cfRule>
    <cfRule type="iconSet" priority="2646">
      <iconSet iconSet="3Symbols">
        <cfvo type="percent" val="0"/>
        <cfvo type="percent" val="33"/>
        <cfvo type="percent" val="67"/>
      </iconSet>
    </cfRule>
  </conditionalFormatting>
  <conditionalFormatting sqref="P28:BO28">
    <cfRule type="iconSet" priority="2642">
      <iconSet iconSet="3Symbols2" showValue="0">
        <cfvo type="percent" val="0"/>
        <cfvo type="num" val="&quot;0+$Y$20&quot;"/>
        <cfvo type="num" val="1"/>
      </iconSet>
    </cfRule>
    <cfRule type="cellIs" dxfId="1636" priority="2643" operator="equal">
      <formula>6</formula>
    </cfRule>
  </conditionalFormatting>
  <conditionalFormatting sqref="P28:BO28">
    <cfRule type="cellIs" dxfId="1635" priority="2640" operator="equal">
      <formula>6</formula>
    </cfRule>
    <cfRule type="iconSet" priority="2641">
      <iconSet showValue="0">
        <cfvo type="percent" val="0"/>
        <cfvo type="num" val="&quot;0+$Y$20&quot;"/>
        <cfvo type="num" val="1"/>
      </iconSet>
    </cfRule>
  </conditionalFormatting>
  <conditionalFormatting sqref="P28:BO28">
    <cfRule type="iconSet" priority="2637">
      <iconSet iconSet="3Symbols2" showValue="0">
        <cfvo type="percent" val="0"/>
        <cfvo type="num" val="0"/>
        <cfvo type="num" val="6"/>
      </iconSet>
    </cfRule>
    <cfRule type="iconSet" priority="2638">
      <iconSet iconSet="3Symbols2" showValue="0">
        <cfvo type="percent" val="0"/>
        <cfvo type="num" val="&quot;0+$Y$20&quot;"/>
        <cfvo type="num" val="1"/>
      </iconSet>
    </cfRule>
    <cfRule type="cellIs" dxfId="1634" priority="2639" operator="equal">
      <formula>6</formula>
    </cfRule>
  </conditionalFormatting>
  <conditionalFormatting sqref="P28:BO28">
    <cfRule type="cellIs" dxfId="1633" priority="2626" operator="equal">
      <formula>5</formula>
    </cfRule>
    <cfRule type="cellIs" dxfId="1632" priority="2627" operator="equal">
      <formula>4</formula>
    </cfRule>
    <cfRule type="cellIs" dxfId="1631" priority="2628" operator="equal">
      <formula>3</formula>
    </cfRule>
    <cfRule type="cellIs" dxfId="1630" priority="2629" operator="equal">
      <formula>5</formula>
    </cfRule>
    <cfRule type="cellIs" dxfId="1629" priority="2630" operator="equal">
      <formula>4</formula>
    </cfRule>
    <cfRule type="cellIs" dxfId="1628" priority="2631" operator="equal">
      <formula>3</formula>
    </cfRule>
    <cfRule type="cellIs" dxfId="1627" priority="2632" operator="equal">
      <formula>2</formula>
    </cfRule>
    <cfRule type="cellIs" dxfId="1626" priority="2633" operator="equal">
      <formula>1</formula>
    </cfRule>
    <cfRule type="iconSet" priority="2634">
      <iconSet iconSet="3Symbols2" showValue="0">
        <cfvo type="percent" val="0"/>
        <cfvo type="num" val="0"/>
        <cfvo type="num" val="6"/>
      </iconSet>
    </cfRule>
    <cfRule type="iconSet" priority="2635">
      <iconSet iconSet="3Symbols2" showValue="0">
        <cfvo type="percent" val="0"/>
        <cfvo type="num" val="&quot;0+$Y$20&quot;"/>
        <cfvo type="num" val="1"/>
      </iconSet>
    </cfRule>
    <cfRule type="cellIs" dxfId="1625" priority="2636" operator="equal">
      <formula>6</formula>
    </cfRule>
  </conditionalFormatting>
  <conditionalFormatting sqref="P30:BO30">
    <cfRule type="cellIs" dxfId="1624" priority="2623" operator="equal">
      <formula>"0-5"</formula>
    </cfRule>
    <cfRule type="iconSet" priority="2624">
      <iconSet iconSet="3Symbols" showValue="0">
        <cfvo type="percent" val="0"/>
        <cfvo type="percent" val="33"/>
        <cfvo type="percent" val="67"/>
      </iconSet>
    </cfRule>
    <cfRule type="iconSet" priority="2625">
      <iconSet iconSet="3Symbols">
        <cfvo type="percent" val="0"/>
        <cfvo type="percent" val="33"/>
        <cfvo type="percent" val="67"/>
      </iconSet>
    </cfRule>
  </conditionalFormatting>
  <conditionalFormatting sqref="P30:BO30">
    <cfRule type="iconSet" priority="2621">
      <iconSet iconSet="3Symbols2" showValue="0">
        <cfvo type="percent" val="0"/>
        <cfvo type="num" val="&quot;0+$Y$20&quot;"/>
        <cfvo type="num" val="1"/>
      </iconSet>
    </cfRule>
    <cfRule type="cellIs" dxfId="1623" priority="2622" operator="equal">
      <formula>6</formula>
    </cfRule>
  </conditionalFormatting>
  <conditionalFormatting sqref="P30:BO30">
    <cfRule type="cellIs" dxfId="1622" priority="2619" operator="equal">
      <formula>6</formula>
    </cfRule>
    <cfRule type="iconSet" priority="2620">
      <iconSet showValue="0">
        <cfvo type="percent" val="0"/>
        <cfvo type="num" val="&quot;0+$Y$20&quot;"/>
        <cfvo type="num" val="1"/>
      </iconSet>
    </cfRule>
  </conditionalFormatting>
  <conditionalFormatting sqref="P30:BO30">
    <cfRule type="iconSet" priority="2616">
      <iconSet iconSet="3Symbols2" showValue="0">
        <cfvo type="percent" val="0"/>
        <cfvo type="num" val="0"/>
        <cfvo type="num" val="6"/>
      </iconSet>
    </cfRule>
    <cfRule type="iconSet" priority="2617">
      <iconSet iconSet="3Symbols2" showValue="0">
        <cfvo type="percent" val="0"/>
        <cfvo type="num" val="&quot;0+$Y$20&quot;"/>
        <cfvo type="num" val="1"/>
      </iconSet>
    </cfRule>
    <cfRule type="cellIs" dxfId="1621" priority="2618" operator="equal">
      <formula>6</formula>
    </cfRule>
  </conditionalFormatting>
  <conditionalFormatting sqref="P30:BO30">
    <cfRule type="cellIs" dxfId="1620" priority="2605" operator="equal">
      <formula>5</formula>
    </cfRule>
    <cfRule type="cellIs" dxfId="1619" priority="2606" operator="equal">
      <formula>4</formula>
    </cfRule>
    <cfRule type="cellIs" dxfId="1618" priority="2607" operator="equal">
      <formula>3</formula>
    </cfRule>
    <cfRule type="cellIs" dxfId="1617" priority="2608" operator="equal">
      <formula>5</formula>
    </cfRule>
    <cfRule type="cellIs" dxfId="1616" priority="2609" operator="equal">
      <formula>4</formula>
    </cfRule>
    <cfRule type="cellIs" dxfId="1615" priority="2610" operator="equal">
      <formula>3</formula>
    </cfRule>
    <cfRule type="cellIs" dxfId="1614" priority="2611" operator="equal">
      <formula>2</formula>
    </cfRule>
    <cfRule type="cellIs" dxfId="1613" priority="2612" operator="equal">
      <formula>1</formula>
    </cfRule>
    <cfRule type="iconSet" priority="2613">
      <iconSet iconSet="3Symbols2" showValue="0">
        <cfvo type="percent" val="0"/>
        <cfvo type="num" val="0"/>
        <cfvo type="num" val="6"/>
      </iconSet>
    </cfRule>
    <cfRule type="iconSet" priority="2614">
      <iconSet iconSet="3Symbols2" showValue="0">
        <cfvo type="percent" val="0"/>
        <cfvo type="num" val="&quot;0+$Y$20&quot;"/>
        <cfvo type="num" val="1"/>
      </iconSet>
    </cfRule>
    <cfRule type="cellIs" dxfId="1612" priority="2615" operator="equal">
      <formula>6</formula>
    </cfRule>
  </conditionalFormatting>
  <conditionalFormatting sqref="P32:BO32">
    <cfRule type="cellIs" dxfId="1611" priority="2602" operator="equal">
      <formula>"0-5"</formula>
    </cfRule>
    <cfRule type="iconSet" priority="2603">
      <iconSet iconSet="3Symbols" showValue="0">
        <cfvo type="percent" val="0"/>
        <cfvo type="percent" val="33"/>
        <cfvo type="percent" val="67"/>
      </iconSet>
    </cfRule>
    <cfRule type="iconSet" priority="2604">
      <iconSet iconSet="3Symbols">
        <cfvo type="percent" val="0"/>
        <cfvo type="percent" val="33"/>
        <cfvo type="percent" val="67"/>
      </iconSet>
    </cfRule>
  </conditionalFormatting>
  <conditionalFormatting sqref="P32:BO32">
    <cfRule type="iconSet" priority="2600">
      <iconSet iconSet="3Symbols2" showValue="0">
        <cfvo type="percent" val="0"/>
        <cfvo type="num" val="&quot;0+$Y$20&quot;"/>
        <cfvo type="num" val="1"/>
      </iconSet>
    </cfRule>
    <cfRule type="cellIs" dxfId="1610" priority="2601" operator="equal">
      <formula>6</formula>
    </cfRule>
  </conditionalFormatting>
  <conditionalFormatting sqref="P32:BO32">
    <cfRule type="cellIs" dxfId="1609" priority="2598" operator="equal">
      <formula>6</formula>
    </cfRule>
    <cfRule type="iconSet" priority="2599">
      <iconSet showValue="0">
        <cfvo type="percent" val="0"/>
        <cfvo type="num" val="&quot;0+$Y$20&quot;"/>
        <cfvo type="num" val="1"/>
      </iconSet>
    </cfRule>
  </conditionalFormatting>
  <conditionalFormatting sqref="P32:BO32">
    <cfRule type="iconSet" priority="2595">
      <iconSet iconSet="3Symbols2" showValue="0">
        <cfvo type="percent" val="0"/>
        <cfvo type="num" val="0"/>
        <cfvo type="num" val="6"/>
      </iconSet>
    </cfRule>
    <cfRule type="iconSet" priority="2596">
      <iconSet iconSet="3Symbols2" showValue="0">
        <cfvo type="percent" val="0"/>
        <cfvo type="num" val="&quot;0+$Y$20&quot;"/>
        <cfvo type="num" val="1"/>
      </iconSet>
    </cfRule>
    <cfRule type="cellIs" dxfId="1608" priority="2597" operator="equal">
      <formula>6</formula>
    </cfRule>
  </conditionalFormatting>
  <conditionalFormatting sqref="P32:BO32">
    <cfRule type="cellIs" dxfId="1607" priority="2584" operator="equal">
      <formula>5</formula>
    </cfRule>
    <cfRule type="cellIs" dxfId="1606" priority="2585" operator="equal">
      <formula>4</formula>
    </cfRule>
    <cfRule type="cellIs" dxfId="1605" priority="2586" operator="equal">
      <formula>3</formula>
    </cfRule>
    <cfRule type="cellIs" dxfId="1604" priority="2587" operator="equal">
      <formula>5</formula>
    </cfRule>
    <cfRule type="cellIs" dxfId="1603" priority="2588" operator="equal">
      <formula>4</formula>
    </cfRule>
    <cfRule type="cellIs" dxfId="1602" priority="2589" operator="equal">
      <formula>3</formula>
    </cfRule>
    <cfRule type="cellIs" dxfId="1601" priority="2590" operator="equal">
      <formula>2</formula>
    </cfRule>
    <cfRule type="cellIs" dxfId="1600" priority="2591" operator="equal">
      <formula>1</formula>
    </cfRule>
    <cfRule type="iconSet" priority="2592">
      <iconSet iconSet="3Symbols2" showValue="0">
        <cfvo type="percent" val="0"/>
        <cfvo type="num" val="0"/>
        <cfvo type="num" val="6"/>
      </iconSet>
    </cfRule>
    <cfRule type="iconSet" priority="2593">
      <iconSet iconSet="3Symbols2" showValue="0">
        <cfvo type="percent" val="0"/>
        <cfvo type="num" val="&quot;0+$Y$20&quot;"/>
        <cfvo type="num" val="1"/>
      </iconSet>
    </cfRule>
    <cfRule type="cellIs" dxfId="1599" priority="2594" operator="equal">
      <formula>6</formula>
    </cfRule>
  </conditionalFormatting>
  <conditionalFormatting sqref="P34:BO34">
    <cfRule type="cellIs" dxfId="1598" priority="2581" operator="equal">
      <formula>"0-5"</formula>
    </cfRule>
    <cfRule type="iconSet" priority="2582">
      <iconSet iconSet="3Symbols" showValue="0">
        <cfvo type="percent" val="0"/>
        <cfvo type="percent" val="33"/>
        <cfvo type="percent" val="67"/>
      </iconSet>
    </cfRule>
    <cfRule type="iconSet" priority="2583">
      <iconSet iconSet="3Symbols">
        <cfvo type="percent" val="0"/>
        <cfvo type="percent" val="33"/>
        <cfvo type="percent" val="67"/>
      </iconSet>
    </cfRule>
  </conditionalFormatting>
  <conditionalFormatting sqref="P34:BO34">
    <cfRule type="iconSet" priority="2579">
      <iconSet iconSet="3Symbols2" showValue="0">
        <cfvo type="percent" val="0"/>
        <cfvo type="num" val="&quot;0+$Y$20&quot;"/>
        <cfvo type="num" val="1"/>
      </iconSet>
    </cfRule>
    <cfRule type="cellIs" dxfId="1597" priority="2580" operator="equal">
      <formula>6</formula>
    </cfRule>
  </conditionalFormatting>
  <conditionalFormatting sqref="P34:BO34">
    <cfRule type="cellIs" dxfId="1596" priority="2577" operator="equal">
      <formula>6</formula>
    </cfRule>
    <cfRule type="iconSet" priority="2578">
      <iconSet showValue="0">
        <cfvo type="percent" val="0"/>
        <cfvo type="num" val="&quot;0+$Y$20&quot;"/>
        <cfvo type="num" val="1"/>
      </iconSet>
    </cfRule>
  </conditionalFormatting>
  <conditionalFormatting sqref="P34:BO34">
    <cfRule type="iconSet" priority="2574">
      <iconSet iconSet="3Symbols2" showValue="0">
        <cfvo type="percent" val="0"/>
        <cfvo type="num" val="0"/>
        <cfvo type="num" val="6"/>
      </iconSet>
    </cfRule>
    <cfRule type="iconSet" priority="2575">
      <iconSet iconSet="3Symbols2" showValue="0">
        <cfvo type="percent" val="0"/>
        <cfvo type="num" val="&quot;0+$Y$20&quot;"/>
        <cfvo type="num" val="1"/>
      </iconSet>
    </cfRule>
    <cfRule type="cellIs" dxfId="1595" priority="2576" operator="equal">
      <formula>6</formula>
    </cfRule>
  </conditionalFormatting>
  <conditionalFormatting sqref="P34:BO34">
    <cfRule type="cellIs" dxfId="1594" priority="2563" operator="equal">
      <formula>5</formula>
    </cfRule>
    <cfRule type="cellIs" dxfId="1593" priority="2564" operator="equal">
      <formula>4</formula>
    </cfRule>
    <cfRule type="cellIs" dxfId="1592" priority="2565" operator="equal">
      <formula>3</formula>
    </cfRule>
    <cfRule type="cellIs" dxfId="1591" priority="2566" operator="equal">
      <formula>5</formula>
    </cfRule>
    <cfRule type="cellIs" dxfId="1590" priority="2567" operator="equal">
      <formula>4</formula>
    </cfRule>
    <cfRule type="cellIs" dxfId="1589" priority="2568" operator="equal">
      <formula>3</formula>
    </cfRule>
    <cfRule type="cellIs" dxfId="1588" priority="2569" operator="equal">
      <formula>2</formula>
    </cfRule>
    <cfRule type="cellIs" dxfId="1587" priority="2570" operator="equal">
      <formula>1</formula>
    </cfRule>
    <cfRule type="iconSet" priority="2571">
      <iconSet iconSet="3Symbols2" showValue="0">
        <cfvo type="percent" val="0"/>
        <cfvo type="num" val="0"/>
        <cfvo type="num" val="6"/>
      </iconSet>
    </cfRule>
    <cfRule type="iconSet" priority="2572">
      <iconSet iconSet="3Symbols2" showValue="0">
        <cfvo type="percent" val="0"/>
        <cfvo type="num" val="&quot;0+$Y$20&quot;"/>
        <cfvo type="num" val="1"/>
      </iconSet>
    </cfRule>
    <cfRule type="cellIs" dxfId="1586" priority="2573" operator="equal">
      <formula>6</formula>
    </cfRule>
  </conditionalFormatting>
  <conditionalFormatting sqref="P36:BO36">
    <cfRule type="cellIs" dxfId="1585" priority="2560" operator="equal">
      <formula>"0-5"</formula>
    </cfRule>
    <cfRule type="iconSet" priority="2561">
      <iconSet iconSet="3Symbols" showValue="0">
        <cfvo type="percent" val="0"/>
        <cfvo type="percent" val="33"/>
        <cfvo type="percent" val="67"/>
      </iconSet>
    </cfRule>
    <cfRule type="iconSet" priority="2562">
      <iconSet iconSet="3Symbols">
        <cfvo type="percent" val="0"/>
        <cfvo type="percent" val="33"/>
        <cfvo type="percent" val="67"/>
      </iconSet>
    </cfRule>
  </conditionalFormatting>
  <conditionalFormatting sqref="P36:BO36">
    <cfRule type="iconSet" priority="2558">
      <iconSet iconSet="3Symbols2" showValue="0">
        <cfvo type="percent" val="0"/>
        <cfvo type="num" val="&quot;0+$Y$20&quot;"/>
        <cfvo type="num" val="1"/>
      </iconSet>
    </cfRule>
    <cfRule type="cellIs" dxfId="1584" priority="2559" operator="equal">
      <formula>6</formula>
    </cfRule>
  </conditionalFormatting>
  <conditionalFormatting sqref="P36:BO36">
    <cfRule type="cellIs" dxfId="1583" priority="2556" operator="equal">
      <formula>6</formula>
    </cfRule>
    <cfRule type="iconSet" priority="2557">
      <iconSet showValue="0">
        <cfvo type="percent" val="0"/>
        <cfvo type="num" val="&quot;0+$Y$20&quot;"/>
        <cfvo type="num" val="1"/>
      </iconSet>
    </cfRule>
  </conditionalFormatting>
  <conditionalFormatting sqref="P36:BO36">
    <cfRule type="iconSet" priority="2553">
      <iconSet iconSet="3Symbols2" showValue="0">
        <cfvo type="percent" val="0"/>
        <cfvo type="num" val="0"/>
        <cfvo type="num" val="6"/>
      </iconSet>
    </cfRule>
    <cfRule type="iconSet" priority="2554">
      <iconSet iconSet="3Symbols2" showValue="0">
        <cfvo type="percent" val="0"/>
        <cfvo type="num" val="&quot;0+$Y$20&quot;"/>
        <cfvo type="num" val="1"/>
      </iconSet>
    </cfRule>
    <cfRule type="cellIs" dxfId="1582" priority="2555" operator="equal">
      <formula>6</formula>
    </cfRule>
  </conditionalFormatting>
  <conditionalFormatting sqref="P36:BO36">
    <cfRule type="cellIs" dxfId="1581" priority="2542" operator="equal">
      <formula>5</formula>
    </cfRule>
    <cfRule type="cellIs" dxfId="1580" priority="2543" operator="equal">
      <formula>4</formula>
    </cfRule>
    <cfRule type="cellIs" dxfId="1579" priority="2544" operator="equal">
      <formula>3</formula>
    </cfRule>
    <cfRule type="cellIs" dxfId="1578" priority="2545" operator="equal">
      <formula>5</formula>
    </cfRule>
    <cfRule type="cellIs" dxfId="1577" priority="2546" operator="equal">
      <formula>4</formula>
    </cfRule>
    <cfRule type="cellIs" dxfId="1576" priority="2547" operator="equal">
      <formula>3</formula>
    </cfRule>
    <cfRule type="cellIs" dxfId="1575" priority="2548" operator="equal">
      <formula>2</formula>
    </cfRule>
    <cfRule type="cellIs" dxfId="1574" priority="2549" operator="equal">
      <formula>1</formula>
    </cfRule>
    <cfRule type="iconSet" priority="2550">
      <iconSet iconSet="3Symbols2" showValue="0">
        <cfvo type="percent" val="0"/>
        <cfvo type="num" val="0"/>
        <cfvo type="num" val="6"/>
      </iconSet>
    </cfRule>
    <cfRule type="iconSet" priority="2551">
      <iconSet iconSet="3Symbols2" showValue="0">
        <cfvo type="percent" val="0"/>
        <cfvo type="num" val="&quot;0+$Y$20&quot;"/>
        <cfvo type="num" val="1"/>
      </iconSet>
    </cfRule>
    <cfRule type="cellIs" dxfId="1573" priority="2552" operator="equal">
      <formula>6</formula>
    </cfRule>
  </conditionalFormatting>
  <conditionalFormatting sqref="P38:BO38">
    <cfRule type="cellIs" dxfId="1572" priority="2539" operator="equal">
      <formula>"0-5"</formula>
    </cfRule>
    <cfRule type="iconSet" priority="2540">
      <iconSet iconSet="3Symbols" showValue="0">
        <cfvo type="percent" val="0"/>
        <cfvo type="percent" val="33"/>
        <cfvo type="percent" val="67"/>
      </iconSet>
    </cfRule>
    <cfRule type="iconSet" priority="2541">
      <iconSet iconSet="3Symbols">
        <cfvo type="percent" val="0"/>
        <cfvo type="percent" val="33"/>
        <cfvo type="percent" val="67"/>
      </iconSet>
    </cfRule>
  </conditionalFormatting>
  <conditionalFormatting sqref="P38:BO38">
    <cfRule type="iconSet" priority="2537">
      <iconSet iconSet="3Symbols2" showValue="0">
        <cfvo type="percent" val="0"/>
        <cfvo type="num" val="&quot;0+$Y$20&quot;"/>
        <cfvo type="num" val="1"/>
      </iconSet>
    </cfRule>
    <cfRule type="cellIs" dxfId="1571" priority="2538" operator="equal">
      <formula>6</formula>
    </cfRule>
  </conditionalFormatting>
  <conditionalFormatting sqref="P38:BO38">
    <cfRule type="cellIs" dxfId="1570" priority="2535" operator="equal">
      <formula>6</formula>
    </cfRule>
    <cfRule type="iconSet" priority="2536">
      <iconSet showValue="0">
        <cfvo type="percent" val="0"/>
        <cfvo type="num" val="&quot;0+$Y$20&quot;"/>
        <cfvo type="num" val="1"/>
      </iconSet>
    </cfRule>
  </conditionalFormatting>
  <conditionalFormatting sqref="P38:BO38">
    <cfRule type="iconSet" priority="2532">
      <iconSet iconSet="3Symbols2" showValue="0">
        <cfvo type="percent" val="0"/>
        <cfvo type="num" val="0"/>
        <cfvo type="num" val="6"/>
      </iconSet>
    </cfRule>
    <cfRule type="iconSet" priority="2533">
      <iconSet iconSet="3Symbols2" showValue="0">
        <cfvo type="percent" val="0"/>
        <cfvo type="num" val="&quot;0+$Y$20&quot;"/>
        <cfvo type="num" val="1"/>
      </iconSet>
    </cfRule>
    <cfRule type="cellIs" dxfId="1569" priority="2534" operator="equal">
      <formula>6</formula>
    </cfRule>
  </conditionalFormatting>
  <conditionalFormatting sqref="P38:BO38">
    <cfRule type="cellIs" dxfId="1568" priority="2521" operator="equal">
      <formula>5</formula>
    </cfRule>
    <cfRule type="cellIs" dxfId="1567" priority="2522" operator="equal">
      <formula>4</formula>
    </cfRule>
    <cfRule type="cellIs" dxfId="1566" priority="2523" operator="equal">
      <formula>3</formula>
    </cfRule>
    <cfRule type="cellIs" dxfId="1565" priority="2524" operator="equal">
      <formula>5</formula>
    </cfRule>
    <cfRule type="cellIs" dxfId="1564" priority="2525" operator="equal">
      <formula>4</formula>
    </cfRule>
    <cfRule type="cellIs" dxfId="1563" priority="2526" operator="equal">
      <formula>3</formula>
    </cfRule>
    <cfRule type="cellIs" dxfId="1562" priority="2527" operator="equal">
      <formula>2</formula>
    </cfRule>
    <cfRule type="cellIs" dxfId="1561" priority="2528" operator="equal">
      <formula>1</formula>
    </cfRule>
    <cfRule type="iconSet" priority="2529">
      <iconSet iconSet="3Symbols2" showValue="0">
        <cfvo type="percent" val="0"/>
        <cfvo type="num" val="0"/>
        <cfvo type="num" val="6"/>
      </iconSet>
    </cfRule>
    <cfRule type="iconSet" priority="2530">
      <iconSet iconSet="3Symbols2" showValue="0">
        <cfvo type="percent" val="0"/>
        <cfvo type="num" val="&quot;0+$Y$20&quot;"/>
        <cfvo type="num" val="1"/>
      </iconSet>
    </cfRule>
    <cfRule type="cellIs" dxfId="1560" priority="2531" operator="equal">
      <formula>6</formula>
    </cfRule>
  </conditionalFormatting>
  <conditionalFormatting sqref="P40:BO40">
    <cfRule type="cellIs" dxfId="1559" priority="2518" operator="equal">
      <formula>"0-5"</formula>
    </cfRule>
    <cfRule type="iconSet" priority="2519">
      <iconSet iconSet="3Symbols" showValue="0">
        <cfvo type="percent" val="0"/>
        <cfvo type="percent" val="33"/>
        <cfvo type="percent" val="67"/>
      </iconSet>
    </cfRule>
    <cfRule type="iconSet" priority="2520">
      <iconSet iconSet="3Symbols">
        <cfvo type="percent" val="0"/>
        <cfvo type="percent" val="33"/>
        <cfvo type="percent" val="67"/>
      </iconSet>
    </cfRule>
  </conditionalFormatting>
  <conditionalFormatting sqref="P40:BO40">
    <cfRule type="iconSet" priority="2516">
      <iconSet iconSet="3Symbols2" showValue="0">
        <cfvo type="percent" val="0"/>
        <cfvo type="num" val="&quot;0+$Y$20&quot;"/>
        <cfvo type="num" val="1"/>
      </iconSet>
    </cfRule>
    <cfRule type="cellIs" dxfId="1558" priority="2517" operator="equal">
      <formula>6</formula>
    </cfRule>
  </conditionalFormatting>
  <conditionalFormatting sqref="P40:BO40">
    <cfRule type="cellIs" dxfId="1557" priority="2514" operator="equal">
      <formula>6</formula>
    </cfRule>
    <cfRule type="iconSet" priority="2515">
      <iconSet showValue="0">
        <cfvo type="percent" val="0"/>
        <cfvo type="num" val="&quot;0+$Y$20&quot;"/>
        <cfvo type="num" val="1"/>
      </iconSet>
    </cfRule>
  </conditionalFormatting>
  <conditionalFormatting sqref="P40:BO40">
    <cfRule type="iconSet" priority="2511">
      <iconSet iconSet="3Symbols2" showValue="0">
        <cfvo type="percent" val="0"/>
        <cfvo type="num" val="0"/>
        <cfvo type="num" val="6"/>
      </iconSet>
    </cfRule>
    <cfRule type="iconSet" priority="2512">
      <iconSet iconSet="3Symbols2" showValue="0">
        <cfvo type="percent" val="0"/>
        <cfvo type="num" val="&quot;0+$Y$20&quot;"/>
        <cfvo type="num" val="1"/>
      </iconSet>
    </cfRule>
    <cfRule type="cellIs" dxfId="1556" priority="2513" operator="equal">
      <formula>6</formula>
    </cfRule>
  </conditionalFormatting>
  <conditionalFormatting sqref="P40:BO40">
    <cfRule type="cellIs" dxfId="1555" priority="2500" operator="equal">
      <formula>5</formula>
    </cfRule>
    <cfRule type="cellIs" dxfId="1554" priority="2501" operator="equal">
      <formula>4</formula>
    </cfRule>
    <cfRule type="cellIs" dxfId="1553" priority="2502" operator="equal">
      <formula>3</formula>
    </cfRule>
    <cfRule type="cellIs" dxfId="1552" priority="2503" operator="equal">
      <formula>5</formula>
    </cfRule>
    <cfRule type="cellIs" dxfId="1551" priority="2504" operator="equal">
      <formula>4</formula>
    </cfRule>
    <cfRule type="cellIs" dxfId="1550" priority="2505" operator="equal">
      <formula>3</formula>
    </cfRule>
    <cfRule type="cellIs" dxfId="1549" priority="2506" operator="equal">
      <formula>2</formula>
    </cfRule>
    <cfRule type="cellIs" dxfId="1548" priority="2507" operator="equal">
      <formula>1</formula>
    </cfRule>
    <cfRule type="iconSet" priority="2508">
      <iconSet iconSet="3Symbols2" showValue="0">
        <cfvo type="percent" val="0"/>
        <cfvo type="num" val="0"/>
        <cfvo type="num" val="6"/>
      </iconSet>
    </cfRule>
    <cfRule type="iconSet" priority="2509">
      <iconSet iconSet="3Symbols2" showValue="0">
        <cfvo type="percent" val="0"/>
        <cfvo type="num" val="&quot;0+$Y$20&quot;"/>
        <cfvo type="num" val="1"/>
      </iconSet>
    </cfRule>
    <cfRule type="cellIs" dxfId="1547" priority="2510" operator="equal">
      <formula>6</formula>
    </cfRule>
  </conditionalFormatting>
  <conditionalFormatting sqref="P42:BO42">
    <cfRule type="cellIs" dxfId="1546" priority="2497" operator="equal">
      <formula>"0-5"</formula>
    </cfRule>
    <cfRule type="iconSet" priority="2498">
      <iconSet iconSet="3Symbols" showValue="0">
        <cfvo type="percent" val="0"/>
        <cfvo type="percent" val="33"/>
        <cfvo type="percent" val="67"/>
      </iconSet>
    </cfRule>
    <cfRule type="iconSet" priority="2499">
      <iconSet iconSet="3Symbols">
        <cfvo type="percent" val="0"/>
        <cfvo type="percent" val="33"/>
        <cfvo type="percent" val="67"/>
      </iconSet>
    </cfRule>
  </conditionalFormatting>
  <conditionalFormatting sqref="P42:BO42">
    <cfRule type="iconSet" priority="2495">
      <iconSet iconSet="3Symbols2" showValue="0">
        <cfvo type="percent" val="0"/>
        <cfvo type="num" val="&quot;0+$Y$20&quot;"/>
        <cfvo type="num" val="1"/>
      </iconSet>
    </cfRule>
    <cfRule type="cellIs" dxfId="1545" priority="2496" operator="equal">
      <formula>6</formula>
    </cfRule>
  </conditionalFormatting>
  <conditionalFormatting sqref="P42:BO42">
    <cfRule type="cellIs" dxfId="1544" priority="2493" operator="equal">
      <formula>6</formula>
    </cfRule>
    <cfRule type="iconSet" priority="2494">
      <iconSet showValue="0">
        <cfvo type="percent" val="0"/>
        <cfvo type="num" val="&quot;0+$Y$20&quot;"/>
        <cfvo type="num" val="1"/>
      </iconSet>
    </cfRule>
  </conditionalFormatting>
  <conditionalFormatting sqref="P42:BO42">
    <cfRule type="iconSet" priority="2490">
      <iconSet iconSet="3Symbols2" showValue="0">
        <cfvo type="percent" val="0"/>
        <cfvo type="num" val="0"/>
        <cfvo type="num" val="6"/>
      </iconSet>
    </cfRule>
    <cfRule type="iconSet" priority="2491">
      <iconSet iconSet="3Symbols2" showValue="0">
        <cfvo type="percent" val="0"/>
        <cfvo type="num" val="&quot;0+$Y$20&quot;"/>
        <cfvo type="num" val="1"/>
      </iconSet>
    </cfRule>
    <cfRule type="cellIs" dxfId="1543" priority="2492" operator="equal">
      <formula>6</formula>
    </cfRule>
  </conditionalFormatting>
  <conditionalFormatting sqref="P42:BO42">
    <cfRule type="cellIs" dxfId="1542" priority="2479" operator="equal">
      <formula>5</formula>
    </cfRule>
    <cfRule type="cellIs" dxfId="1541" priority="2480" operator="equal">
      <formula>4</formula>
    </cfRule>
    <cfRule type="cellIs" dxfId="1540" priority="2481" operator="equal">
      <formula>3</formula>
    </cfRule>
    <cfRule type="cellIs" dxfId="1539" priority="2482" operator="equal">
      <formula>5</formula>
    </cfRule>
    <cfRule type="cellIs" dxfId="1538" priority="2483" operator="equal">
      <formula>4</formula>
    </cfRule>
    <cfRule type="cellIs" dxfId="1537" priority="2484" operator="equal">
      <formula>3</formula>
    </cfRule>
    <cfRule type="cellIs" dxfId="1536" priority="2485" operator="equal">
      <formula>2</formula>
    </cfRule>
    <cfRule type="cellIs" dxfId="1535" priority="2486" operator="equal">
      <formula>1</formula>
    </cfRule>
    <cfRule type="iconSet" priority="2487">
      <iconSet iconSet="3Symbols2" showValue="0">
        <cfvo type="percent" val="0"/>
        <cfvo type="num" val="0"/>
        <cfvo type="num" val="6"/>
      </iconSet>
    </cfRule>
    <cfRule type="iconSet" priority="2488">
      <iconSet iconSet="3Symbols2" showValue="0">
        <cfvo type="percent" val="0"/>
        <cfvo type="num" val="&quot;0+$Y$20&quot;"/>
        <cfvo type="num" val="1"/>
      </iconSet>
    </cfRule>
    <cfRule type="cellIs" dxfId="1534" priority="2489" operator="equal">
      <formula>6</formula>
    </cfRule>
  </conditionalFormatting>
  <conditionalFormatting sqref="P44:BO44">
    <cfRule type="cellIs" dxfId="1533" priority="2476" operator="equal">
      <formula>"0-5"</formula>
    </cfRule>
    <cfRule type="iconSet" priority="2477">
      <iconSet iconSet="3Symbols" showValue="0">
        <cfvo type="percent" val="0"/>
        <cfvo type="percent" val="33"/>
        <cfvo type="percent" val="67"/>
      </iconSet>
    </cfRule>
    <cfRule type="iconSet" priority="2478">
      <iconSet iconSet="3Symbols">
        <cfvo type="percent" val="0"/>
        <cfvo type="percent" val="33"/>
        <cfvo type="percent" val="67"/>
      </iconSet>
    </cfRule>
  </conditionalFormatting>
  <conditionalFormatting sqref="P44:BO44">
    <cfRule type="iconSet" priority="2474">
      <iconSet iconSet="3Symbols2" showValue="0">
        <cfvo type="percent" val="0"/>
        <cfvo type="num" val="&quot;0+$Y$20&quot;"/>
        <cfvo type="num" val="1"/>
      </iconSet>
    </cfRule>
    <cfRule type="cellIs" dxfId="1532" priority="2475" operator="equal">
      <formula>6</formula>
    </cfRule>
  </conditionalFormatting>
  <conditionalFormatting sqref="P44:BO44">
    <cfRule type="cellIs" dxfId="1531" priority="2472" operator="equal">
      <formula>6</formula>
    </cfRule>
    <cfRule type="iconSet" priority="2473">
      <iconSet showValue="0">
        <cfvo type="percent" val="0"/>
        <cfvo type="num" val="&quot;0+$Y$20&quot;"/>
        <cfvo type="num" val="1"/>
      </iconSet>
    </cfRule>
  </conditionalFormatting>
  <conditionalFormatting sqref="P44:BO44">
    <cfRule type="iconSet" priority="2469">
      <iconSet iconSet="3Symbols2" showValue="0">
        <cfvo type="percent" val="0"/>
        <cfvo type="num" val="0"/>
        <cfvo type="num" val="6"/>
      </iconSet>
    </cfRule>
    <cfRule type="iconSet" priority="2470">
      <iconSet iconSet="3Symbols2" showValue="0">
        <cfvo type="percent" val="0"/>
        <cfvo type="num" val="&quot;0+$Y$20&quot;"/>
        <cfvo type="num" val="1"/>
      </iconSet>
    </cfRule>
    <cfRule type="cellIs" dxfId="1530" priority="2471" operator="equal">
      <formula>6</formula>
    </cfRule>
  </conditionalFormatting>
  <conditionalFormatting sqref="P44:BO44">
    <cfRule type="cellIs" dxfId="1529" priority="2458" operator="equal">
      <formula>5</formula>
    </cfRule>
    <cfRule type="cellIs" dxfId="1528" priority="2459" operator="equal">
      <formula>4</formula>
    </cfRule>
    <cfRule type="cellIs" dxfId="1527" priority="2460" operator="equal">
      <formula>3</formula>
    </cfRule>
    <cfRule type="cellIs" dxfId="1526" priority="2461" operator="equal">
      <formula>5</formula>
    </cfRule>
    <cfRule type="cellIs" dxfId="1525" priority="2462" operator="equal">
      <formula>4</formula>
    </cfRule>
    <cfRule type="cellIs" dxfId="1524" priority="2463" operator="equal">
      <formula>3</formula>
    </cfRule>
    <cfRule type="cellIs" dxfId="1523" priority="2464" operator="equal">
      <formula>2</formula>
    </cfRule>
    <cfRule type="cellIs" dxfId="1522" priority="2465" operator="equal">
      <formula>1</formula>
    </cfRule>
    <cfRule type="iconSet" priority="2466">
      <iconSet iconSet="3Symbols2" showValue="0">
        <cfvo type="percent" val="0"/>
        <cfvo type="num" val="0"/>
        <cfvo type="num" val="6"/>
      </iconSet>
    </cfRule>
    <cfRule type="iconSet" priority="2467">
      <iconSet iconSet="3Symbols2" showValue="0">
        <cfvo type="percent" val="0"/>
        <cfvo type="num" val="&quot;0+$Y$20&quot;"/>
        <cfvo type="num" val="1"/>
      </iconSet>
    </cfRule>
    <cfRule type="cellIs" dxfId="1521" priority="2468" operator="equal">
      <formula>6</formula>
    </cfRule>
  </conditionalFormatting>
  <conditionalFormatting sqref="P46:BO46">
    <cfRule type="cellIs" dxfId="1520" priority="2455" operator="equal">
      <formula>"0-5"</formula>
    </cfRule>
    <cfRule type="iconSet" priority="2456">
      <iconSet iconSet="3Symbols" showValue="0">
        <cfvo type="percent" val="0"/>
        <cfvo type="percent" val="33"/>
        <cfvo type="percent" val="67"/>
      </iconSet>
    </cfRule>
    <cfRule type="iconSet" priority="2457">
      <iconSet iconSet="3Symbols">
        <cfvo type="percent" val="0"/>
        <cfvo type="percent" val="33"/>
        <cfvo type="percent" val="67"/>
      </iconSet>
    </cfRule>
  </conditionalFormatting>
  <conditionalFormatting sqref="P46:BO46">
    <cfRule type="iconSet" priority="2453">
      <iconSet iconSet="3Symbols2" showValue="0">
        <cfvo type="percent" val="0"/>
        <cfvo type="num" val="&quot;0+$Y$20&quot;"/>
        <cfvo type="num" val="1"/>
      </iconSet>
    </cfRule>
    <cfRule type="cellIs" dxfId="1519" priority="2454" operator="equal">
      <formula>6</formula>
    </cfRule>
  </conditionalFormatting>
  <conditionalFormatting sqref="P46:BO46">
    <cfRule type="cellIs" dxfId="1518" priority="2451" operator="equal">
      <formula>6</formula>
    </cfRule>
    <cfRule type="iconSet" priority="2452">
      <iconSet showValue="0">
        <cfvo type="percent" val="0"/>
        <cfvo type="num" val="&quot;0+$Y$20&quot;"/>
        <cfvo type="num" val="1"/>
      </iconSet>
    </cfRule>
  </conditionalFormatting>
  <conditionalFormatting sqref="P46:BO46">
    <cfRule type="iconSet" priority="2448">
      <iconSet iconSet="3Symbols2" showValue="0">
        <cfvo type="percent" val="0"/>
        <cfvo type="num" val="0"/>
        <cfvo type="num" val="6"/>
      </iconSet>
    </cfRule>
    <cfRule type="iconSet" priority="2449">
      <iconSet iconSet="3Symbols2" showValue="0">
        <cfvo type="percent" val="0"/>
        <cfvo type="num" val="&quot;0+$Y$20&quot;"/>
        <cfvo type="num" val="1"/>
      </iconSet>
    </cfRule>
    <cfRule type="cellIs" dxfId="1517" priority="2450" operator="equal">
      <formula>6</formula>
    </cfRule>
  </conditionalFormatting>
  <conditionalFormatting sqref="P46:BO46">
    <cfRule type="cellIs" dxfId="1516" priority="2437" operator="equal">
      <formula>5</formula>
    </cfRule>
    <cfRule type="cellIs" dxfId="1515" priority="2438" operator="equal">
      <formula>4</formula>
    </cfRule>
    <cfRule type="cellIs" dxfId="1514" priority="2439" operator="equal">
      <formula>3</formula>
    </cfRule>
    <cfRule type="cellIs" dxfId="1513" priority="2440" operator="equal">
      <formula>5</formula>
    </cfRule>
    <cfRule type="cellIs" dxfId="1512" priority="2441" operator="equal">
      <formula>4</formula>
    </cfRule>
    <cfRule type="cellIs" dxfId="1511" priority="2442" operator="equal">
      <formula>3</formula>
    </cfRule>
    <cfRule type="cellIs" dxfId="1510" priority="2443" operator="equal">
      <formula>2</formula>
    </cfRule>
    <cfRule type="cellIs" dxfId="1509" priority="2444" operator="equal">
      <formula>1</formula>
    </cfRule>
    <cfRule type="iconSet" priority="2445">
      <iconSet iconSet="3Symbols2" showValue="0">
        <cfvo type="percent" val="0"/>
        <cfvo type="num" val="0"/>
        <cfvo type="num" val="6"/>
      </iconSet>
    </cfRule>
    <cfRule type="iconSet" priority="2446">
      <iconSet iconSet="3Symbols2" showValue="0">
        <cfvo type="percent" val="0"/>
        <cfvo type="num" val="&quot;0+$Y$20&quot;"/>
        <cfvo type="num" val="1"/>
      </iconSet>
    </cfRule>
    <cfRule type="cellIs" dxfId="1508" priority="2447" operator="equal">
      <formula>6</formula>
    </cfRule>
  </conditionalFormatting>
  <conditionalFormatting sqref="P48:BO48">
    <cfRule type="cellIs" dxfId="1507" priority="2434" operator="equal">
      <formula>"0-5"</formula>
    </cfRule>
    <cfRule type="iconSet" priority="2435">
      <iconSet iconSet="3Symbols" showValue="0">
        <cfvo type="percent" val="0"/>
        <cfvo type="percent" val="33"/>
        <cfvo type="percent" val="67"/>
      </iconSet>
    </cfRule>
    <cfRule type="iconSet" priority="2436">
      <iconSet iconSet="3Symbols">
        <cfvo type="percent" val="0"/>
        <cfvo type="percent" val="33"/>
        <cfvo type="percent" val="67"/>
      </iconSet>
    </cfRule>
  </conditionalFormatting>
  <conditionalFormatting sqref="P48:BO48">
    <cfRule type="iconSet" priority="2432">
      <iconSet iconSet="3Symbols2" showValue="0">
        <cfvo type="percent" val="0"/>
        <cfvo type="num" val="&quot;0+$Y$20&quot;"/>
        <cfvo type="num" val="1"/>
      </iconSet>
    </cfRule>
    <cfRule type="cellIs" dxfId="1506" priority="2433" operator="equal">
      <formula>6</formula>
    </cfRule>
  </conditionalFormatting>
  <conditionalFormatting sqref="P48:BO48">
    <cfRule type="cellIs" dxfId="1505" priority="2430" operator="equal">
      <formula>6</formula>
    </cfRule>
    <cfRule type="iconSet" priority="2431">
      <iconSet showValue="0">
        <cfvo type="percent" val="0"/>
        <cfvo type="num" val="&quot;0+$Y$20&quot;"/>
        <cfvo type="num" val="1"/>
      </iconSet>
    </cfRule>
  </conditionalFormatting>
  <conditionalFormatting sqref="P48:BO48">
    <cfRule type="iconSet" priority="2427">
      <iconSet iconSet="3Symbols2" showValue="0">
        <cfvo type="percent" val="0"/>
        <cfvo type="num" val="0"/>
        <cfvo type="num" val="6"/>
      </iconSet>
    </cfRule>
    <cfRule type="iconSet" priority="2428">
      <iconSet iconSet="3Symbols2" showValue="0">
        <cfvo type="percent" val="0"/>
        <cfvo type="num" val="&quot;0+$Y$20&quot;"/>
        <cfvo type="num" val="1"/>
      </iconSet>
    </cfRule>
    <cfRule type="cellIs" dxfId="1504" priority="2429" operator="equal">
      <formula>6</formula>
    </cfRule>
  </conditionalFormatting>
  <conditionalFormatting sqref="P48:BO48">
    <cfRule type="cellIs" dxfId="1503" priority="2416" operator="equal">
      <formula>5</formula>
    </cfRule>
    <cfRule type="cellIs" dxfId="1502" priority="2417" operator="equal">
      <formula>4</formula>
    </cfRule>
    <cfRule type="cellIs" dxfId="1501" priority="2418" operator="equal">
      <formula>3</formula>
    </cfRule>
    <cfRule type="cellIs" dxfId="1500" priority="2419" operator="equal">
      <formula>5</formula>
    </cfRule>
    <cfRule type="cellIs" dxfId="1499" priority="2420" operator="equal">
      <formula>4</formula>
    </cfRule>
    <cfRule type="cellIs" dxfId="1498" priority="2421" operator="equal">
      <formula>3</formula>
    </cfRule>
    <cfRule type="cellIs" dxfId="1497" priority="2422" operator="equal">
      <formula>2</formula>
    </cfRule>
    <cfRule type="cellIs" dxfId="1496" priority="2423" operator="equal">
      <formula>1</formula>
    </cfRule>
    <cfRule type="iconSet" priority="2424">
      <iconSet iconSet="3Symbols2" showValue="0">
        <cfvo type="percent" val="0"/>
        <cfvo type="num" val="0"/>
        <cfvo type="num" val="6"/>
      </iconSet>
    </cfRule>
    <cfRule type="iconSet" priority="2425">
      <iconSet iconSet="3Symbols2" showValue="0">
        <cfvo type="percent" val="0"/>
        <cfvo type="num" val="&quot;0+$Y$20&quot;"/>
        <cfvo type="num" val="1"/>
      </iconSet>
    </cfRule>
    <cfRule type="cellIs" dxfId="1495" priority="2426" operator="equal">
      <formula>6</formula>
    </cfRule>
  </conditionalFormatting>
  <conditionalFormatting sqref="P50:BO50">
    <cfRule type="cellIs" dxfId="1494" priority="2413" operator="equal">
      <formula>"0-5"</formula>
    </cfRule>
    <cfRule type="iconSet" priority="2414">
      <iconSet iconSet="3Symbols" showValue="0">
        <cfvo type="percent" val="0"/>
        <cfvo type="percent" val="33"/>
        <cfvo type="percent" val="67"/>
      </iconSet>
    </cfRule>
    <cfRule type="iconSet" priority="2415">
      <iconSet iconSet="3Symbols">
        <cfvo type="percent" val="0"/>
        <cfvo type="percent" val="33"/>
        <cfvo type="percent" val="67"/>
      </iconSet>
    </cfRule>
  </conditionalFormatting>
  <conditionalFormatting sqref="P50:BO50">
    <cfRule type="iconSet" priority="2411">
      <iconSet iconSet="3Symbols2" showValue="0">
        <cfvo type="percent" val="0"/>
        <cfvo type="num" val="&quot;0+$Y$20&quot;"/>
        <cfvo type="num" val="1"/>
      </iconSet>
    </cfRule>
    <cfRule type="cellIs" dxfId="1493" priority="2412" operator="equal">
      <formula>6</formula>
    </cfRule>
  </conditionalFormatting>
  <conditionalFormatting sqref="P50:BO50">
    <cfRule type="cellIs" dxfId="1492" priority="2409" operator="equal">
      <formula>6</formula>
    </cfRule>
    <cfRule type="iconSet" priority="2410">
      <iconSet showValue="0">
        <cfvo type="percent" val="0"/>
        <cfvo type="num" val="&quot;0+$Y$20&quot;"/>
        <cfvo type="num" val="1"/>
      </iconSet>
    </cfRule>
  </conditionalFormatting>
  <conditionalFormatting sqref="P50:BO50">
    <cfRule type="iconSet" priority="2406">
      <iconSet iconSet="3Symbols2" showValue="0">
        <cfvo type="percent" val="0"/>
        <cfvo type="num" val="0"/>
        <cfvo type="num" val="6"/>
      </iconSet>
    </cfRule>
    <cfRule type="iconSet" priority="2407">
      <iconSet iconSet="3Symbols2" showValue="0">
        <cfvo type="percent" val="0"/>
        <cfvo type="num" val="&quot;0+$Y$20&quot;"/>
        <cfvo type="num" val="1"/>
      </iconSet>
    </cfRule>
    <cfRule type="cellIs" dxfId="1491" priority="2408" operator="equal">
      <formula>6</formula>
    </cfRule>
  </conditionalFormatting>
  <conditionalFormatting sqref="P50:BO50">
    <cfRule type="cellIs" dxfId="1490" priority="2395" operator="equal">
      <formula>5</formula>
    </cfRule>
    <cfRule type="cellIs" dxfId="1489" priority="2396" operator="equal">
      <formula>4</formula>
    </cfRule>
    <cfRule type="cellIs" dxfId="1488" priority="2397" operator="equal">
      <formula>3</formula>
    </cfRule>
    <cfRule type="cellIs" dxfId="1487" priority="2398" operator="equal">
      <formula>5</formula>
    </cfRule>
    <cfRule type="cellIs" dxfId="1486" priority="2399" operator="equal">
      <formula>4</formula>
    </cfRule>
    <cfRule type="cellIs" dxfId="1485" priority="2400" operator="equal">
      <formula>3</formula>
    </cfRule>
    <cfRule type="cellIs" dxfId="1484" priority="2401" operator="equal">
      <formula>2</formula>
    </cfRule>
    <cfRule type="cellIs" dxfId="1483" priority="2402" operator="equal">
      <formula>1</formula>
    </cfRule>
    <cfRule type="iconSet" priority="2403">
      <iconSet iconSet="3Symbols2" showValue="0">
        <cfvo type="percent" val="0"/>
        <cfvo type="num" val="0"/>
        <cfvo type="num" val="6"/>
      </iconSet>
    </cfRule>
    <cfRule type="iconSet" priority="2404">
      <iconSet iconSet="3Symbols2" showValue="0">
        <cfvo type="percent" val="0"/>
        <cfvo type="num" val="&quot;0+$Y$20&quot;"/>
        <cfvo type="num" val="1"/>
      </iconSet>
    </cfRule>
    <cfRule type="cellIs" dxfId="1482" priority="2405" operator="equal">
      <formula>6</formula>
    </cfRule>
  </conditionalFormatting>
  <conditionalFormatting sqref="P52:BO52">
    <cfRule type="cellIs" dxfId="1481" priority="2392" operator="equal">
      <formula>"0-5"</formula>
    </cfRule>
    <cfRule type="iconSet" priority="2393">
      <iconSet iconSet="3Symbols" showValue="0">
        <cfvo type="percent" val="0"/>
        <cfvo type="percent" val="33"/>
        <cfvo type="percent" val="67"/>
      </iconSet>
    </cfRule>
    <cfRule type="iconSet" priority="2394">
      <iconSet iconSet="3Symbols">
        <cfvo type="percent" val="0"/>
        <cfvo type="percent" val="33"/>
        <cfvo type="percent" val="67"/>
      </iconSet>
    </cfRule>
  </conditionalFormatting>
  <conditionalFormatting sqref="P52:BO52">
    <cfRule type="iconSet" priority="2390">
      <iconSet iconSet="3Symbols2" showValue="0">
        <cfvo type="percent" val="0"/>
        <cfvo type="num" val="&quot;0+$Y$20&quot;"/>
        <cfvo type="num" val="1"/>
      </iconSet>
    </cfRule>
    <cfRule type="cellIs" dxfId="1480" priority="2391" operator="equal">
      <formula>6</formula>
    </cfRule>
  </conditionalFormatting>
  <conditionalFormatting sqref="P52:BO52">
    <cfRule type="cellIs" dxfId="1479" priority="2388" operator="equal">
      <formula>6</formula>
    </cfRule>
    <cfRule type="iconSet" priority="2389">
      <iconSet showValue="0">
        <cfvo type="percent" val="0"/>
        <cfvo type="num" val="&quot;0+$Y$20&quot;"/>
        <cfvo type="num" val="1"/>
      </iconSet>
    </cfRule>
  </conditionalFormatting>
  <conditionalFormatting sqref="P52:BO52">
    <cfRule type="iconSet" priority="2385">
      <iconSet iconSet="3Symbols2" showValue="0">
        <cfvo type="percent" val="0"/>
        <cfvo type="num" val="0"/>
        <cfvo type="num" val="6"/>
      </iconSet>
    </cfRule>
    <cfRule type="iconSet" priority="2386">
      <iconSet iconSet="3Symbols2" showValue="0">
        <cfvo type="percent" val="0"/>
        <cfvo type="num" val="&quot;0+$Y$20&quot;"/>
        <cfvo type="num" val="1"/>
      </iconSet>
    </cfRule>
    <cfRule type="cellIs" dxfId="1478" priority="2387" operator="equal">
      <formula>6</formula>
    </cfRule>
  </conditionalFormatting>
  <conditionalFormatting sqref="P52:BO52">
    <cfRule type="cellIs" dxfId="1477" priority="2374" operator="equal">
      <formula>5</formula>
    </cfRule>
    <cfRule type="cellIs" dxfId="1476" priority="2375" operator="equal">
      <formula>4</formula>
    </cfRule>
    <cfRule type="cellIs" dxfId="1475" priority="2376" operator="equal">
      <formula>3</formula>
    </cfRule>
    <cfRule type="cellIs" dxfId="1474" priority="2377" operator="equal">
      <formula>5</formula>
    </cfRule>
    <cfRule type="cellIs" dxfId="1473" priority="2378" operator="equal">
      <formula>4</formula>
    </cfRule>
    <cfRule type="cellIs" dxfId="1472" priority="2379" operator="equal">
      <formula>3</formula>
    </cfRule>
    <cfRule type="cellIs" dxfId="1471" priority="2380" operator="equal">
      <formula>2</formula>
    </cfRule>
    <cfRule type="cellIs" dxfId="1470" priority="2381" operator="equal">
      <formula>1</formula>
    </cfRule>
    <cfRule type="iconSet" priority="2382">
      <iconSet iconSet="3Symbols2" showValue="0">
        <cfvo type="percent" val="0"/>
        <cfvo type="num" val="0"/>
        <cfvo type="num" val="6"/>
      </iconSet>
    </cfRule>
    <cfRule type="iconSet" priority="2383">
      <iconSet iconSet="3Symbols2" showValue="0">
        <cfvo type="percent" val="0"/>
        <cfvo type="num" val="&quot;0+$Y$20&quot;"/>
        <cfvo type="num" val="1"/>
      </iconSet>
    </cfRule>
    <cfRule type="cellIs" dxfId="1469" priority="2384" operator="equal">
      <formula>6</formula>
    </cfRule>
  </conditionalFormatting>
  <conditionalFormatting sqref="P54:BO54">
    <cfRule type="cellIs" dxfId="1468" priority="2371" operator="equal">
      <formula>"0-5"</formula>
    </cfRule>
    <cfRule type="iconSet" priority="2372">
      <iconSet iconSet="3Symbols" showValue="0">
        <cfvo type="percent" val="0"/>
        <cfvo type="percent" val="33"/>
        <cfvo type="percent" val="67"/>
      </iconSet>
    </cfRule>
    <cfRule type="iconSet" priority="2373">
      <iconSet iconSet="3Symbols">
        <cfvo type="percent" val="0"/>
        <cfvo type="percent" val="33"/>
        <cfvo type="percent" val="67"/>
      </iconSet>
    </cfRule>
  </conditionalFormatting>
  <conditionalFormatting sqref="P54:BO54">
    <cfRule type="iconSet" priority="2369">
      <iconSet iconSet="3Symbols2" showValue="0">
        <cfvo type="percent" val="0"/>
        <cfvo type="num" val="&quot;0+$Y$20&quot;"/>
        <cfvo type="num" val="1"/>
      </iconSet>
    </cfRule>
    <cfRule type="cellIs" dxfId="1467" priority="2370" operator="equal">
      <formula>6</formula>
    </cfRule>
  </conditionalFormatting>
  <conditionalFormatting sqref="P54:BO54">
    <cfRule type="cellIs" dxfId="1466" priority="2367" operator="equal">
      <formula>6</formula>
    </cfRule>
    <cfRule type="iconSet" priority="2368">
      <iconSet showValue="0">
        <cfvo type="percent" val="0"/>
        <cfvo type="num" val="&quot;0+$Y$20&quot;"/>
        <cfvo type="num" val="1"/>
      </iconSet>
    </cfRule>
  </conditionalFormatting>
  <conditionalFormatting sqref="P54:BO54">
    <cfRule type="iconSet" priority="2364">
      <iconSet iconSet="3Symbols2" showValue="0">
        <cfvo type="percent" val="0"/>
        <cfvo type="num" val="0"/>
        <cfvo type="num" val="6"/>
      </iconSet>
    </cfRule>
    <cfRule type="iconSet" priority="2365">
      <iconSet iconSet="3Symbols2" showValue="0">
        <cfvo type="percent" val="0"/>
        <cfvo type="num" val="&quot;0+$Y$20&quot;"/>
        <cfvo type="num" val="1"/>
      </iconSet>
    </cfRule>
    <cfRule type="cellIs" dxfId="1465" priority="2366" operator="equal">
      <formula>6</formula>
    </cfRule>
  </conditionalFormatting>
  <conditionalFormatting sqref="P54:BO54">
    <cfRule type="cellIs" dxfId="1464" priority="2353" operator="equal">
      <formula>5</formula>
    </cfRule>
    <cfRule type="cellIs" dxfId="1463" priority="2354" operator="equal">
      <formula>4</formula>
    </cfRule>
    <cfRule type="cellIs" dxfId="1462" priority="2355" operator="equal">
      <formula>3</formula>
    </cfRule>
    <cfRule type="cellIs" dxfId="1461" priority="2356" operator="equal">
      <formula>5</formula>
    </cfRule>
    <cfRule type="cellIs" dxfId="1460" priority="2357" operator="equal">
      <formula>4</formula>
    </cfRule>
    <cfRule type="cellIs" dxfId="1459" priority="2358" operator="equal">
      <formula>3</formula>
    </cfRule>
    <cfRule type="cellIs" dxfId="1458" priority="2359" operator="equal">
      <formula>2</formula>
    </cfRule>
    <cfRule type="cellIs" dxfId="1457" priority="2360" operator="equal">
      <formula>1</formula>
    </cfRule>
    <cfRule type="iconSet" priority="2361">
      <iconSet iconSet="3Symbols2" showValue="0">
        <cfvo type="percent" val="0"/>
        <cfvo type="num" val="0"/>
        <cfvo type="num" val="6"/>
      </iconSet>
    </cfRule>
    <cfRule type="iconSet" priority="2362">
      <iconSet iconSet="3Symbols2" showValue="0">
        <cfvo type="percent" val="0"/>
        <cfvo type="num" val="&quot;0+$Y$20&quot;"/>
        <cfvo type="num" val="1"/>
      </iconSet>
    </cfRule>
    <cfRule type="cellIs" dxfId="1456" priority="2363" operator="equal">
      <formula>6</formula>
    </cfRule>
  </conditionalFormatting>
  <conditionalFormatting sqref="P56:BO56">
    <cfRule type="cellIs" dxfId="1455" priority="2350" operator="equal">
      <formula>"0-5"</formula>
    </cfRule>
    <cfRule type="iconSet" priority="2351">
      <iconSet iconSet="3Symbols" showValue="0">
        <cfvo type="percent" val="0"/>
        <cfvo type="percent" val="33"/>
        <cfvo type="percent" val="67"/>
      </iconSet>
    </cfRule>
    <cfRule type="iconSet" priority="2352">
      <iconSet iconSet="3Symbols">
        <cfvo type="percent" val="0"/>
        <cfvo type="percent" val="33"/>
        <cfvo type="percent" val="67"/>
      </iconSet>
    </cfRule>
  </conditionalFormatting>
  <conditionalFormatting sqref="P56:BO56">
    <cfRule type="iconSet" priority="2348">
      <iconSet iconSet="3Symbols2" showValue="0">
        <cfvo type="percent" val="0"/>
        <cfvo type="num" val="&quot;0+$Y$20&quot;"/>
        <cfvo type="num" val="1"/>
      </iconSet>
    </cfRule>
    <cfRule type="cellIs" dxfId="1454" priority="2349" operator="equal">
      <formula>6</formula>
    </cfRule>
  </conditionalFormatting>
  <conditionalFormatting sqref="P56:BO56">
    <cfRule type="cellIs" dxfId="1453" priority="2346" operator="equal">
      <formula>6</formula>
    </cfRule>
    <cfRule type="iconSet" priority="2347">
      <iconSet showValue="0">
        <cfvo type="percent" val="0"/>
        <cfvo type="num" val="&quot;0+$Y$20&quot;"/>
        <cfvo type="num" val="1"/>
      </iconSet>
    </cfRule>
  </conditionalFormatting>
  <conditionalFormatting sqref="P56:BO56">
    <cfRule type="iconSet" priority="2343">
      <iconSet iconSet="3Symbols2" showValue="0">
        <cfvo type="percent" val="0"/>
        <cfvo type="num" val="0"/>
        <cfvo type="num" val="6"/>
      </iconSet>
    </cfRule>
    <cfRule type="iconSet" priority="2344">
      <iconSet iconSet="3Symbols2" showValue="0">
        <cfvo type="percent" val="0"/>
        <cfvo type="num" val="&quot;0+$Y$20&quot;"/>
        <cfvo type="num" val="1"/>
      </iconSet>
    </cfRule>
    <cfRule type="cellIs" dxfId="1452" priority="2345" operator="equal">
      <formula>6</formula>
    </cfRule>
  </conditionalFormatting>
  <conditionalFormatting sqref="P56:BO56">
    <cfRule type="cellIs" dxfId="1451" priority="2332" operator="equal">
      <formula>5</formula>
    </cfRule>
    <cfRule type="cellIs" dxfId="1450" priority="2333" operator="equal">
      <formula>4</formula>
    </cfRule>
    <cfRule type="cellIs" dxfId="1449" priority="2334" operator="equal">
      <formula>3</formula>
    </cfRule>
    <cfRule type="cellIs" dxfId="1448" priority="2335" operator="equal">
      <formula>5</formula>
    </cfRule>
    <cfRule type="cellIs" dxfId="1447" priority="2336" operator="equal">
      <formula>4</formula>
    </cfRule>
    <cfRule type="cellIs" dxfId="1446" priority="2337" operator="equal">
      <formula>3</formula>
    </cfRule>
    <cfRule type="cellIs" dxfId="1445" priority="2338" operator="equal">
      <formula>2</formula>
    </cfRule>
    <cfRule type="cellIs" dxfId="1444" priority="2339" operator="equal">
      <formula>1</formula>
    </cfRule>
    <cfRule type="iconSet" priority="2340">
      <iconSet iconSet="3Symbols2" showValue="0">
        <cfvo type="percent" val="0"/>
        <cfvo type="num" val="0"/>
        <cfvo type="num" val="6"/>
      </iconSet>
    </cfRule>
    <cfRule type="iconSet" priority="2341">
      <iconSet iconSet="3Symbols2" showValue="0">
        <cfvo type="percent" val="0"/>
        <cfvo type="num" val="&quot;0+$Y$20&quot;"/>
        <cfvo type="num" val="1"/>
      </iconSet>
    </cfRule>
    <cfRule type="cellIs" dxfId="1443" priority="2342" operator="equal">
      <formula>6</formula>
    </cfRule>
  </conditionalFormatting>
  <conditionalFormatting sqref="P58:BO58">
    <cfRule type="cellIs" dxfId="1442" priority="2329" operator="equal">
      <formula>"0-5"</formula>
    </cfRule>
    <cfRule type="iconSet" priority="2330">
      <iconSet iconSet="3Symbols" showValue="0">
        <cfvo type="percent" val="0"/>
        <cfvo type="percent" val="33"/>
        <cfvo type="percent" val="67"/>
      </iconSet>
    </cfRule>
    <cfRule type="iconSet" priority="2331">
      <iconSet iconSet="3Symbols">
        <cfvo type="percent" val="0"/>
        <cfvo type="percent" val="33"/>
        <cfvo type="percent" val="67"/>
      </iconSet>
    </cfRule>
  </conditionalFormatting>
  <conditionalFormatting sqref="P58:BO58">
    <cfRule type="iconSet" priority="2327">
      <iconSet iconSet="3Symbols2" showValue="0">
        <cfvo type="percent" val="0"/>
        <cfvo type="num" val="&quot;0+$Y$20&quot;"/>
        <cfvo type="num" val="1"/>
      </iconSet>
    </cfRule>
    <cfRule type="cellIs" dxfId="1441" priority="2328" operator="equal">
      <formula>6</formula>
    </cfRule>
  </conditionalFormatting>
  <conditionalFormatting sqref="P58:BO58">
    <cfRule type="cellIs" dxfId="1440" priority="2325" operator="equal">
      <formula>6</formula>
    </cfRule>
    <cfRule type="iconSet" priority="2326">
      <iconSet showValue="0">
        <cfvo type="percent" val="0"/>
        <cfvo type="num" val="&quot;0+$Y$20&quot;"/>
        <cfvo type="num" val="1"/>
      </iconSet>
    </cfRule>
  </conditionalFormatting>
  <conditionalFormatting sqref="P58:BO58">
    <cfRule type="iconSet" priority="2322">
      <iconSet iconSet="3Symbols2" showValue="0">
        <cfvo type="percent" val="0"/>
        <cfvo type="num" val="0"/>
        <cfvo type="num" val="6"/>
      </iconSet>
    </cfRule>
    <cfRule type="iconSet" priority="2323">
      <iconSet iconSet="3Symbols2" showValue="0">
        <cfvo type="percent" val="0"/>
        <cfvo type="num" val="&quot;0+$Y$20&quot;"/>
        <cfvo type="num" val="1"/>
      </iconSet>
    </cfRule>
    <cfRule type="cellIs" dxfId="1439" priority="2324" operator="equal">
      <formula>6</formula>
    </cfRule>
  </conditionalFormatting>
  <conditionalFormatting sqref="P58:BO58">
    <cfRule type="cellIs" dxfId="1438" priority="2311" operator="equal">
      <formula>5</formula>
    </cfRule>
    <cfRule type="cellIs" dxfId="1437" priority="2312" operator="equal">
      <formula>4</formula>
    </cfRule>
    <cfRule type="cellIs" dxfId="1436" priority="2313" operator="equal">
      <formula>3</formula>
    </cfRule>
    <cfRule type="cellIs" dxfId="1435" priority="2314" operator="equal">
      <formula>5</formula>
    </cfRule>
    <cfRule type="cellIs" dxfId="1434" priority="2315" operator="equal">
      <formula>4</formula>
    </cfRule>
    <cfRule type="cellIs" dxfId="1433" priority="2316" operator="equal">
      <formula>3</formula>
    </cfRule>
    <cfRule type="cellIs" dxfId="1432" priority="2317" operator="equal">
      <formula>2</formula>
    </cfRule>
    <cfRule type="cellIs" dxfId="1431" priority="2318" operator="equal">
      <formula>1</formula>
    </cfRule>
    <cfRule type="iconSet" priority="2319">
      <iconSet iconSet="3Symbols2" showValue="0">
        <cfvo type="percent" val="0"/>
        <cfvo type="num" val="0"/>
        <cfvo type="num" val="6"/>
      </iconSet>
    </cfRule>
    <cfRule type="iconSet" priority="2320">
      <iconSet iconSet="3Symbols2" showValue="0">
        <cfvo type="percent" val="0"/>
        <cfvo type="num" val="&quot;0+$Y$20&quot;"/>
        <cfvo type="num" val="1"/>
      </iconSet>
    </cfRule>
    <cfRule type="cellIs" dxfId="1430" priority="2321" operator="equal">
      <formula>6</formula>
    </cfRule>
  </conditionalFormatting>
  <conditionalFormatting sqref="P60:BO60">
    <cfRule type="cellIs" dxfId="1429" priority="2308" operator="equal">
      <formula>"0-5"</formula>
    </cfRule>
    <cfRule type="iconSet" priority="2309">
      <iconSet iconSet="3Symbols" showValue="0">
        <cfvo type="percent" val="0"/>
        <cfvo type="percent" val="33"/>
        <cfvo type="percent" val="67"/>
      </iconSet>
    </cfRule>
    <cfRule type="iconSet" priority="2310">
      <iconSet iconSet="3Symbols">
        <cfvo type="percent" val="0"/>
        <cfvo type="percent" val="33"/>
        <cfvo type="percent" val="67"/>
      </iconSet>
    </cfRule>
  </conditionalFormatting>
  <conditionalFormatting sqref="P60:BO60">
    <cfRule type="iconSet" priority="2306">
      <iconSet iconSet="3Symbols2" showValue="0">
        <cfvo type="percent" val="0"/>
        <cfvo type="num" val="&quot;0+$Y$20&quot;"/>
        <cfvo type="num" val="1"/>
      </iconSet>
    </cfRule>
    <cfRule type="cellIs" dxfId="1428" priority="2307" operator="equal">
      <formula>6</formula>
    </cfRule>
  </conditionalFormatting>
  <conditionalFormatting sqref="P60:BO60">
    <cfRule type="cellIs" dxfId="1427" priority="2304" operator="equal">
      <formula>6</formula>
    </cfRule>
    <cfRule type="iconSet" priority="2305">
      <iconSet showValue="0">
        <cfvo type="percent" val="0"/>
        <cfvo type="num" val="&quot;0+$Y$20&quot;"/>
        <cfvo type="num" val="1"/>
      </iconSet>
    </cfRule>
  </conditionalFormatting>
  <conditionalFormatting sqref="P60:BO60">
    <cfRule type="iconSet" priority="2301">
      <iconSet iconSet="3Symbols2" showValue="0">
        <cfvo type="percent" val="0"/>
        <cfvo type="num" val="0"/>
        <cfvo type="num" val="6"/>
      </iconSet>
    </cfRule>
    <cfRule type="iconSet" priority="2302">
      <iconSet iconSet="3Symbols2" showValue="0">
        <cfvo type="percent" val="0"/>
        <cfvo type="num" val="&quot;0+$Y$20&quot;"/>
        <cfvo type="num" val="1"/>
      </iconSet>
    </cfRule>
    <cfRule type="cellIs" dxfId="1426" priority="2303" operator="equal">
      <formula>6</formula>
    </cfRule>
  </conditionalFormatting>
  <conditionalFormatting sqref="P60:BO60">
    <cfRule type="cellIs" dxfId="1425" priority="2290" operator="equal">
      <formula>5</formula>
    </cfRule>
    <cfRule type="cellIs" dxfId="1424" priority="2291" operator="equal">
      <formula>4</formula>
    </cfRule>
    <cfRule type="cellIs" dxfId="1423" priority="2292" operator="equal">
      <formula>3</formula>
    </cfRule>
    <cfRule type="cellIs" dxfId="1422" priority="2293" operator="equal">
      <formula>5</formula>
    </cfRule>
    <cfRule type="cellIs" dxfId="1421" priority="2294" operator="equal">
      <formula>4</formula>
    </cfRule>
    <cfRule type="cellIs" dxfId="1420" priority="2295" operator="equal">
      <formula>3</formula>
    </cfRule>
    <cfRule type="cellIs" dxfId="1419" priority="2296" operator="equal">
      <formula>2</formula>
    </cfRule>
    <cfRule type="cellIs" dxfId="1418" priority="2297" operator="equal">
      <formula>1</formula>
    </cfRule>
    <cfRule type="iconSet" priority="2298">
      <iconSet iconSet="3Symbols2" showValue="0">
        <cfvo type="percent" val="0"/>
        <cfvo type="num" val="0"/>
        <cfvo type="num" val="6"/>
      </iconSet>
    </cfRule>
    <cfRule type="iconSet" priority="2299">
      <iconSet iconSet="3Symbols2" showValue="0">
        <cfvo type="percent" val="0"/>
        <cfvo type="num" val="&quot;0+$Y$20&quot;"/>
        <cfvo type="num" val="1"/>
      </iconSet>
    </cfRule>
    <cfRule type="cellIs" dxfId="1417" priority="2300" operator="equal">
      <formula>6</formula>
    </cfRule>
  </conditionalFormatting>
  <conditionalFormatting sqref="P62:BO62">
    <cfRule type="cellIs" dxfId="1416" priority="2287" operator="equal">
      <formula>"0-5"</formula>
    </cfRule>
    <cfRule type="iconSet" priority="2288">
      <iconSet iconSet="3Symbols" showValue="0">
        <cfvo type="percent" val="0"/>
        <cfvo type="percent" val="33"/>
        <cfvo type="percent" val="67"/>
      </iconSet>
    </cfRule>
    <cfRule type="iconSet" priority="2289">
      <iconSet iconSet="3Symbols">
        <cfvo type="percent" val="0"/>
        <cfvo type="percent" val="33"/>
        <cfvo type="percent" val="67"/>
      </iconSet>
    </cfRule>
  </conditionalFormatting>
  <conditionalFormatting sqref="P62:BO62">
    <cfRule type="iconSet" priority="2285">
      <iconSet iconSet="3Symbols2" showValue="0">
        <cfvo type="percent" val="0"/>
        <cfvo type="num" val="&quot;0+$Y$20&quot;"/>
        <cfvo type="num" val="1"/>
      </iconSet>
    </cfRule>
    <cfRule type="cellIs" dxfId="1415" priority="2286" operator="equal">
      <formula>6</formula>
    </cfRule>
  </conditionalFormatting>
  <conditionalFormatting sqref="P62:BO62">
    <cfRule type="cellIs" dxfId="1414" priority="2283" operator="equal">
      <formula>6</formula>
    </cfRule>
    <cfRule type="iconSet" priority="2284">
      <iconSet showValue="0">
        <cfvo type="percent" val="0"/>
        <cfvo type="num" val="&quot;0+$Y$20&quot;"/>
        <cfvo type="num" val="1"/>
      </iconSet>
    </cfRule>
  </conditionalFormatting>
  <conditionalFormatting sqref="P62:BO62">
    <cfRule type="iconSet" priority="2280">
      <iconSet iconSet="3Symbols2" showValue="0">
        <cfvo type="percent" val="0"/>
        <cfvo type="num" val="0"/>
        <cfvo type="num" val="6"/>
      </iconSet>
    </cfRule>
    <cfRule type="iconSet" priority="2281">
      <iconSet iconSet="3Symbols2" showValue="0">
        <cfvo type="percent" val="0"/>
        <cfvo type="num" val="&quot;0+$Y$20&quot;"/>
        <cfvo type="num" val="1"/>
      </iconSet>
    </cfRule>
    <cfRule type="cellIs" dxfId="1413" priority="2282" operator="equal">
      <formula>6</formula>
    </cfRule>
  </conditionalFormatting>
  <conditionalFormatting sqref="P62:BO62">
    <cfRule type="cellIs" dxfId="1412" priority="2269" operator="equal">
      <formula>5</formula>
    </cfRule>
    <cfRule type="cellIs" dxfId="1411" priority="2270" operator="equal">
      <formula>4</formula>
    </cfRule>
    <cfRule type="cellIs" dxfId="1410" priority="2271" operator="equal">
      <formula>3</formula>
    </cfRule>
    <cfRule type="cellIs" dxfId="1409" priority="2272" operator="equal">
      <formula>5</formula>
    </cfRule>
    <cfRule type="cellIs" dxfId="1408" priority="2273" operator="equal">
      <formula>4</formula>
    </cfRule>
    <cfRule type="cellIs" dxfId="1407" priority="2274" operator="equal">
      <formula>3</formula>
    </cfRule>
    <cfRule type="cellIs" dxfId="1406" priority="2275" operator="equal">
      <formula>2</formula>
    </cfRule>
    <cfRule type="cellIs" dxfId="1405" priority="2276" operator="equal">
      <formula>1</formula>
    </cfRule>
    <cfRule type="iconSet" priority="2277">
      <iconSet iconSet="3Symbols2" showValue="0">
        <cfvo type="percent" val="0"/>
        <cfvo type="num" val="0"/>
        <cfvo type="num" val="6"/>
      </iconSet>
    </cfRule>
    <cfRule type="iconSet" priority="2278">
      <iconSet iconSet="3Symbols2" showValue="0">
        <cfvo type="percent" val="0"/>
        <cfvo type="num" val="&quot;0+$Y$20&quot;"/>
        <cfvo type="num" val="1"/>
      </iconSet>
    </cfRule>
    <cfRule type="cellIs" dxfId="1404" priority="2279" operator="equal">
      <formula>6</formula>
    </cfRule>
  </conditionalFormatting>
  <conditionalFormatting sqref="P64:BO64">
    <cfRule type="cellIs" dxfId="1403" priority="2266" operator="equal">
      <formula>"0-5"</formula>
    </cfRule>
    <cfRule type="iconSet" priority="2267">
      <iconSet iconSet="3Symbols" showValue="0">
        <cfvo type="percent" val="0"/>
        <cfvo type="percent" val="33"/>
        <cfvo type="percent" val="67"/>
      </iconSet>
    </cfRule>
    <cfRule type="iconSet" priority="2268">
      <iconSet iconSet="3Symbols">
        <cfvo type="percent" val="0"/>
        <cfvo type="percent" val="33"/>
        <cfvo type="percent" val="67"/>
      </iconSet>
    </cfRule>
  </conditionalFormatting>
  <conditionalFormatting sqref="P64:BO64">
    <cfRule type="iconSet" priority="2264">
      <iconSet iconSet="3Symbols2" showValue="0">
        <cfvo type="percent" val="0"/>
        <cfvo type="num" val="&quot;0+$Y$20&quot;"/>
        <cfvo type="num" val="1"/>
      </iconSet>
    </cfRule>
    <cfRule type="cellIs" dxfId="1402" priority="2265" operator="equal">
      <formula>6</formula>
    </cfRule>
  </conditionalFormatting>
  <conditionalFormatting sqref="P64:BO64">
    <cfRule type="cellIs" dxfId="1401" priority="2262" operator="equal">
      <formula>6</formula>
    </cfRule>
    <cfRule type="iconSet" priority="2263">
      <iconSet showValue="0">
        <cfvo type="percent" val="0"/>
        <cfvo type="num" val="&quot;0+$Y$20&quot;"/>
        <cfvo type="num" val="1"/>
      </iconSet>
    </cfRule>
  </conditionalFormatting>
  <conditionalFormatting sqref="P64:BO64">
    <cfRule type="iconSet" priority="2259">
      <iconSet iconSet="3Symbols2" showValue="0">
        <cfvo type="percent" val="0"/>
        <cfvo type="num" val="0"/>
        <cfvo type="num" val="6"/>
      </iconSet>
    </cfRule>
    <cfRule type="iconSet" priority="2260">
      <iconSet iconSet="3Symbols2" showValue="0">
        <cfvo type="percent" val="0"/>
        <cfvo type="num" val="&quot;0+$Y$20&quot;"/>
        <cfvo type="num" val="1"/>
      </iconSet>
    </cfRule>
    <cfRule type="cellIs" dxfId="1400" priority="2261" operator="equal">
      <formula>6</formula>
    </cfRule>
  </conditionalFormatting>
  <conditionalFormatting sqref="P64:BO64">
    <cfRule type="cellIs" dxfId="1399" priority="2248" operator="equal">
      <formula>5</formula>
    </cfRule>
    <cfRule type="cellIs" dxfId="1398" priority="2249" operator="equal">
      <formula>4</formula>
    </cfRule>
    <cfRule type="cellIs" dxfId="1397" priority="2250" operator="equal">
      <formula>3</formula>
    </cfRule>
    <cfRule type="cellIs" dxfId="1396" priority="2251" operator="equal">
      <formula>5</formula>
    </cfRule>
    <cfRule type="cellIs" dxfId="1395" priority="2252" operator="equal">
      <formula>4</formula>
    </cfRule>
    <cfRule type="cellIs" dxfId="1394" priority="2253" operator="equal">
      <formula>3</formula>
    </cfRule>
    <cfRule type="cellIs" dxfId="1393" priority="2254" operator="equal">
      <formula>2</formula>
    </cfRule>
    <cfRule type="cellIs" dxfId="1392" priority="2255" operator="equal">
      <formula>1</formula>
    </cfRule>
    <cfRule type="iconSet" priority="2256">
      <iconSet iconSet="3Symbols2" showValue="0">
        <cfvo type="percent" val="0"/>
        <cfvo type="num" val="0"/>
        <cfvo type="num" val="6"/>
      </iconSet>
    </cfRule>
    <cfRule type="iconSet" priority="2257">
      <iconSet iconSet="3Symbols2" showValue="0">
        <cfvo type="percent" val="0"/>
        <cfvo type="num" val="&quot;0+$Y$20&quot;"/>
        <cfvo type="num" val="1"/>
      </iconSet>
    </cfRule>
    <cfRule type="cellIs" dxfId="1391" priority="2258" operator="equal">
      <formula>6</formula>
    </cfRule>
  </conditionalFormatting>
  <conditionalFormatting sqref="P66:BO66">
    <cfRule type="cellIs" dxfId="1390" priority="2245" operator="equal">
      <formula>"0-5"</formula>
    </cfRule>
    <cfRule type="iconSet" priority="2246">
      <iconSet iconSet="3Symbols" showValue="0">
        <cfvo type="percent" val="0"/>
        <cfvo type="percent" val="33"/>
        <cfvo type="percent" val="67"/>
      </iconSet>
    </cfRule>
    <cfRule type="iconSet" priority="2247">
      <iconSet iconSet="3Symbols">
        <cfvo type="percent" val="0"/>
        <cfvo type="percent" val="33"/>
        <cfvo type="percent" val="67"/>
      </iconSet>
    </cfRule>
  </conditionalFormatting>
  <conditionalFormatting sqref="P66:BO66">
    <cfRule type="iconSet" priority="2243">
      <iconSet iconSet="3Symbols2" showValue="0">
        <cfvo type="percent" val="0"/>
        <cfvo type="num" val="&quot;0+$Y$20&quot;"/>
        <cfvo type="num" val="1"/>
      </iconSet>
    </cfRule>
    <cfRule type="cellIs" dxfId="1389" priority="2244" operator="equal">
      <formula>6</formula>
    </cfRule>
  </conditionalFormatting>
  <conditionalFormatting sqref="P66:BO66">
    <cfRule type="cellIs" dxfId="1388" priority="2241" operator="equal">
      <formula>6</formula>
    </cfRule>
    <cfRule type="iconSet" priority="2242">
      <iconSet showValue="0">
        <cfvo type="percent" val="0"/>
        <cfvo type="num" val="&quot;0+$Y$20&quot;"/>
        <cfvo type="num" val="1"/>
      </iconSet>
    </cfRule>
  </conditionalFormatting>
  <conditionalFormatting sqref="P66:BO66">
    <cfRule type="iconSet" priority="2238">
      <iconSet iconSet="3Symbols2" showValue="0">
        <cfvo type="percent" val="0"/>
        <cfvo type="num" val="0"/>
        <cfvo type="num" val="6"/>
      </iconSet>
    </cfRule>
    <cfRule type="iconSet" priority="2239">
      <iconSet iconSet="3Symbols2" showValue="0">
        <cfvo type="percent" val="0"/>
        <cfvo type="num" val="&quot;0+$Y$20&quot;"/>
        <cfvo type="num" val="1"/>
      </iconSet>
    </cfRule>
    <cfRule type="cellIs" dxfId="1387" priority="2240" operator="equal">
      <formula>6</formula>
    </cfRule>
  </conditionalFormatting>
  <conditionalFormatting sqref="P66:BO66">
    <cfRule type="cellIs" dxfId="1386" priority="2227" operator="equal">
      <formula>5</formula>
    </cfRule>
    <cfRule type="cellIs" dxfId="1385" priority="2228" operator="equal">
      <formula>4</formula>
    </cfRule>
    <cfRule type="cellIs" dxfId="1384" priority="2229" operator="equal">
      <formula>3</formula>
    </cfRule>
    <cfRule type="cellIs" dxfId="1383" priority="2230" operator="equal">
      <formula>5</formula>
    </cfRule>
    <cfRule type="cellIs" dxfId="1382" priority="2231" operator="equal">
      <formula>4</formula>
    </cfRule>
    <cfRule type="cellIs" dxfId="1381" priority="2232" operator="equal">
      <formula>3</formula>
    </cfRule>
    <cfRule type="cellIs" dxfId="1380" priority="2233" operator="equal">
      <formula>2</formula>
    </cfRule>
    <cfRule type="cellIs" dxfId="1379" priority="2234" operator="equal">
      <formula>1</formula>
    </cfRule>
    <cfRule type="iconSet" priority="2235">
      <iconSet iconSet="3Symbols2" showValue="0">
        <cfvo type="percent" val="0"/>
        <cfvo type="num" val="0"/>
        <cfvo type="num" val="6"/>
      </iconSet>
    </cfRule>
    <cfRule type="iconSet" priority="2236">
      <iconSet iconSet="3Symbols2" showValue="0">
        <cfvo type="percent" val="0"/>
        <cfvo type="num" val="&quot;0+$Y$20&quot;"/>
        <cfvo type="num" val="1"/>
      </iconSet>
    </cfRule>
    <cfRule type="cellIs" dxfId="1378" priority="2237" operator="equal">
      <formula>6</formula>
    </cfRule>
  </conditionalFormatting>
  <conditionalFormatting sqref="P68:BO68">
    <cfRule type="cellIs" dxfId="1377" priority="2224" operator="equal">
      <formula>"0-5"</formula>
    </cfRule>
    <cfRule type="iconSet" priority="2225">
      <iconSet iconSet="3Symbols" showValue="0">
        <cfvo type="percent" val="0"/>
        <cfvo type="percent" val="33"/>
        <cfvo type="percent" val="67"/>
      </iconSet>
    </cfRule>
    <cfRule type="iconSet" priority="2226">
      <iconSet iconSet="3Symbols">
        <cfvo type="percent" val="0"/>
        <cfvo type="percent" val="33"/>
        <cfvo type="percent" val="67"/>
      </iconSet>
    </cfRule>
  </conditionalFormatting>
  <conditionalFormatting sqref="P68:BO68">
    <cfRule type="iconSet" priority="2222">
      <iconSet iconSet="3Symbols2" showValue="0">
        <cfvo type="percent" val="0"/>
        <cfvo type="num" val="&quot;0+$Y$20&quot;"/>
        <cfvo type="num" val="1"/>
      </iconSet>
    </cfRule>
    <cfRule type="cellIs" dxfId="1376" priority="2223" operator="equal">
      <formula>6</formula>
    </cfRule>
  </conditionalFormatting>
  <conditionalFormatting sqref="P68:BO68">
    <cfRule type="cellIs" dxfId="1375" priority="2220" operator="equal">
      <formula>6</formula>
    </cfRule>
    <cfRule type="iconSet" priority="2221">
      <iconSet showValue="0">
        <cfvo type="percent" val="0"/>
        <cfvo type="num" val="&quot;0+$Y$20&quot;"/>
        <cfvo type="num" val="1"/>
      </iconSet>
    </cfRule>
  </conditionalFormatting>
  <conditionalFormatting sqref="P68:BO68">
    <cfRule type="iconSet" priority="2217">
      <iconSet iconSet="3Symbols2" showValue="0">
        <cfvo type="percent" val="0"/>
        <cfvo type="num" val="0"/>
        <cfvo type="num" val="6"/>
      </iconSet>
    </cfRule>
    <cfRule type="iconSet" priority="2218">
      <iconSet iconSet="3Symbols2" showValue="0">
        <cfvo type="percent" val="0"/>
        <cfvo type="num" val="&quot;0+$Y$20&quot;"/>
        <cfvo type="num" val="1"/>
      </iconSet>
    </cfRule>
    <cfRule type="cellIs" dxfId="1374" priority="2219" operator="equal">
      <formula>6</formula>
    </cfRule>
  </conditionalFormatting>
  <conditionalFormatting sqref="P68:BO68">
    <cfRule type="cellIs" dxfId="1373" priority="2206" operator="equal">
      <formula>5</formula>
    </cfRule>
    <cfRule type="cellIs" dxfId="1372" priority="2207" operator="equal">
      <formula>4</formula>
    </cfRule>
    <cfRule type="cellIs" dxfId="1371" priority="2208" operator="equal">
      <formula>3</formula>
    </cfRule>
    <cfRule type="cellIs" dxfId="1370" priority="2209" operator="equal">
      <formula>5</formula>
    </cfRule>
    <cfRule type="cellIs" dxfId="1369" priority="2210" operator="equal">
      <formula>4</formula>
    </cfRule>
    <cfRule type="cellIs" dxfId="1368" priority="2211" operator="equal">
      <formula>3</formula>
    </cfRule>
    <cfRule type="cellIs" dxfId="1367" priority="2212" operator="equal">
      <formula>2</formula>
    </cfRule>
    <cfRule type="cellIs" dxfId="1366" priority="2213" operator="equal">
      <formula>1</formula>
    </cfRule>
    <cfRule type="iconSet" priority="2214">
      <iconSet iconSet="3Symbols2" showValue="0">
        <cfvo type="percent" val="0"/>
        <cfvo type="num" val="0"/>
        <cfvo type="num" val="6"/>
      </iconSet>
    </cfRule>
    <cfRule type="iconSet" priority="2215">
      <iconSet iconSet="3Symbols2" showValue="0">
        <cfvo type="percent" val="0"/>
        <cfvo type="num" val="&quot;0+$Y$20&quot;"/>
        <cfvo type="num" val="1"/>
      </iconSet>
    </cfRule>
    <cfRule type="cellIs" dxfId="1365" priority="2216" operator="equal">
      <formula>6</formula>
    </cfRule>
  </conditionalFormatting>
  <conditionalFormatting sqref="P70:BO70">
    <cfRule type="cellIs" dxfId="1364" priority="2203" operator="equal">
      <formula>"0-5"</formula>
    </cfRule>
    <cfRule type="iconSet" priority="2204">
      <iconSet iconSet="3Symbols" showValue="0">
        <cfvo type="percent" val="0"/>
        <cfvo type="percent" val="33"/>
        <cfvo type="percent" val="67"/>
      </iconSet>
    </cfRule>
    <cfRule type="iconSet" priority="2205">
      <iconSet iconSet="3Symbols">
        <cfvo type="percent" val="0"/>
        <cfvo type="percent" val="33"/>
        <cfvo type="percent" val="67"/>
      </iconSet>
    </cfRule>
  </conditionalFormatting>
  <conditionalFormatting sqref="P70:BO70">
    <cfRule type="iconSet" priority="2201">
      <iconSet iconSet="3Symbols2" showValue="0">
        <cfvo type="percent" val="0"/>
        <cfvo type="num" val="&quot;0+$Y$20&quot;"/>
        <cfvo type="num" val="1"/>
      </iconSet>
    </cfRule>
    <cfRule type="cellIs" dxfId="1363" priority="2202" operator="equal">
      <formula>6</formula>
    </cfRule>
  </conditionalFormatting>
  <conditionalFormatting sqref="P70:BO70">
    <cfRule type="cellIs" dxfId="1362" priority="2199" operator="equal">
      <formula>6</formula>
    </cfRule>
    <cfRule type="iconSet" priority="2200">
      <iconSet showValue="0">
        <cfvo type="percent" val="0"/>
        <cfvo type="num" val="&quot;0+$Y$20&quot;"/>
        <cfvo type="num" val="1"/>
      </iconSet>
    </cfRule>
  </conditionalFormatting>
  <conditionalFormatting sqref="P70:BO70">
    <cfRule type="iconSet" priority="2196">
      <iconSet iconSet="3Symbols2" showValue="0">
        <cfvo type="percent" val="0"/>
        <cfvo type="num" val="0"/>
        <cfvo type="num" val="6"/>
      </iconSet>
    </cfRule>
    <cfRule type="iconSet" priority="2197">
      <iconSet iconSet="3Symbols2" showValue="0">
        <cfvo type="percent" val="0"/>
        <cfvo type="num" val="&quot;0+$Y$20&quot;"/>
        <cfvo type="num" val="1"/>
      </iconSet>
    </cfRule>
    <cfRule type="cellIs" dxfId="1361" priority="2198" operator="equal">
      <formula>6</formula>
    </cfRule>
  </conditionalFormatting>
  <conditionalFormatting sqref="P70:BO70">
    <cfRule type="cellIs" dxfId="1360" priority="2185" operator="equal">
      <formula>5</formula>
    </cfRule>
    <cfRule type="cellIs" dxfId="1359" priority="2186" operator="equal">
      <formula>4</formula>
    </cfRule>
    <cfRule type="cellIs" dxfId="1358" priority="2187" operator="equal">
      <formula>3</formula>
    </cfRule>
    <cfRule type="cellIs" dxfId="1357" priority="2188" operator="equal">
      <formula>5</formula>
    </cfRule>
    <cfRule type="cellIs" dxfId="1356" priority="2189" operator="equal">
      <formula>4</formula>
    </cfRule>
    <cfRule type="cellIs" dxfId="1355" priority="2190" operator="equal">
      <formula>3</formula>
    </cfRule>
    <cfRule type="cellIs" dxfId="1354" priority="2191" operator="equal">
      <formula>2</formula>
    </cfRule>
    <cfRule type="cellIs" dxfId="1353" priority="2192" operator="equal">
      <formula>1</formula>
    </cfRule>
    <cfRule type="iconSet" priority="2193">
      <iconSet iconSet="3Symbols2" showValue="0">
        <cfvo type="percent" val="0"/>
        <cfvo type="num" val="0"/>
        <cfvo type="num" val="6"/>
      </iconSet>
    </cfRule>
    <cfRule type="iconSet" priority="2194">
      <iconSet iconSet="3Symbols2" showValue="0">
        <cfvo type="percent" val="0"/>
        <cfvo type="num" val="&quot;0+$Y$20&quot;"/>
        <cfvo type="num" val="1"/>
      </iconSet>
    </cfRule>
    <cfRule type="cellIs" dxfId="1352" priority="2195" operator="equal">
      <formula>6</formula>
    </cfRule>
  </conditionalFormatting>
  <conditionalFormatting sqref="P72:BO72">
    <cfRule type="cellIs" dxfId="1351" priority="2182" operator="equal">
      <formula>"0-5"</formula>
    </cfRule>
    <cfRule type="iconSet" priority="2183">
      <iconSet iconSet="3Symbols" showValue="0">
        <cfvo type="percent" val="0"/>
        <cfvo type="percent" val="33"/>
        <cfvo type="percent" val="67"/>
      </iconSet>
    </cfRule>
    <cfRule type="iconSet" priority="2184">
      <iconSet iconSet="3Symbols">
        <cfvo type="percent" val="0"/>
        <cfvo type="percent" val="33"/>
        <cfvo type="percent" val="67"/>
      </iconSet>
    </cfRule>
  </conditionalFormatting>
  <conditionalFormatting sqref="P72:BO72">
    <cfRule type="iconSet" priority="2180">
      <iconSet iconSet="3Symbols2" showValue="0">
        <cfvo type="percent" val="0"/>
        <cfvo type="num" val="&quot;0+$Y$20&quot;"/>
        <cfvo type="num" val="1"/>
      </iconSet>
    </cfRule>
    <cfRule type="cellIs" dxfId="1350" priority="2181" operator="equal">
      <formula>6</formula>
    </cfRule>
  </conditionalFormatting>
  <conditionalFormatting sqref="P72:BO72">
    <cfRule type="cellIs" dxfId="1349" priority="2178" operator="equal">
      <formula>6</formula>
    </cfRule>
    <cfRule type="iconSet" priority="2179">
      <iconSet showValue="0">
        <cfvo type="percent" val="0"/>
        <cfvo type="num" val="&quot;0+$Y$20&quot;"/>
        <cfvo type="num" val="1"/>
      </iconSet>
    </cfRule>
  </conditionalFormatting>
  <conditionalFormatting sqref="P72:BO72">
    <cfRule type="iconSet" priority="2175">
      <iconSet iconSet="3Symbols2" showValue="0">
        <cfvo type="percent" val="0"/>
        <cfvo type="num" val="0"/>
        <cfvo type="num" val="6"/>
      </iconSet>
    </cfRule>
    <cfRule type="iconSet" priority="2176">
      <iconSet iconSet="3Symbols2" showValue="0">
        <cfvo type="percent" val="0"/>
        <cfvo type="num" val="&quot;0+$Y$20&quot;"/>
        <cfvo type="num" val="1"/>
      </iconSet>
    </cfRule>
    <cfRule type="cellIs" dxfId="1348" priority="2177" operator="equal">
      <formula>6</formula>
    </cfRule>
  </conditionalFormatting>
  <conditionalFormatting sqref="P72:BO72">
    <cfRule type="cellIs" dxfId="1347" priority="2164" operator="equal">
      <formula>5</formula>
    </cfRule>
    <cfRule type="cellIs" dxfId="1346" priority="2165" operator="equal">
      <formula>4</formula>
    </cfRule>
    <cfRule type="cellIs" dxfId="1345" priority="2166" operator="equal">
      <formula>3</formula>
    </cfRule>
    <cfRule type="cellIs" dxfId="1344" priority="2167" operator="equal">
      <formula>5</formula>
    </cfRule>
    <cfRule type="cellIs" dxfId="1343" priority="2168" operator="equal">
      <formula>4</formula>
    </cfRule>
    <cfRule type="cellIs" dxfId="1342" priority="2169" operator="equal">
      <formula>3</formula>
    </cfRule>
    <cfRule type="cellIs" dxfId="1341" priority="2170" operator="equal">
      <formula>2</formula>
    </cfRule>
    <cfRule type="cellIs" dxfId="1340" priority="2171" operator="equal">
      <formula>1</formula>
    </cfRule>
    <cfRule type="iconSet" priority="2172">
      <iconSet iconSet="3Symbols2" showValue="0">
        <cfvo type="percent" val="0"/>
        <cfvo type="num" val="0"/>
        <cfvo type="num" val="6"/>
      </iconSet>
    </cfRule>
    <cfRule type="iconSet" priority="2173">
      <iconSet iconSet="3Symbols2" showValue="0">
        <cfvo type="percent" val="0"/>
        <cfvo type="num" val="&quot;0+$Y$20&quot;"/>
        <cfvo type="num" val="1"/>
      </iconSet>
    </cfRule>
    <cfRule type="cellIs" dxfId="1339" priority="2174" operator="equal">
      <formula>6</formula>
    </cfRule>
  </conditionalFormatting>
  <conditionalFormatting sqref="P74:BO74">
    <cfRule type="cellIs" dxfId="1338" priority="2161" operator="equal">
      <formula>"0-5"</formula>
    </cfRule>
    <cfRule type="iconSet" priority="2162">
      <iconSet iconSet="3Symbols" showValue="0">
        <cfvo type="percent" val="0"/>
        <cfvo type="percent" val="33"/>
        <cfvo type="percent" val="67"/>
      </iconSet>
    </cfRule>
    <cfRule type="iconSet" priority="2163">
      <iconSet iconSet="3Symbols">
        <cfvo type="percent" val="0"/>
        <cfvo type="percent" val="33"/>
        <cfvo type="percent" val="67"/>
      </iconSet>
    </cfRule>
  </conditionalFormatting>
  <conditionalFormatting sqref="P74:BO74">
    <cfRule type="iconSet" priority="2159">
      <iconSet iconSet="3Symbols2" showValue="0">
        <cfvo type="percent" val="0"/>
        <cfvo type="num" val="&quot;0+$Y$20&quot;"/>
        <cfvo type="num" val="1"/>
      </iconSet>
    </cfRule>
    <cfRule type="cellIs" dxfId="1337" priority="2160" operator="equal">
      <formula>6</formula>
    </cfRule>
  </conditionalFormatting>
  <conditionalFormatting sqref="P74:BO74">
    <cfRule type="cellIs" dxfId="1336" priority="2157" operator="equal">
      <formula>6</formula>
    </cfRule>
    <cfRule type="iconSet" priority="2158">
      <iconSet showValue="0">
        <cfvo type="percent" val="0"/>
        <cfvo type="num" val="&quot;0+$Y$20&quot;"/>
        <cfvo type="num" val="1"/>
      </iconSet>
    </cfRule>
  </conditionalFormatting>
  <conditionalFormatting sqref="P74:BO74">
    <cfRule type="iconSet" priority="2154">
      <iconSet iconSet="3Symbols2" showValue="0">
        <cfvo type="percent" val="0"/>
        <cfvo type="num" val="0"/>
        <cfvo type="num" val="6"/>
      </iconSet>
    </cfRule>
    <cfRule type="iconSet" priority="2155">
      <iconSet iconSet="3Symbols2" showValue="0">
        <cfvo type="percent" val="0"/>
        <cfvo type="num" val="&quot;0+$Y$20&quot;"/>
        <cfvo type="num" val="1"/>
      </iconSet>
    </cfRule>
    <cfRule type="cellIs" dxfId="1335" priority="2156" operator="equal">
      <formula>6</formula>
    </cfRule>
  </conditionalFormatting>
  <conditionalFormatting sqref="P74:BO74">
    <cfRule type="cellIs" dxfId="1334" priority="2143" operator="equal">
      <formula>5</formula>
    </cfRule>
    <cfRule type="cellIs" dxfId="1333" priority="2144" operator="equal">
      <formula>4</formula>
    </cfRule>
    <cfRule type="cellIs" dxfId="1332" priority="2145" operator="equal">
      <formula>3</formula>
    </cfRule>
    <cfRule type="cellIs" dxfId="1331" priority="2146" operator="equal">
      <formula>5</formula>
    </cfRule>
    <cfRule type="cellIs" dxfId="1330" priority="2147" operator="equal">
      <formula>4</formula>
    </cfRule>
    <cfRule type="cellIs" dxfId="1329" priority="2148" operator="equal">
      <formula>3</formula>
    </cfRule>
    <cfRule type="cellIs" dxfId="1328" priority="2149" operator="equal">
      <formula>2</formula>
    </cfRule>
    <cfRule type="cellIs" dxfId="1327" priority="2150" operator="equal">
      <formula>1</formula>
    </cfRule>
    <cfRule type="iconSet" priority="2151">
      <iconSet iconSet="3Symbols2" showValue="0">
        <cfvo type="percent" val="0"/>
        <cfvo type="num" val="0"/>
        <cfvo type="num" val="6"/>
      </iconSet>
    </cfRule>
    <cfRule type="iconSet" priority="2152">
      <iconSet iconSet="3Symbols2" showValue="0">
        <cfvo type="percent" val="0"/>
        <cfvo type="num" val="&quot;0+$Y$20&quot;"/>
        <cfvo type="num" val="1"/>
      </iconSet>
    </cfRule>
    <cfRule type="cellIs" dxfId="1326" priority="2153" operator="equal">
      <formula>6</formula>
    </cfRule>
  </conditionalFormatting>
  <conditionalFormatting sqref="P76:BO76">
    <cfRule type="cellIs" dxfId="1325" priority="2140" operator="equal">
      <formula>"0-5"</formula>
    </cfRule>
    <cfRule type="iconSet" priority="2141">
      <iconSet iconSet="3Symbols" showValue="0">
        <cfvo type="percent" val="0"/>
        <cfvo type="percent" val="33"/>
        <cfvo type="percent" val="67"/>
      </iconSet>
    </cfRule>
    <cfRule type="iconSet" priority="2142">
      <iconSet iconSet="3Symbols">
        <cfvo type="percent" val="0"/>
        <cfvo type="percent" val="33"/>
        <cfvo type="percent" val="67"/>
      </iconSet>
    </cfRule>
  </conditionalFormatting>
  <conditionalFormatting sqref="P76:BO76">
    <cfRule type="iconSet" priority="2138">
      <iconSet iconSet="3Symbols2" showValue="0">
        <cfvo type="percent" val="0"/>
        <cfvo type="num" val="&quot;0+$Y$20&quot;"/>
        <cfvo type="num" val="1"/>
      </iconSet>
    </cfRule>
    <cfRule type="cellIs" dxfId="1324" priority="2139" operator="equal">
      <formula>6</formula>
    </cfRule>
  </conditionalFormatting>
  <conditionalFormatting sqref="P76:BO76">
    <cfRule type="cellIs" dxfId="1323" priority="2136" operator="equal">
      <formula>6</formula>
    </cfRule>
    <cfRule type="iconSet" priority="2137">
      <iconSet showValue="0">
        <cfvo type="percent" val="0"/>
        <cfvo type="num" val="&quot;0+$Y$20&quot;"/>
        <cfvo type="num" val="1"/>
      </iconSet>
    </cfRule>
  </conditionalFormatting>
  <conditionalFormatting sqref="P76:BO76">
    <cfRule type="iconSet" priority="2133">
      <iconSet iconSet="3Symbols2" showValue="0">
        <cfvo type="percent" val="0"/>
        <cfvo type="num" val="0"/>
        <cfvo type="num" val="6"/>
      </iconSet>
    </cfRule>
    <cfRule type="iconSet" priority="2134">
      <iconSet iconSet="3Symbols2" showValue="0">
        <cfvo type="percent" val="0"/>
        <cfvo type="num" val="&quot;0+$Y$20&quot;"/>
        <cfvo type="num" val="1"/>
      </iconSet>
    </cfRule>
    <cfRule type="cellIs" dxfId="1322" priority="2135" operator="equal">
      <formula>6</formula>
    </cfRule>
  </conditionalFormatting>
  <conditionalFormatting sqref="P76:BO76">
    <cfRule type="cellIs" dxfId="1321" priority="2122" operator="equal">
      <formula>5</formula>
    </cfRule>
    <cfRule type="cellIs" dxfId="1320" priority="2123" operator="equal">
      <formula>4</formula>
    </cfRule>
    <cfRule type="cellIs" dxfId="1319" priority="2124" operator="equal">
      <formula>3</formula>
    </cfRule>
    <cfRule type="cellIs" dxfId="1318" priority="2125" operator="equal">
      <formula>5</formula>
    </cfRule>
    <cfRule type="cellIs" dxfId="1317" priority="2126" operator="equal">
      <formula>4</formula>
    </cfRule>
    <cfRule type="cellIs" dxfId="1316" priority="2127" operator="equal">
      <formula>3</formula>
    </cfRule>
    <cfRule type="cellIs" dxfId="1315" priority="2128" operator="equal">
      <formula>2</formula>
    </cfRule>
    <cfRule type="cellIs" dxfId="1314" priority="2129" operator="equal">
      <formula>1</formula>
    </cfRule>
    <cfRule type="iconSet" priority="2130">
      <iconSet iconSet="3Symbols2" showValue="0">
        <cfvo type="percent" val="0"/>
        <cfvo type="num" val="0"/>
        <cfvo type="num" val="6"/>
      </iconSet>
    </cfRule>
    <cfRule type="iconSet" priority="2131">
      <iconSet iconSet="3Symbols2" showValue="0">
        <cfvo type="percent" val="0"/>
        <cfvo type="num" val="&quot;0+$Y$20&quot;"/>
        <cfvo type="num" val="1"/>
      </iconSet>
    </cfRule>
    <cfRule type="cellIs" dxfId="1313" priority="2132" operator="equal">
      <formula>6</formula>
    </cfRule>
  </conditionalFormatting>
  <conditionalFormatting sqref="P78:BO78">
    <cfRule type="cellIs" dxfId="1312" priority="2119" operator="equal">
      <formula>"0-5"</formula>
    </cfRule>
    <cfRule type="iconSet" priority="2120">
      <iconSet iconSet="3Symbols" showValue="0">
        <cfvo type="percent" val="0"/>
        <cfvo type="percent" val="33"/>
        <cfvo type="percent" val="67"/>
      </iconSet>
    </cfRule>
    <cfRule type="iconSet" priority="2121">
      <iconSet iconSet="3Symbols">
        <cfvo type="percent" val="0"/>
        <cfvo type="percent" val="33"/>
        <cfvo type="percent" val="67"/>
      </iconSet>
    </cfRule>
  </conditionalFormatting>
  <conditionalFormatting sqref="P78:BO78">
    <cfRule type="iconSet" priority="2117">
      <iconSet iconSet="3Symbols2" showValue="0">
        <cfvo type="percent" val="0"/>
        <cfvo type="num" val="&quot;0+$Y$20&quot;"/>
        <cfvo type="num" val="1"/>
      </iconSet>
    </cfRule>
    <cfRule type="cellIs" dxfId="1311" priority="2118" operator="equal">
      <formula>6</formula>
    </cfRule>
  </conditionalFormatting>
  <conditionalFormatting sqref="P78:BO78">
    <cfRule type="cellIs" dxfId="1310" priority="2115" operator="equal">
      <formula>6</formula>
    </cfRule>
    <cfRule type="iconSet" priority="2116">
      <iconSet showValue="0">
        <cfvo type="percent" val="0"/>
        <cfvo type="num" val="&quot;0+$Y$20&quot;"/>
        <cfvo type="num" val="1"/>
      </iconSet>
    </cfRule>
  </conditionalFormatting>
  <conditionalFormatting sqref="P78:BO78">
    <cfRule type="iconSet" priority="2112">
      <iconSet iconSet="3Symbols2" showValue="0">
        <cfvo type="percent" val="0"/>
        <cfvo type="num" val="0"/>
        <cfvo type="num" val="6"/>
      </iconSet>
    </cfRule>
    <cfRule type="iconSet" priority="2113">
      <iconSet iconSet="3Symbols2" showValue="0">
        <cfvo type="percent" val="0"/>
        <cfvo type="num" val="&quot;0+$Y$20&quot;"/>
        <cfvo type="num" val="1"/>
      </iconSet>
    </cfRule>
    <cfRule type="cellIs" dxfId="1309" priority="2114" operator="equal">
      <formula>6</formula>
    </cfRule>
  </conditionalFormatting>
  <conditionalFormatting sqref="P78:BO78">
    <cfRule type="cellIs" dxfId="1308" priority="2101" operator="equal">
      <formula>5</formula>
    </cfRule>
    <cfRule type="cellIs" dxfId="1307" priority="2102" operator="equal">
      <formula>4</formula>
    </cfRule>
    <cfRule type="cellIs" dxfId="1306" priority="2103" operator="equal">
      <formula>3</formula>
    </cfRule>
    <cfRule type="cellIs" dxfId="1305" priority="2104" operator="equal">
      <formula>5</formula>
    </cfRule>
    <cfRule type="cellIs" dxfId="1304" priority="2105" operator="equal">
      <formula>4</formula>
    </cfRule>
    <cfRule type="cellIs" dxfId="1303" priority="2106" operator="equal">
      <formula>3</formula>
    </cfRule>
    <cfRule type="cellIs" dxfId="1302" priority="2107" operator="equal">
      <formula>2</formula>
    </cfRule>
    <cfRule type="cellIs" dxfId="1301" priority="2108" operator="equal">
      <formula>1</formula>
    </cfRule>
    <cfRule type="iconSet" priority="2109">
      <iconSet iconSet="3Symbols2" showValue="0">
        <cfvo type="percent" val="0"/>
        <cfvo type="num" val="0"/>
        <cfvo type="num" val="6"/>
      </iconSet>
    </cfRule>
    <cfRule type="iconSet" priority="2110">
      <iconSet iconSet="3Symbols2" showValue="0">
        <cfvo type="percent" val="0"/>
        <cfvo type="num" val="&quot;0+$Y$20&quot;"/>
        <cfvo type="num" val="1"/>
      </iconSet>
    </cfRule>
    <cfRule type="cellIs" dxfId="1300" priority="2111" operator="equal">
      <formula>6</formula>
    </cfRule>
  </conditionalFormatting>
  <conditionalFormatting sqref="P80:BO80">
    <cfRule type="cellIs" dxfId="1299" priority="2098" operator="equal">
      <formula>"0-5"</formula>
    </cfRule>
    <cfRule type="iconSet" priority="2099">
      <iconSet iconSet="3Symbols" showValue="0">
        <cfvo type="percent" val="0"/>
        <cfvo type="percent" val="33"/>
        <cfvo type="percent" val="67"/>
      </iconSet>
    </cfRule>
    <cfRule type="iconSet" priority="2100">
      <iconSet iconSet="3Symbols">
        <cfvo type="percent" val="0"/>
        <cfvo type="percent" val="33"/>
        <cfvo type="percent" val="67"/>
      </iconSet>
    </cfRule>
  </conditionalFormatting>
  <conditionalFormatting sqref="P80:BO80">
    <cfRule type="iconSet" priority="2096">
      <iconSet iconSet="3Symbols2" showValue="0">
        <cfvo type="percent" val="0"/>
        <cfvo type="num" val="&quot;0+$Y$20&quot;"/>
        <cfvo type="num" val="1"/>
      </iconSet>
    </cfRule>
    <cfRule type="cellIs" dxfId="1298" priority="2097" operator="equal">
      <formula>6</formula>
    </cfRule>
  </conditionalFormatting>
  <conditionalFormatting sqref="P80:BO80">
    <cfRule type="cellIs" dxfId="1297" priority="2094" operator="equal">
      <formula>6</formula>
    </cfRule>
    <cfRule type="iconSet" priority="2095">
      <iconSet showValue="0">
        <cfvo type="percent" val="0"/>
        <cfvo type="num" val="&quot;0+$Y$20&quot;"/>
        <cfvo type="num" val="1"/>
      </iconSet>
    </cfRule>
  </conditionalFormatting>
  <conditionalFormatting sqref="P80:BO80">
    <cfRule type="iconSet" priority="2091">
      <iconSet iconSet="3Symbols2" showValue="0">
        <cfvo type="percent" val="0"/>
        <cfvo type="num" val="0"/>
        <cfvo type="num" val="6"/>
      </iconSet>
    </cfRule>
    <cfRule type="iconSet" priority="2092">
      <iconSet iconSet="3Symbols2" showValue="0">
        <cfvo type="percent" val="0"/>
        <cfvo type="num" val="&quot;0+$Y$20&quot;"/>
        <cfvo type="num" val="1"/>
      </iconSet>
    </cfRule>
    <cfRule type="cellIs" dxfId="1296" priority="2093" operator="equal">
      <formula>6</formula>
    </cfRule>
  </conditionalFormatting>
  <conditionalFormatting sqref="P80:BO80">
    <cfRule type="cellIs" dxfId="1295" priority="2080" operator="equal">
      <formula>5</formula>
    </cfRule>
    <cfRule type="cellIs" dxfId="1294" priority="2081" operator="equal">
      <formula>4</formula>
    </cfRule>
    <cfRule type="cellIs" dxfId="1293" priority="2082" operator="equal">
      <formula>3</formula>
    </cfRule>
    <cfRule type="cellIs" dxfId="1292" priority="2083" operator="equal">
      <formula>5</formula>
    </cfRule>
    <cfRule type="cellIs" dxfId="1291" priority="2084" operator="equal">
      <formula>4</formula>
    </cfRule>
    <cfRule type="cellIs" dxfId="1290" priority="2085" operator="equal">
      <formula>3</formula>
    </cfRule>
    <cfRule type="cellIs" dxfId="1289" priority="2086" operator="equal">
      <formula>2</formula>
    </cfRule>
    <cfRule type="cellIs" dxfId="1288" priority="2087" operator="equal">
      <formula>1</formula>
    </cfRule>
    <cfRule type="iconSet" priority="2088">
      <iconSet iconSet="3Symbols2" showValue="0">
        <cfvo type="percent" val="0"/>
        <cfvo type="num" val="0"/>
        <cfvo type="num" val="6"/>
      </iconSet>
    </cfRule>
    <cfRule type="iconSet" priority="2089">
      <iconSet iconSet="3Symbols2" showValue="0">
        <cfvo type="percent" val="0"/>
        <cfvo type="num" val="&quot;0+$Y$20&quot;"/>
        <cfvo type="num" val="1"/>
      </iconSet>
    </cfRule>
    <cfRule type="cellIs" dxfId="1287" priority="2090" operator="equal">
      <formula>6</formula>
    </cfRule>
  </conditionalFormatting>
  <conditionalFormatting sqref="P82:BO82">
    <cfRule type="cellIs" dxfId="1286" priority="2077" operator="equal">
      <formula>"0-5"</formula>
    </cfRule>
    <cfRule type="iconSet" priority="2078">
      <iconSet iconSet="3Symbols" showValue="0">
        <cfvo type="percent" val="0"/>
        <cfvo type="percent" val="33"/>
        <cfvo type="percent" val="67"/>
      </iconSet>
    </cfRule>
    <cfRule type="iconSet" priority="2079">
      <iconSet iconSet="3Symbols">
        <cfvo type="percent" val="0"/>
        <cfvo type="percent" val="33"/>
        <cfvo type="percent" val="67"/>
      </iconSet>
    </cfRule>
  </conditionalFormatting>
  <conditionalFormatting sqref="P82:BO82">
    <cfRule type="iconSet" priority="2075">
      <iconSet iconSet="3Symbols2" showValue="0">
        <cfvo type="percent" val="0"/>
        <cfvo type="num" val="&quot;0+$Y$20&quot;"/>
        <cfvo type="num" val="1"/>
      </iconSet>
    </cfRule>
    <cfRule type="cellIs" dxfId="1285" priority="2076" operator="equal">
      <formula>6</formula>
    </cfRule>
  </conditionalFormatting>
  <conditionalFormatting sqref="P82:BO82">
    <cfRule type="cellIs" dxfId="1284" priority="2073" operator="equal">
      <formula>6</formula>
    </cfRule>
    <cfRule type="iconSet" priority="2074">
      <iconSet showValue="0">
        <cfvo type="percent" val="0"/>
        <cfvo type="num" val="&quot;0+$Y$20&quot;"/>
        <cfvo type="num" val="1"/>
      </iconSet>
    </cfRule>
  </conditionalFormatting>
  <conditionalFormatting sqref="P82:BO82">
    <cfRule type="iconSet" priority="2070">
      <iconSet iconSet="3Symbols2" showValue="0">
        <cfvo type="percent" val="0"/>
        <cfvo type="num" val="0"/>
        <cfvo type="num" val="6"/>
      </iconSet>
    </cfRule>
    <cfRule type="iconSet" priority="2071">
      <iconSet iconSet="3Symbols2" showValue="0">
        <cfvo type="percent" val="0"/>
        <cfvo type="num" val="&quot;0+$Y$20&quot;"/>
        <cfvo type="num" val="1"/>
      </iconSet>
    </cfRule>
    <cfRule type="cellIs" dxfId="1283" priority="2072" operator="equal">
      <formula>6</formula>
    </cfRule>
  </conditionalFormatting>
  <conditionalFormatting sqref="P82:BO82">
    <cfRule type="cellIs" dxfId="1282" priority="2059" operator="equal">
      <formula>5</formula>
    </cfRule>
    <cfRule type="cellIs" dxfId="1281" priority="2060" operator="equal">
      <formula>4</formula>
    </cfRule>
    <cfRule type="cellIs" dxfId="1280" priority="2061" operator="equal">
      <formula>3</formula>
    </cfRule>
    <cfRule type="cellIs" dxfId="1279" priority="2062" operator="equal">
      <formula>5</formula>
    </cfRule>
    <cfRule type="cellIs" dxfId="1278" priority="2063" operator="equal">
      <formula>4</formula>
    </cfRule>
    <cfRule type="cellIs" dxfId="1277" priority="2064" operator="equal">
      <formula>3</formula>
    </cfRule>
    <cfRule type="cellIs" dxfId="1276" priority="2065" operator="equal">
      <formula>2</formula>
    </cfRule>
    <cfRule type="cellIs" dxfId="1275" priority="2066" operator="equal">
      <formula>1</formula>
    </cfRule>
    <cfRule type="iconSet" priority="2067">
      <iconSet iconSet="3Symbols2" showValue="0">
        <cfvo type="percent" val="0"/>
        <cfvo type="num" val="0"/>
        <cfvo type="num" val="6"/>
      </iconSet>
    </cfRule>
    <cfRule type="iconSet" priority="2068">
      <iconSet iconSet="3Symbols2" showValue="0">
        <cfvo type="percent" val="0"/>
        <cfvo type="num" val="&quot;0+$Y$20&quot;"/>
        <cfvo type="num" val="1"/>
      </iconSet>
    </cfRule>
    <cfRule type="cellIs" dxfId="1274" priority="2069" operator="equal">
      <formula>6</formula>
    </cfRule>
  </conditionalFormatting>
  <conditionalFormatting sqref="P84:BO84">
    <cfRule type="cellIs" dxfId="1273" priority="2056" operator="equal">
      <formula>"0-5"</formula>
    </cfRule>
    <cfRule type="iconSet" priority="2057">
      <iconSet iconSet="3Symbols" showValue="0">
        <cfvo type="percent" val="0"/>
        <cfvo type="percent" val="33"/>
        <cfvo type="percent" val="67"/>
      </iconSet>
    </cfRule>
    <cfRule type="iconSet" priority="2058">
      <iconSet iconSet="3Symbols">
        <cfvo type="percent" val="0"/>
        <cfvo type="percent" val="33"/>
        <cfvo type="percent" val="67"/>
      </iconSet>
    </cfRule>
  </conditionalFormatting>
  <conditionalFormatting sqref="P84:BO84">
    <cfRule type="iconSet" priority="2054">
      <iconSet iconSet="3Symbols2" showValue="0">
        <cfvo type="percent" val="0"/>
        <cfvo type="num" val="&quot;0+$Y$20&quot;"/>
        <cfvo type="num" val="1"/>
      </iconSet>
    </cfRule>
    <cfRule type="cellIs" dxfId="1272" priority="2055" operator="equal">
      <formula>6</formula>
    </cfRule>
  </conditionalFormatting>
  <conditionalFormatting sqref="P84:BO84">
    <cfRule type="cellIs" dxfId="1271" priority="2052" operator="equal">
      <formula>6</formula>
    </cfRule>
    <cfRule type="iconSet" priority="2053">
      <iconSet showValue="0">
        <cfvo type="percent" val="0"/>
        <cfvo type="num" val="&quot;0+$Y$20&quot;"/>
        <cfvo type="num" val="1"/>
      </iconSet>
    </cfRule>
  </conditionalFormatting>
  <conditionalFormatting sqref="P84:BO84">
    <cfRule type="iconSet" priority="2049">
      <iconSet iconSet="3Symbols2" showValue="0">
        <cfvo type="percent" val="0"/>
        <cfvo type="num" val="0"/>
        <cfvo type="num" val="6"/>
      </iconSet>
    </cfRule>
    <cfRule type="iconSet" priority="2050">
      <iconSet iconSet="3Symbols2" showValue="0">
        <cfvo type="percent" val="0"/>
        <cfvo type="num" val="&quot;0+$Y$20&quot;"/>
        <cfvo type="num" val="1"/>
      </iconSet>
    </cfRule>
    <cfRule type="cellIs" dxfId="1270" priority="2051" operator="equal">
      <formula>6</formula>
    </cfRule>
  </conditionalFormatting>
  <conditionalFormatting sqref="P84:BO84">
    <cfRule type="cellIs" dxfId="1269" priority="2038" operator="equal">
      <formula>5</formula>
    </cfRule>
    <cfRule type="cellIs" dxfId="1268" priority="2039" operator="equal">
      <formula>4</formula>
    </cfRule>
    <cfRule type="cellIs" dxfId="1267" priority="2040" operator="equal">
      <formula>3</formula>
    </cfRule>
    <cfRule type="cellIs" dxfId="1266" priority="2041" operator="equal">
      <formula>5</formula>
    </cfRule>
    <cfRule type="cellIs" dxfId="1265" priority="2042" operator="equal">
      <formula>4</formula>
    </cfRule>
    <cfRule type="cellIs" dxfId="1264" priority="2043" operator="equal">
      <formula>3</formula>
    </cfRule>
    <cfRule type="cellIs" dxfId="1263" priority="2044" operator="equal">
      <formula>2</formula>
    </cfRule>
    <cfRule type="cellIs" dxfId="1262" priority="2045" operator="equal">
      <formula>1</formula>
    </cfRule>
    <cfRule type="iconSet" priority="2046">
      <iconSet iconSet="3Symbols2" showValue="0">
        <cfvo type="percent" val="0"/>
        <cfvo type="num" val="0"/>
        <cfvo type="num" val="6"/>
      </iconSet>
    </cfRule>
    <cfRule type="iconSet" priority="2047">
      <iconSet iconSet="3Symbols2" showValue="0">
        <cfvo type="percent" val="0"/>
        <cfvo type="num" val="&quot;0+$Y$20&quot;"/>
        <cfvo type="num" val="1"/>
      </iconSet>
    </cfRule>
    <cfRule type="cellIs" dxfId="1261" priority="2048" operator="equal">
      <formula>6</formula>
    </cfRule>
  </conditionalFormatting>
  <conditionalFormatting sqref="P86:BO86">
    <cfRule type="cellIs" dxfId="1260" priority="2035" operator="equal">
      <formula>"0-5"</formula>
    </cfRule>
    <cfRule type="iconSet" priority="2036">
      <iconSet iconSet="3Symbols" showValue="0">
        <cfvo type="percent" val="0"/>
        <cfvo type="percent" val="33"/>
        <cfvo type="percent" val="67"/>
      </iconSet>
    </cfRule>
    <cfRule type="iconSet" priority="2037">
      <iconSet iconSet="3Symbols">
        <cfvo type="percent" val="0"/>
        <cfvo type="percent" val="33"/>
        <cfvo type="percent" val="67"/>
      </iconSet>
    </cfRule>
  </conditionalFormatting>
  <conditionalFormatting sqref="P86:BO86">
    <cfRule type="iconSet" priority="2033">
      <iconSet iconSet="3Symbols2" showValue="0">
        <cfvo type="percent" val="0"/>
        <cfvo type="num" val="&quot;0+$Y$20&quot;"/>
        <cfvo type="num" val="1"/>
      </iconSet>
    </cfRule>
    <cfRule type="cellIs" dxfId="1259" priority="2034" operator="equal">
      <formula>6</formula>
    </cfRule>
  </conditionalFormatting>
  <conditionalFormatting sqref="P86:BO86">
    <cfRule type="cellIs" dxfId="1258" priority="2031" operator="equal">
      <formula>6</formula>
    </cfRule>
    <cfRule type="iconSet" priority="2032">
      <iconSet showValue="0">
        <cfvo type="percent" val="0"/>
        <cfvo type="num" val="&quot;0+$Y$20&quot;"/>
        <cfvo type="num" val="1"/>
      </iconSet>
    </cfRule>
  </conditionalFormatting>
  <conditionalFormatting sqref="P86:BO86">
    <cfRule type="iconSet" priority="2028">
      <iconSet iconSet="3Symbols2" showValue="0">
        <cfvo type="percent" val="0"/>
        <cfvo type="num" val="0"/>
        <cfvo type="num" val="6"/>
      </iconSet>
    </cfRule>
    <cfRule type="iconSet" priority="2029">
      <iconSet iconSet="3Symbols2" showValue="0">
        <cfvo type="percent" val="0"/>
        <cfvo type="num" val="&quot;0+$Y$20&quot;"/>
        <cfvo type="num" val="1"/>
      </iconSet>
    </cfRule>
    <cfRule type="cellIs" dxfId="1257" priority="2030" operator="equal">
      <formula>6</formula>
    </cfRule>
  </conditionalFormatting>
  <conditionalFormatting sqref="P86:BO86">
    <cfRule type="cellIs" dxfId="1256" priority="2017" operator="equal">
      <formula>5</formula>
    </cfRule>
    <cfRule type="cellIs" dxfId="1255" priority="2018" operator="equal">
      <formula>4</formula>
    </cfRule>
    <cfRule type="cellIs" dxfId="1254" priority="2019" operator="equal">
      <formula>3</formula>
    </cfRule>
    <cfRule type="cellIs" dxfId="1253" priority="2020" operator="equal">
      <formula>5</formula>
    </cfRule>
    <cfRule type="cellIs" dxfId="1252" priority="2021" operator="equal">
      <formula>4</formula>
    </cfRule>
    <cfRule type="cellIs" dxfId="1251" priority="2022" operator="equal">
      <formula>3</formula>
    </cfRule>
    <cfRule type="cellIs" dxfId="1250" priority="2023" operator="equal">
      <formula>2</formula>
    </cfRule>
    <cfRule type="cellIs" dxfId="1249" priority="2024" operator="equal">
      <formula>1</formula>
    </cfRule>
    <cfRule type="iconSet" priority="2025">
      <iconSet iconSet="3Symbols2" showValue="0">
        <cfvo type="percent" val="0"/>
        <cfvo type="num" val="0"/>
        <cfvo type="num" val="6"/>
      </iconSet>
    </cfRule>
    <cfRule type="iconSet" priority="2026">
      <iconSet iconSet="3Symbols2" showValue="0">
        <cfvo type="percent" val="0"/>
        <cfvo type="num" val="&quot;0+$Y$20&quot;"/>
        <cfvo type="num" val="1"/>
      </iconSet>
    </cfRule>
    <cfRule type="cellIs" dxfId="1248" priority="2027" operator="equal">
      <formula>6</formula>
    </cfRule>
  </conditionalFormatting>
  <conditionalFormatting sqref="P88:BO88">
    <cfRule type="cellIs" dxfId="1247" priority="2014" operator="equal">
      <formula>"0-5"</formula>
    </cfRule>
    <cfRule type="iconSet" priority="2015">
      <iconSet iconSet="3Symbols" showValue="0">
        <cfvo type="percent" val="0"/>
        <cfvo type="percent" val="33"/>
        <cfvo type="percent" val="67"/>
      </iconSet>
    </cfRule>
    <cfRule type="iconSet" priority="2016">
      <iconSet iconSet="3Symbols">
        <cfvo type="percent" val="0"/>
        <cfvo type="percent" val="33"/>
        <cfvo type="percent" val="67"/>
      </iconSet>
    </cfRule>
  </conditionalFormatting>
  <conditionalFormatting sqref="P88:BO88">
    <cfRule type="iconSet" priority="2012">
      <iconSet iconSet="3Symbols2" showValue="0">
        <cfvo type="percent" val="0"/>
        <cfvo type="num" val="&quot;0+$Y$20&quot;"/>
        <cfvo type="num" val="1"/>
      </iconSet>
    </cfRule>
    <cfRule type="cellIs" dxfId="1246" priority="2013" operator="equal">
      <formula>6</formula>
    </cfRule>
  </conditionalFormatting>
  <conditionalFormatting sqref="P88:BO88">
    <cfRule type="cellIs" dxfId="1245" priority="2010" operator="equal">
      <formula>6</formula>
    </cfRule>
    <cfRule type="iconSet" priority="2011">
      <iconSet showValue="0">
        <cfvo type="percent" val="0"/>
        <cfvo type="num" val="&quot;0+$Y$20&quot;"/>
        <cfvo type="num" val="1"/>
      </iconSet>
    </cfRule>
  </conditionalFormatting>
  <conditionalFormatting sqref="P88:BO88">
    <cfRule type="iconSet" priority="2007">
      <iconSet iconSet="3Symbols2" showValue="0">
        <cfvo type="percent" val="0"/>
        <cfvo type="num" val="0"/>
        <cfvo type="num" val="6"/>
      </iconSet>
    </cfRule>
    <cfRule type="iconSet" priority="2008">
      <iconSet iconSet="3Symbols2" showValue="0">
        <cfvo type="percent" val="0"/>
        <cfvo type="num" val="&quot;0+$Y$20&quot;"/>
        <cfvo type="num" val="1"/>
      </iconSet>
    </cfRule>
    <cfRule type="cellIs" dxfId="1244" priority="2009" operator="equal">
      <formula>6</formula>
    </cfRule>
  </conditionalFormatting>
  <conditionalFormatting sqref="P88:BO88">
    <cfRule type="cellIs" dxfId="1243" priority="1996" operator="equal">
      <formula>5</formula>
    </cfRule>
    <cfRule type="cellIs" dxfId="1242" priority="1997" operator="equal">
      <formula>4</formula>
    </cfRule>
    <cfRule type="cellIs" dxfId="1241" priority="1998" operator="equal">
      <formula>3</formula>
    </cfRule>
    <cfRule type="cellIs" dxfId="1240" priority="1999" operator="equal">
      <formula>5</formula>
    </cfRule>
    <cfRule type="cellIs" dxfId="1239" priority="2000" operator="equal">
      <formula>4</formula>
    </cfRule>
    <cfRule type="cellIs" dxfId="1238" priority="2001" operator="equal">
      <formula>3</formula>
    </cfRule>
    <cfRule type="cellIs" dxfId="1237" priority="2002" operator="equal">
      <formula>2</formula>
    </cfRule>
    <cfRule type="cellIs" dxfId="1236" priority="2003" operator="equal">
      <formula>1</formula>
    </cfRule>
    <cfRule type="iconSet" priority="2004">
      <iconSet iconSet="3Symbols2" showValue="0">
        <cfvo type="percent" val="0"/>
        <cfvo type="num" val="0"/>
        <cfvo type="num" val="6"/>
      </iconSet>
    </cfRule>
    <cfRule type="iconSet" priority="2005">
      <iconSet iconSet="3Symbols2" showValue="0">
        <cfvo type="percent" val="0"/>
        <cfvo type="num" val="&quot;0+$Y$20&quot;"/>
        <cfvo type="num" val="1"/>
      </iconSet>
    </cfRule>
    <cfRule type="cellIs" dxfId="1235" priority="2006" operator="equal">
      <formula>6</formula>
    </cfRule>
  </conditionalFormatting>
  <conditionalFormatting sqref="P90:BO90">
    <cfRule type="cellIs" dxfId="1234" priority="1993" operator="equal">
      <formula>"0-5"</formula>
    </cfRule>
    <cfRule type="iconSet" priority="1994">
      <iconSet iconSet="3Symbols" showValue="0">
        <cfvo type="percent" val="0"/>
        <cfvo type="percent" val="33"/>
        <cfvo type="percent" val="67"/>
      </iconSet>
    </cfRule>
    <cfRule type="iconSet" priority="1995">
      <iconSet iconSet="3Symbols">
        <cfvo type="percent" val="0"/>
        <cfvo type="percent" val="33"/>
        <cfvo type="percent" val="67"/>
      </iconSet>
    </cfRule>
  </conditionalFormatting>
  <conditionalFormatting sqref="P90:BO90">
    <cfRule type="iconSet" priority="1991">
      <iconSet iconSet="3Symbols2" showValue="0">
        <cfvo type="percent" val="0"/>
        <cfvo type="num" val="&quot;0+$Y$20&quot;"/>
        <cfvo type="num" val="1"/>
      </iconSet>
    </cfRule>
    <cfRule type="cellIs" dxfId="1233" priority="1992" operator="equal">
      <formula>6</formula>
    </cfRule>
  </conditionalFormatting>
  <conditionalFormatting sqref="P90:BO90">
    <cfRule type="cellIs" dxfId="1232" priority="1989" operator="equal">
      <formula>6</formula>
    </cfRule>
    <cfRule type="iconSet" priority="1990">
      <iconSet showValue="0">
        <cfvo type="percent" val="0"/>
        <cfvo type="num" val="&quot;0+$Y$20&quot;"/>
        <cfvo type="num" val="1"/>
      </iconSet>
    </cfRule>
  </conditionalFormatting>
  <conditionalFormatting sqref="P90:BO90">
    <cfRule type="iconSet" priority="1986">
      <iconSet iconSet="3Symbols2" showValue="0">
        <cfvo type="percent" val="0"/>
        <cfvo type="num" val="0"/>
        <cfvo type="num" val="6"/>
      </iconSet>
    </cfRule>
    <cfRule type="iconSet" priority="1987">
      <iconSet iconSet="3Symbols2" showValue="0">
        <cfvo type="percent" val="0"/>
        <cfvo type="num" val="&quot;0+$Y$20&quot;"/>
        <cfvo type="num" val="1"/>
      </iconSet>
    </cfRule>
    <cfRule type="cellIs" dxfId="1231" priority="1988" operator="equal">
      <formula>6</formula>
    </cfRule>
  </conditionalFormatting>
  <conditionalFormatting sqref="P90:BO90">
    <cfRule type="cellIs" dxfId="1230" priority="1975" operator="equal">
      <formula>5</formula>
    </cfRule>
    <cfRule type="cellIs" dxfId="1229" priority="1976" operator="equal">
      <formula>4</formula>
    </cfRule>
    <cfRule type="cellIs" dxfId="1228" priority="1977" operator="equal">
      <formula>3</formula>
    </cfRule>
    <cfRule type="cellIs" dxfId="1227" priority="1978" operator="equal">
      <formula>5</formula>
    </cfRule>
    <cfRule type="cellIs" dxfId="1226" priority="1979" operator="equal">
      <formula>4</formula>
    </cfRule>
    <cfRule type="cellIs" dxfId="1225" priority="1980" operator="equal">
      <formula>3</formula>
    </cfRule>
    <cfRule type="cellIs" dxfId="1224" priority="1981" operator="equal">
      <formula>2</formula>
    </cfRule>
    <cfRule type="cellIs" dxfId="1223" priority="1982" operator="equal">
      <formula>1</formula>
    </cfRule>
    <cfRule type="iconSet" priority="1983">
      <iconSet iconSet="3Symbols2" showValue="0">
        <cfvo type="percent" val="0"/>
        <cfvo type="num" val="0"/>
        <cfvo type="num" val="6"/>
      </iconSet>
    </cfRule>
    <cfRule type="iconSet" priority="1984">
      <iconSet iconSet="3Symbols2" showValue="0">
        <cfvo type="percent" val="0"/>
        <cfvo type="num" val="&quot;0+$Y$20&quot;"/>
        <cfvo type="num" val="1"/>
      </iconSet>
    </cfRule>
    <cfRule type="cellIs" dxfId="1222" priority="1985" operator="equal">
      <formula>6</formula>
    </cfRule>
  </conditionalFormatting>
  <conditionalFormatting sqref="P92:BO92">
    <cfRule type="cellIs" dxfId="1221" priority="1972" operator="equal">
      <formula>"0-5"</formula>
    </cfRule>
    <cfRule type="iconSet" priority="1973">
      <iconSet iconSet="3Symbols" showValue="0">
        <cfvo type="percent" val="0"/>
        <cfvo type="percent" val="33"/>
        <cfvo type="percent" val="67"/>
      </iconSet>
    </cfRule>
    <cfRule type="iconSet" priority="1974">
      <iconSet iconSet="3Symbols">
        <cfvo type="percent" val="0"/>
        <cfvo type="percent" val="33"/>
        <cfvo type="percent" val="67"/>
      </iconSet>
    </cfRule>
  </conditionalFormatting>
  <conditionalFormatting sqref="P92:BO92">
    <cfRule type="iconSet" priority="1970">
      <iconSet iconSet="3Symbols2" showValue="0">
        <cfvo type="percent" val="0"/>
        <cfvo type="num" val="&quot;0+$Y$20&quot;"/>
        <cfvo type="num" val="1"/>
      </iconSet>
    </cfRule>
    <cfRule type="cellIs" dxfId="1220" priority="1971" operator="equal">
      <formula>6</formula>
    </cfRule>
  </conditionalFormatting>
  <conditionalFormatting sqref="P92:BO92">
    <cfRule type="cellIs" dxfId="1219" priority="1968" operator="equal">
      <formula>6</formula>
    </cfRule>
    <cfRule type="iconSet" priority="1969">
      <iconSet showValue="0">
        <cfvo type="percent" val="0"/>
        <cfvo type="num" val="&quot;0+$Y$20&quot;"/>
        <cfvo type="num" val="1"/>
      </iconSet>
    </cfRule>
  </conditionalFormatting>
  <conditionalFormatting sqref="P92:BO92">
    <cfRule type="iconSet" priority="1965">
      <iconSet iconSet="3Symbols2" showValue="0">
        <cfvo type="percent" val="0"/>
        <cfvo type="num" val="0"/>
        <cfvo type="num" val="6"/>
      </iconSet>
    </cfRule>
    <cfRule type="iconSet" priority="1966">
      <iconSet iconSet="3Symbols2" showValue="0">
        <cfvo type="percent" val="0"/>
        <cfvo type="num" val="&quot;0+$Y$20&quot;"/>
        <cfvo type="num" val="1"/>
      </iconSet>
    </cfRule>
    <cfRule type="cellIs" dxfId="1218" priority="1967" operator="equal">
      <formula>6</formula>
    </cfRule>
  </conditionalFormatting>
  <conditionalFormatting sqref="P92:BO92">
    <cfRule type="cellIs" dxfId="1217" priority="1954" operator="equal">
      <formula>5</formula>
    </cfRule>
    <cfRule type="cellIs" dxfId="1216" priority="1955" operator="equal">
      <formula>4</formula>
    </cfRule>
    <cfRule type="cellIs" dxfId="1215" priority="1956" operator="equal">
      <formula>3</formula>
    </cfRule>
    <cfRule type="cellIs" dxfId="1214" priority="1957" operator="equal">
      <formula>5</formula>
    </cfRule>
    <cfRule type="cellIs" dxfId="1213" priority="1958" operator="equal">
      <formula>4</formula>
    </cfRule>
    <cfRule type="cellIs" dxfId="1212" priority="1959" operator="equal">
      <formula>3</formula>
    </cfRule>
    <cfRule type="cellIs" dxfId="1211" priority="1960" operator="equal">
      <formula>2</formula>
    </cfRule>
    <cfRule type="cellIs" dxfId="1210" priority="1961" operator="equal">
      <formula>1</formula>
    </cfRule>
    <cfRule type="iconSet" priority="1962">
      <iconSet iconSet="3Symbols2" showValue="0">
        <cfvo type="percent" val="0"/>
        <cfvo type="num" val="0"/>
        <cfvo type="num" val="6"/>
      </iconSet>
    </cfRule>
    <cfRule type="iconSet" priority="1963">
      <iconSet iconSet="3Symbols2" showValue="0">
        <cfvo type="percent" val="0"/>
        <cfvo type="num" val="&quot;0+$Y$20&quot;"/>
        <cfvo type="num" val="1"/>
      </iconSet>
    </cfRule>
    <cfRule type="cellIs" dxfId="1209" priority="1964" operator="equal">
      <formula>6</formula>
    </cfRule>
  </conditionalFormatting>
  <conditionalFormatting sqref="P94:BO94">
    <cfRule type="cellIs" dxfId="1208" priority="1951" operator="equal">
      <formula>"0-5"</formula>
    </cfRule>
    <cfRule type="iconSet" priority="1952">
      <iconSet iconSet="3Symbols" showValue="0">
        <cfvo type="percent" val="0"/>
        <cfvo type="percent" val="33"/>
        <cfvo type="percent" val="67"/>
      </iconSet>
    </cfRule>
    <cfRule type="iconSet" priority="1953">
      <iconSet iconSet="3Symbols">
        <cfvo type="percent" val="0"/>
        <cfvo type="percent" val="33"/>
        <cfvo type="percent" val="67"/>
      </iconSet>
    </cfRule>
  </conditionalFormatting>
  <conditionalFormatting sqref="P94:BO94">
    <cfRule type="iconSet" priority="1949">
      <iconSet iconSet="3Symbols2" showValue="0">
        <cfvo type="percent" val="0"/>
        <cfvo type="num" val="&quot;0+$Y$20&quot;"/>
        <cfvo type="num" val="1"/>
      </iconSet>
    </cfRule>
    <cfRule type="cellIs" dxfId="1207" priority="1950" operator="equal">
      <formula>6</formula>
    </cfRule>
  </conditionalFormatting>
  <conditionalFormatting sqref="P94:BO94">
    <cfRule type="cellIs" dxfId="1206" priority="1947" operator="equal">
      <formula>6</formula>
    </cfRule>
    <cfRule type="iconSet" priority="1948">
      <iconSet showValue="0">
        <cfvo type="percent" val="0"/>
        <cfvo type="num" val="&quot;0+$Y$20&quot;"/>
        <cfvo type="num" val="1"/>
      </iconSet>
    </cfRule>
  </conditionalFormatting>
  <conditionalFormatting sqref="P94:BO94">
    <cfRule type="iconSet" priority="1944">
      <iconSet iconSet="3Symbols2" showValue="0">
        <cfvo type="percent" val="0"/>
        <cfvo type="num" val="0"/>
        <cfvo type="num" val="6"/>
      </iconSet>
    </cfRule>
    <cfRule type="iconSet" priority="1945">
      <iconSet iconSet="3Symbols2" showValue="0">
        <cfvo type="percent" val="0"/>
        <cfvo type="num" val="&quot;0+$Y$20&quot;"/>
        <cfvo type="num" val="1"/>
      </iconSet>
    </cfRule>
    <cfRule type="cellIs" dxfId="1205" priority="1946" operator="equal">
      <formula>6</formula>
    </cfRule>
  </conditionalFormatting>
  <conditionalFormatting sqref="P94:BO94">
    <cfRule type="cellIs" dxfId="1204" priority="1933" operator="equal">
      <formula>5</formula>
    </cfRule>
    <cfRule type="cellIs" dxfId="1203" priority="1934" operator="equal">
      <formula>4</formula>
    </cfRule>
    <cfRule type="cellIs" dxfId="1202" priority="1935" operator="equal">
      <formula>3</formula>
    </cfRule>
    <cfRule type="cellIs" dxfId="1201" priority="1936" operator="equal">
      <formula>5</formula>
    </cfRule>
    <cfRule type="cellIs" dxfId="1200" priority="1937" operator="equal">
      <formula>4</formula>
    </cfRule>
    <cfRule type="cellIs" dxfId="1199" priority="1938" operator="equal">
      <formula>3</formula>
    </cfRule>
    <cfRule type="cellIs" dxfId="1198" priority="1939" operator="equal">
      <formula>2</formula>
    </cfRule>
    <cfRule type="cellIs" dxfId="1197" priority="1940" operator="equal">
      <formula>1</formula>
    </cfRule>
    <cfRule type="iconSet" priority="1941">
      <iconSet iconSet="3Symbols2" showValue="0">
        <cfvo type="percent" val="0"/>
        <cfvo type="num" val="0"/>
        <cfvo type="num" val="6"/>
      </iconSet>
    </cfRule>
    <cfRule type="iconSet" priority="1942">
      <iconSet iconSet="3Symbols2" showValue="0">
        <cfvo type="percent" val="0"/>
        <cfvo type="num" val="&quot;0+$Y$20&quot;"/>
        <cfvo type="num" val="1"/>
      </iconSet>
    </cfRule>
    <cfRule type="cellIs" dxfId="1196" priority="1943" operator="equal">
      <formula>6</formula>
    </cfRule>
  </conditionalFormatting>
  <conditionalFormatting sqref="P96:BO96">
    <cfRule type="cellIs" dxfId="1195" priority="1930" operator="equal">
      <formula>"0-5"</formula>
    </cfRule>
    <cfRule type="iconSet" priority="1931">
      <iconSet iconSet="3Symbols" showValue="0">
        <cfvo type="percent" val="0"/>
        <cfvo type="percent" val="33"/>
        <cfvo type="percent" val="67"/>
      </iconSet>
    </cfRule>
    <cfRule type="iconSet" priority="1932">
      <iconSet iconSet="3Symbols">
        <cfvo type="percent" val="0"/>
        <cfvo type="percent" val="33"/>
        <cfvo type="percent" val="67"/>
      </iconSet>
    </cfRule>
  </conditionalFormatting>
  <conditionalFormatting sqref="P96:BO96">
    <cfRule type="iconSet" priority="1928">
      <iconSet iconSet="3Symbols2" showValue="0">
        <cfvo type="percent" val="0"/>
        <cfvo type="num" val="&quot;0+$Y$20&quot;"/>
        <cfvo type="num" val="1"/>
      </iconSet>
    </cfRule>
    <cfRule type="cellIs" dxfId="1194" priority="1929" operator="equal">
      <formula>6</formula>
    </cfRule>
  </conditionalFormatting>
  <conditionalFormatting sqref="P96:BO96">
    <cfRule type="cellIs" dxfId="1193" priority="1926" operator="equal">
      <formula>6</formula>
    </cfRule>
    <cfRule type="iconSet" priority="1927">
      <iconSet showValue="0">
        <cfvo type="percent" val="0"/>
        <cfvo type="num" val="&quot;0+$Y$20&quot;"/>
        <cfvo type="num" val="1"/>
      </iconSet>
    </cfRule>
  </conditionalFormatting>
  <conditionalFormatting sqref="P96:BO96">
    <cfRule type="iconSet" priority="1923">
      <iconSet iconSet="3Symbols2" showValue="0">
        <cfvo type="percent" val="0"/>
        <cfvo type="num" val="0"/>
        <cfvo type="num" val="6"/>
      </iconSet>
    </cfRule>
    <cfRule type="iconSet" priority="1924">
      <iconSet iconSet="3Symbols2" showValue="0">
        <cfvo type="percent" val="0"/>
        <cfvo type="num" val="&quot;0+$Y$20&quot;"/>
        <cfvo type="num" val="1"/>
      </iconSet>
    </cfRule>
    <cfRule type="cellIs" dxfId="1192" priority="1925" operator="equal">
      <formula>6</formula>
    </cfRule>
  </conditionalFormatting>
  <conditionalFormatting sqref="P96:BO96">
    <cfRule type="cellIs" dxfId="1191" priority="1912" operator="equal">
      <formula>5</formula>
    </cfRule>
    <cfRule type="cellIs" dxfId="1190" priority="1913" operator="equal">
      <formula>4</formula>
    </cfRule>
    <cfRule type="cellIs" dxfId="1189" priority="1914" operator="equal">
      <formula>3</formula>
    </cfRule>
    <cfRule type="cellIs" dxfId="1188" priority="1915" operator="equal">
      <formula>5</formula>
    </cfRule>
    <cfRule type="cellIs" dxfId="1187" priority="1916" operator="equal">
      <formula>4</formula>
    </cfRule>
    <cfRule type="cellIs" dxfId="1186" priority="1917" operator="equal">
      <formula>3</formula>
    </cfRule>
    <cfRule type="cellIs" dxfId="1185" priority="1918" operator="equal">
      <formula>2</formula>
    </cfRule>
    <cfRule type="cellIs" dxfId="1184" priority="1919" operator="equal">
      <formula>1</formula>
    </cfRule>
    <cfRule type="iconSet" priority="1920">
      <iconSet iconSet="3Symbols2" showValue="0">
        <cfvo type="percent" val="0"/>
        <cfvo type="num" val="0"/>
        <cfvo type="num" val="6"/>
      </iconSet>
    </cfRule>
    <cfRule type="iconSet" priority="1921">
      <iconSet iconSet="3Symbols2" showValue="0">
        <cfvo type="percent" val="0"/>
        <cfvo type="num" val="&quot;0+$Y$20&quot;"/>
        <cfvo type="num" val="1"/>
      </iconSet>
    </cfRule>
    <cfRule type="cellIs" dxfId="1183" priority="1922" operator="equal">
      <formula>6</formula>
    </cfRule>
  </conditionalFormatting>
  <conditionalFormatting sqref="P98:BO98">
    <cfRule type="cellIs" dxfId="1182" priority="1909" operator="equal">
      <formula>"0-5"</formula>
    </cfRule>
    <cfRule type="iconSet" priority="1910">
      <iconSet iconSet="3Symbols" showValue="0">
        <cfvo type="percent" val="0"/>
        <cfvo type="percent" val="33"/>
        <cfvo type="percent" val="67"/>
      </iconSet>
    </cfRule>
    <cfRule type="iconSet" priority="1911">
      <iconSet iconSet="3Symbols">
        <cfvo type="percent" val="0"/>
        <cfvo type="percent" val="33"/>
        <cfvo type="percent" val="67"/>
      </iconSet>
    </cfRule>
  </conditionalFormatting>
  <conditionalFormatting sqref="P98:BO98">
    <cfRule type="iconSet" priority="1907">
      <iconSet iconSet="3Symbols2" showValue="0">
        <cfvo type="percent" val="0"/>
        <cfvo type="num" val="&quot;0+$Y$20&quot;"/>
        <cfvo type="num" val="1"/>
      </iconSet>
    </cfRule>
    <cfRule type="cellIs" dxfId="1181" priority="1908" operator="equal">
      <formula>6</formula>
    </cfRule>
  </conditionalFormatting>
  <conditionalFormatting sqref="P98:BO98">
    <cfRule type="cellIs" dxfId="1180" priority="1905" operator="equal">
      <formula>6</formula>
    </cfRule>
    <cfRule type="iconSet" priority="1906">
      <iconSet showValue="0">
        <cfvo type="percent" val="0"/>
        <cfvo type="num" val="&quot;0+$Y$20&quot;"/>
        <cfvo type="num" val="1"/>
      </iconSet>
    </cfRule>
  </conditionalFormatting>
  <conditionalFormatting sqref="P98:BO98">
    <cfRule type="iconSet" priority="1902">
      <iconSet iconSet="3Symbols2" showValue="0">
        <cfvo type="percent" val="0"/>
        <cfvo type="num" val="0"/>
        <cfvo type="num" val="6"/>
      </iconSet>
    </cfRule>
    <cfRule type="iconSet" priority="1903">
      <iconSet iconSet="3Symbols2" showValue="0">
        <cfvo type="percent" val="0"/>
        <cfvo type="num" val="&quot;0+$Y$20&quot;"/>
        <cfvo type="num" val="1"/>
      </iconSet>
    </cfRule>
    <cfRule type="cellIs" dxfId="1179" priority="1904" operator="equal">
      <formula>6</formula>
    </cfRule>
  </conditionalFormatting>
  <conditionalFormatting sqref="P98:BO98">
    <cfRule type="cellIs" dxfId="1178" priority="1891" operator="equal">
      <formula>5</formula>
    </cfRule>
    <cfRule type="cellIs" dxfId="1177" priority="1892" operator="equal">
      <formula>4</formula>
    </cfRule>
    <cfRule type="cellIs" dxfId="1176" priority="1893" operator="equal">
      <formula>3</formula>
    </cfRule>
    <cfRule type="cellIs" dxfId="1175" priority="1894" operator="equal">
      <formula>5</formula>
    </cfRule>
    <cfRule type="cellIs" dxfId="1174" priority="1895" operator="equal">
      <formula>4</formula>
    </cfRule>
    <cfRule type="cellIs" dxfId="1173" priority="1896" operator="equal">
      <formula>3</formula>
    </cfRule>
    <cfRule type="cellIs" dxfId="1172" priority="1897" operator="equal">
      <formula>2</formula>
    </cfRule>
    <cfRule type="cellIs" dxfId="1171" priority="1898" operator="equal">
      <formula>1</formula>
    </cfRule>
    <cfRule type="iconSet" priority="1899">
      <iconSet iconSet="3Symbols2" showValue="0">
        <cfvo type="percent" val="0"/>
        <cfvo type="num" val="0"/>
        <cfvo type="num" val="6"/>
      </iconSet>
    </cfRule>
    <cfRule type="iconSet" priority="1900">
      <iconSet iconSet="3Symbols2" showValue="0">
        <cfvo type="percent" val="0"/>
        <cfvo type="num" val="&quot;0+$Y$20&quot;"/>
        <cfvo type="num" val="1"/>
      </iconSet>
    </cfRule>
    <cfRule type="cellIs" dxfId="1170" priority="1901" operator="equal">
      <formula>6</formula>
    </cfRule>
  </conditionalFormatting>
  <conditionalFormatting sqref="P100:BO100">
    <cfRule type="cellIs" dxfId="1169" priority="1888" operator="equal">
      <formula>"0-5"</formula>
    </cfRule>
    <cfRule type="iconSet" priority="1889">
      <iconSet iconSet="3Symbols" showValue="0">
        <cfvo type="percent" val="0"/>
        <cfvo type="percent" val="33"/>
        <cfvo type="percent" val="67"/>
      </iconSet>
    </cfRule>
    <cfRule type="iconSet" priority="1890">
      <iconSet iconSet="3Symbols">
        <cfvo type="percent" val="0"/>
        <cfvo type="percent" val="33"/>
        <cfvo type="percent" val="67"/>
      </iconSet>
    </cfRule>
  </conditionalFormatting>
  <conditionalFormatting sqref="P100:BO100">
    <cfRule type="iconSet" priority="1886">
      <iconSet iconSet="3Symbols2" showValue="0">
        <cfvo type="percent" val="0"/>
        <cfvo type="num" val="&quot;0+$Y$20&quot;"/>
        <cfvo type="num" val="1"/>
      </iconSet>
    </cfRule>
    <cfRule type="cellIs" dxfId="1168" priority="1887" operator="equal">
      <formula>6</formula>
    </cfRule>
  </conditionalFormatting>
  <conditionalFormatting sqref="P100:BO100">
    <cfRule type="cellIs" dxfId="1167" priority="1884" operator="equal">
      <formula>6</formula>
    </cfRule>
    <cfRule type="iconSet" priority="1885">
      <iconSet showValue="0">
        <cfvo type="percent" val="0"/>
        <cfvo type="num" val="&quot;0+$Y$20&quot;"/>
        <cfvo type="num" val="1"/>
      </iconSet>
    </cfRule>
  </conditionalFormatting>
  <conditionalFormatting sqref="P100:BO100">
    <cfRule type="iconSet" priority="1881">
      <iconSet iconSet="3Symbols2" showValue="0">
        <cfvo type="percent" val="0"/>
        <cfvo type="num" val="0"/>
        <cfvo type="num" val="6"/>
      </iconSet>
    </cfRule>
    <cfRule type="iconSet" priority="1882">
      <iconSet iconSet="3Symbols2" showValue="0">
        <cfvo type="percent" val="0"/>
        <cfvo type="num" val="&quot;0+$Y$20&quot;"/>
        <cfvo type="num" val="1"/>
      </iconSet>
    </cfRule>
    <cfRule type="cellIs" dxfId="1166" priority="1883" operator="equal">
      <formula>6</formula>
    </cfRule>
  </conditionalFormatting>
  <conditionalFormatting sqref="P100:BO100">
    <cfRule type="cellIs" dxfId="1165" priority="1870" operator="equal">
      <formula>5</formula>
    </cfRule>
    <cfRule type="cellIs" dxfId="1164" priority="1871" operator="equal">
      <formula>4</formula>
    </cfRule>
    <cfRule type="cellIs" dxfId="1163" priority="1872" operator="equal">
      <formula>3</formula>
    </cfRule>
    <cfRule type="cellIs" dxfId="1162" priority="1873" operator="equal">
      <formula>5</formula>
    </cfRule>
    <cfRule type="cellIs" dxfId="1161" priority="1874" operator="equal">
      <formula>4</formula>
    </cfRule>
    <cfRule type="cellIs" dxfId="1160" priority="1875" operator="equal">
      <formula>3</formula>
    </cfRule>
    <cfRule type="cellIs" dxfId="1159" priority="1876" operator="equal">
      <formula>2</formula>
    </cfRule>
    <cfRule type="cellIs" dxfId="1158" priority="1877" operator="equal">
      <formula>1</formula>
    </cfRule>
    <cfRule type="iconSet" priority="1878">
      <iconSet iconSet="3Symbols2" showValue="0">
        <cfvo type="percent" val="0"/>
        <cfvo type="num" val="0"/>
        <cfvo type="num" val="6"/>
      </iconSet>
    </cfRule>
    <cfRule type="iconSet" priority="1879">
      <iconSet iconSet="3Symbols2" showValue="0">
        <cfvo type="percent" val="0"/>
        <cfvo type="num" val="&quot;0+$Y$20&quot;"/>
        <cfvo type="num" val="1"/>
      </iconSet>
    </cfRule>
    <cfRule type="cellIs" dxfId="1157" priority="1880" operator="equal">
      <formula>6</formula>
    </cfRule>
  </conditionalFormatting>
  <conditionalFormatting sqref="P102:BO102">
    <cfRule type="cellIs" dxfId="1156" priority="1867" operator="equal">
      <formula>"0-5"</formula>
    </cfRule>
    <cfRule type="iconSet" priority="1868">
      <iconSet iconSet="3Symbols" showValue="0">
        <cfvo type="percent" val="0"/>
        <cfvo type="percent" val="33"/>
        <cfvo type="percent" val="67"/>
      </iconSet>
    </cfRule>
    <cfRule type="iconSet" priority="1869">
      <iconSet iconSet="3Symbols">
        <cfvo type="percent" val="0"/>
        <cfvo type="percent" val="33"/>
        <cfvo type="percent" val="67"/>
      </iconSet>
    </cfRule>
  </conditionalFormatting>
  <conditionalFormatting sqref="P102:BO102">
    <cfRule type="iconSet" priority="1865">
      <iconSet iconSet="3Symbols2" showValue="0">
        <cfvo type="percent" val="0"/>
        <cfvo type="num" val="&quot;0+$Y$20&quot;"/>
        <cfvo type="num" val="1"/>
      </iconSet>
    </cfRule>
    <cfRule type="cellIs" dxfId="1155" priority="1866" operator="equal">
      <formula>6</formula>
    </cfRule>
  </conditionalFormatting>
  <conditionalFormatting sqref="P102:BO102">
    <cfRule type="cellIs" dxfId="1154" priority="1863" operator="equal">
      <formula>6</formula>
    </cfRule>
    <cfRule type="iconSet" priority="1864">
      <iconSet showValue="0">
        <cfvo type="percent" val="0"/>
        <cfvo type="num" val="&quot;0+$Y$20&quot;"/>
        <cfvo type="num" val="1"/>
      </iconSet>
    </cfRule>
  </conditionalFormatting>
  <conditionalFormatting sqref="P102:BO102">
    <cfRule type="iconSet" priority="1860">
      <iconSet iconSet="3Symbols2" showValue="0">
        <cfvo type="percent" val="0"/>
        <cfvo type="num" val="0"/>
        <cfvo type="num" val="6"/>
      </iconSet>
    </cfRule>
    <cfRule type="iconSet" priority="1861">
      <iconSet iconSet="3Symbols2" showValue="0">
        <cfvo type="percent" val="0"/>
        <cfvo type="num" val="&quot;0+$Y$20&quot;"/>
        <cfvo type="num" val="1"/>
      </iconSet>
    </cfRule>
    <cfRule type="cellIs" dxfId="1153" priority="1862" operator="equal">
      <formula>6</formula>
    </cfRule>
  </conditionalFormatting>
  <conditionalFormatting sqref="P102:BO102">
    <cfRule type="cellIs" dxfId="1152" priority="1849" operator="equal">
      <formula>5</formula>
    </cfRule>
    <cfRule type="cellIs" dxfId="1151" priority="1850" operator="equal">
      <formula>4</formula>
    </cfRule>
    <cfRule type="cellIs" dxfId="1150" priority="1851" operator="equal">
      <formula>3</formula>
    </cfRule>
    <cfRule type="cellIs" dxfId="1149" priority="1852" operator="equal">
      <formula>5</formula>
    </cfRule>
    <cfRule type="cellIs" dxfId="1148" priority="1853" operator="equal">
      <formula>4</formula>
    </cfRule>
    <cfRule type="cellIs" dxfId="1147" priority="1854" operator="equal">
      <formula>3</formula>
    </cfRule>
    <cfRule type="cellIs" dxfId="1146" priority="1855" operator="equal">
      <formula>2</formula>
    </cfRule>
    <cfRule type="cellIs" dxfId="1145" priority="1856" operator="equal">
      <formula>1</formula>
    </cfRule>
    <cfRule type="iconSet" priority="1857">
      <iconSet iconSet="3Symbols2" showValue="0">
        <cfvo type="percent" val="0"/>
        <cfvo type="num" val="0"/>
        <cfvo type="num" val="6"/>
      </iconSet>
    </cfRule>
    <cfRule type="iconSet" priority="1858">
      <iconSet iconSet="3Symbols2" showValue="0">
        <cfvo type="percent" val="0"/>
        <cfvo type="num" val="&quot;0+$Y$20&quot;"/>
        <cfvo type="num" val="1"/>
      </iconSet>
    </cfRule>
    <cfRule type="cellIs" dxfId="1144" priority="1859" operator="equal">
      <formula>6</formula>
    </cfRule>
  </conditionalFormatting>
  <conditionalFormatting sqref="P104:BO104">
    <cfRule type="cellIs" dxfId="1143" priority="1846" operator="equal">
      <formula>"0-5"</formula>
    </cfRule>
    <cfRule type="iconSet" priority="1847">
      <iconSet iconSet="3Symbols" showValue="0">
        <cfvo type="percent" val="0"/>
        <cfvo type="percent" val="33"/>
        <cfvo type="percent" val="67"/>
      </iconSet>
    </cfRule>
    <cfRule type="iconSet" priority="1848">
      <iconSet iconSet="3Symbols">
        <cfvo type="percent" val="0"/>
        <cfvo type="percent" val="33"/>
        <cfvo type="percent" val="67"/>
      </iconSet>
    </cfRule>
  </conditionalFormatting>
  <conditionalFormatting sqref="P104:BO104">
    <cfRule type="iconSet" priority="1844">
      <iconSet iconSet="3Symbols2" showValue="0">
        <cfvo type="percent" val="0"/>
        <cfvo type="num" val="&quot;0+$Y$20&quot;"/>
        <cfvo type="num" val="1"/>
      </iconSet>
    </cfRule>
    <cfRule type="cellIs" dxfId="1142" priority="1845" operator="equal">
      <formula>6</formula>
    </cfRule>
  </conditionalFormatting>
  <conditionalFormatting sqref="P104:BO104">
    <cfRule type="cellIs" dxfId="1141" priority="1842" operator="equal">
      <formula>6</formula>
    </cfRule>
    <cfRule type="iconSet" priority="1843">
      <iconSet showValue="0">
        <cfvo type="percent" val="0"/>
        <cfvo type="num" val="&quot;0+$Y$20&quot;"/>
        <cfvo type="num" val="1"/>
      </iconSet>
    </cfRule>
  </conditionalFormatting>
  <conditionalFormatting sqref="P104:BO104">
    <cfRule type="iconSet" priority="1839">
      <iconSet iconSet="3Symbols2" showValue="0">
        <cfvo type="percent" val="0"/>
        <cfvo type="num" val="0"/>
        <cfvo type="num" val="6"/>
      </iconSet>
    </cfRule>
    <cfRule type="iconSet" priority="1840">
      <iconSet iconSet="3Symbols2" showValue="0">
        <cfvo type="percent" val="0"/>
        <cfvo type="num" val="&quot;0+$Y$20&quot;"/>
        <cfvo type="num" val="1"/>
      </iconSet>
    </cfRule>
    <cfRule type="cellIs" dxfId="1140" priority="1841" operator="equal">
      <formula>6</formula>
    </cfRule>
  </conditionalFormatting>
  <conditionalFormatting sqref="P104:BO104">
    <cfRule type="cellIs" dxfId="1139" priority="1828" operator="equal">
      <formula>5</formula>
    </cfRule>
    <cfRule type="cellIs" dxfId="1138" priority="1829" operator="equal">
      <formula>4</formula>
    </cfRule>
    <cfRule type="cellIs" dxfId="1137" priority="1830" operator="equal">
      <formula>3</formula>
    </cfRule>
    <cfRule type="cellIs" dxfId="1136" priority="1831" operator="equal">
      <formula>5</formula>
    </cfRule>
    <cfRule type="cellIs" dxfId="1135" priority="1832" operator="equal">
      <formula>4</formula>
    </cfRule>
    <cfRule type="cellIs" dxfId="1134" priority="1833" operator="equal">
      <formula>3</formula>
    </cfRule>
    <cfRule type="cellIs" dxfId="1133" priority="1834" operator="equal">
      <formula>2</formula>
    </cfRule>
    <cfRule type="cellIs" dxfId="1132" priority="1835" operator="equal">
      <formula>1</formula>
    </cfRule>
    <cfRule type="iconSet" priority="1836">
      <iconSet iconSet="3Symbols2" showValue="0">
        <cfvo type="percent" val="0"/>
        <cfvo type="num" val="0"/>
        <cfvo type="num" val="6"/>
      </iconSet>
    </cfRule>
    <cfRule type="iconSet" priority="1837">
      <iconSet iconSet="3Symbols2" showValue="0">
        <cfvo type="percent" val="0"/>
        <cfvo type="num" val="&quot;0+$Y$20&quot;"/>
        <cfvo type="num" val="1"/>
      </iconSet>
    </cfRule>
    <cfRule type="cellIs" dxfId="1131" priority="1838" operator="equal">
      <formula>6</formula>
    </cfRule>
  </conditionalFormatting>
  <conditionalFormatting sqref="P106:BO106">
    <cfRule type="cellIs" dxfId="1130" priority="1825" operator="equal">
      <formula>"0-5"</formula>
    </cfRule>
    <cfRule type="iconSet" priority="1826">
      <iconSet iconSet="3Symbols" showValue="0">
        <cfvo type="percent" val="0"/>
        <cfvo type="percent" val="33"/>
        <cfvo type="percent" val="67"/>
      </iconSet>
    </cfRule>
    <cfRule type="iconSet" priority="1827">
      <iconSet iconSet="3Symbols">
        <cfvo type="percent" val="0"/>
        <cfvo type="percent" val="33"/>
        <cfvo type="percent" val="67"/>
      </iconSet>
    </cfRule>
  </conditionalFormatting>
  <conditionalFormatting sqref="P106:BO106">
    <cfRule type="iconSet" priority="1823">
      <iconSet iconSet="3Symbols2" showValue="0">
        <cfvo type="percent" val="0"/>
        <cfvo type="num" val="&quot;0+$Y$20&quot;"/>
        <cfvo type="num" val="1"/>
      </iconSet>
    </cfRule>
    <cfRule type="cellIs" dxfId="1129" priority="1824" operator="equal">
      <formula>6</formula>
    </cfRule>
  </conditionalFormatting>
  <conditionalFormatting sqref="P106:BO106">
    <cfRule type="cellIs" dxfId="1128" priority="1821" operator="equal">
      <formula>6</formula>
    </cfRule>
    <cfRule type="iconSet" priority="1822">
      <iconSet showValue="0">
        <cfvo type="percent" val="0"/>
        <cfvo type="num" val="&quot;0+$Y$20&quot;"/>
        <cfvo type="num" val="1"/>
      </iconSet>
    </cfRule>
  </conditionalFormatting>
  <conditionalFormatting sqref="P106:BO106">
    <cfRule type="iconSet" priority="1818">
      <iconSet iconSet="3Symbols2" showValue="0">
        <cfvo type="percent" val="0"/>
        <cfvo type="num" val="0"/>
        <cfvo type="num" val="6"/>
      </iconSet>
    </cfRule>
    <cfRule type="iconSet" priority="1819">
      <iconSet iconSet="3Symbols2" showValue="0">
        <cfvo type="percent" val="0"/>
        <cfvo type="num" val="&quot;0+$Y$20&quot;"/>
        <cfvo type="num" val="1"/>
      </iconSet>
    </cfRule>
    <cfRule type="cellIs" dxfId="1127" priority="1820" operator="equal">
      <formula>6</formula>
    </cfRule>
  </conditionalFormatting>
  <conditionalFormatting sqref="P106:BO106">
    <cfRule type="cellIs" dxfId="1126" priority="1807" operator="equal">
      <formula>5</formula>
    </cfRule>
    <cfRule type="cellIs" dxfId="1125" priority="1808" operator="equal">
      <formula>4</formula>
    </cfRule>
    <cfRule type="cellIs" dxfId="1124" priority="1809" operator="equal">
      <formula>3</formula>
    </cfRule>
    <cfRule type="cellIs" dxfId="1123" priority="1810" operator="equal">
      <formula>5</formula>
    </cfRule>
    <cfRule type="cellIs" dxfId="1122" priority="1811" operator="equal">
      <formula>4</formula>
    </cfRule>
    <cfRule type="cellIs" dxfId="1121" priority="1812" operator="equal">
      <formula>3</formula>
    </cfRule>
    <cfRule type="cellIs" dxfId="1120" priority="1813" operator="equal">
      <formula>2</formula>
    </cfRule>
    <cfRule type="cellIs" dxfId="1119" priority="1814" operator="equal">
      <formula>1</formula>
    </cfRule>
    <cfRule type="iconSet" priority="1815">
      <iconSet iconSet="3Symbols2" showValue="0">
        <cfvo type="percent" val="0"/>
        <cfvo type="num" val="0"/>
        <cfvo type="num" val="6"/>
      </iconSet>
    </cfRule>
    <cfRule type="iconSet" priority="1816">
      <iconSet iconSet="3Symbols2" showValue="0">
        <cfvo type="percent" val="0"/>
        <cfvo type="num" val="&quot;0+$Y$20&quot;"/>
        <cfvo type="num" val="1"/>
      </iconSet>
    </cfRule>
    <cfRule type="cellIs" dxfId="1118" priority="1817" operator="equal">
      <formula>6</formula>
    </cfRule>
  </conditionalFormatting>
  <conditionalFormatting sqref="P108:BO108">
    <cfRule type="cellIs" dxfId="1117" priority="1804" operator="equal">
      <formula>"0-5"</formula>
    </cfRule>
    <cfRule type="iconSet" priority="1805">
      <iconSet iconSet="3Symbols" showValue="0">
        <cfvo type="percent" val="0"/>
        <cfvo type="percent" val="33"/>
        <cfvo type="percent" val="67"/>
      </iconSet>
    </cfRule>
    <cfRule type="iconSet" priority="1806">
      <iconSet iconSet="3Symbols">
        <cfvo type="percent" val="0"/>
        <cfvo type="percent" val="33"/>
        <cfvo type="percent" val="67"/>
      </iconSet>
    </cfRule>
  </conditionalFormatting>
  <conditionalFormatting sqref="P108:BO108">
    <cfRule type="iconSet" priority="1802">
      <iconSet iconSet="3Symbols2" showValue="0">
        <cfvo type="percent" val="0"/>
        <cfvo type="num" val="&quot;0+$Y$20&quot;"/>
        <cfvo type="num" val="1"/>
      </iconSet>
    </cfRule>
    <cfRule type="cellIs" dxfId="1116" priority="1803" operator="equal">
      <formula>6</formula>
    </cfRule>
  </conditionalFormatting>
  <conditionalFormatting sqref="P108:BO108">
    <cfRule type="cellIs" dxfId="1115" priority="1800" operator="equal">
      <formula>6</formula>
    </cfRule>
    <cfRule type="iconSet" priority="1801">
      <iconSet showValue="0">
        <cfvo type="percent" val="0"/>
        <cfvo type="num" val="&quot;0+$Y$20&quot;"/>
        <cfvo type="num" val="1"/>
      </iconSet>
    </cfRule>
  </conditionalFormatting>
  <conditionalFormatting sqref="P108:BO108">
    <cfRule type="iconSet" priority="1797">
      <iconSet iconSet="3Symbols2" showValue="0">
        <cfvo type="percent" val="0"/>
        <cfvo type="num" val="0"/>
        <cfvo type="num" val="6"/>
      </iconSet>
    </cfRule>
    <cfRule type="iconSet" priority="1798">
      <iconSet iconSet="3Symbols2" showValue="0">
        <cfvo type="percent" val="0"/>
        <cfvo type="num" val="&quot;0+$Y$20&quot;"/>
        <cfvo type="num" val="1"/>
      </iconSet>
    </cfRule>
    <cfRule type="cellIs" dxfId="1114" priority="1799" operator="equal">
      <formula>6</formula>
    </cfRule>
  </conditionalFormatting>
  <conditionalFormatting sqref="P108:BO108">
    <cfRule type="cellIs" dxfId="1113" priority="1786" operator="equal">
      <formula>5</formula>
    </cfRule>
    <cfRule type="cellIs" dxfId="1112" priority="1787" operator="equal">
      <formula>4</formula>
    </cfRule>
    <cfRule type="cellIs" dxfId="1111" priority="1788" operator="equal">
      <formula>3</formula>
    </cfRule>
    <cfRule type="cellIs" dxfId="1110" priority="1789" operator="equal">
      <formula>5</formula>
    </cfRule>
    <cfRule type="cellIs" dxfId="1109" priority="1790" operator="equal">
      <formula>4</formula>
    </cfRule>
    <cfRule type="cellIs" dxfId="1108" priority="1791" operator="equal">
      <formula>3</formula>
    </cfRule>
    <cfRule type="cellIs" dxfId="1107" priority="1792" operator="equal">
      <formula>2</formula>
    </cfRule>
    <cfRule type="cellIs" dxfId="1106" priority="1793" operator="equal">
      <formula>1</formula>
    </cfRule>
    <cfRule type="iconSet" priority="1794">
      <iconSet iconSet="3Symbols2" showValue="0">
        <cfvo type="percent" val="0"/>
        <cfvo type="num" val="0"/>
        <cfvo type="num" val="6"/>
      </iconSet>
    </cfRule>
    <cfRule type="iconSet" priority="1795">
      <iconSet iconSet="3Symbols2" showValue="0">
        <cfvo type="percent" val="0"/>
        <cfvo type="num" val="&quot;0+$Y$20&quot;"/>
        <cfvo type="num" val="1"/>
      </iconSet>
    </cfRule>
    <cfRule type="cellIs" dxfId="1105" priority="1796" operator="equal">
      <formula>6</formula>
    </cfRule>
  </conditionalFormatting>
  <conditionalFormatting sqref="P110:BO110">
    <cfRule type="cellIs" dxfId="1104" priority="1783" operator="equal">
      <formula>"0-5"</formula>
    </cfRule>
    <cfRule type="iconSet" priority="1784">
      <iconSet iconSet="3Symbols" showValue="0">
        <cfvo type="percent" val="0"/>
        <cfvo type="percent" val="33"/>
        <cfvo type="percent" val="67"/>
      </iconSet>
    </cfRule>
    <cfRule type="iconSet" priority="1785">
      <iconSet iconSet="3Symbols">
        <cfvo type="percent" val="0"/>
        <cfvo type="percent" val="33"/>
        <cfvo type="percent" val="67"/>
      </iconSet>
    </cfRule>
  </conditionalFormatting>
  <conditionalFormatting sqref="P110:BO110">
    <cfRule type="iconSet" priority="1781">
      <iconSet iconSet="3Symbols2" showValue="0">
        <cfvo type="percent" val="0"/>
        <cfvo type="num" val="&quot;0+$Y$20&quot;"/>
        <cfvo type="num" val="1"/>
      </iconSet>
    </cfRule>
    <cfRule type="cellIs" dxfId="1103" priority="1782" operator="equal">
      <formula>6</formula>
    </cfRule>
  </conditionalFormatting>
  <conditionalFormatting sqref="P110:BO110">
    <cfRule type="cellIs" dxfId="1102" priority="1779" operator="equal">
      <formula>6</formula>
    </cfRule>
    <cfRule type="iconSet" priority="1780">
      <iconSet showValue="0">
        <cfvo type="percent" val="0"/>
        <cfvo type="num" val="&quot;0+$Y$20&quot;"/>
        <cfvo type="num" val="1"/>
      </iconSet>
    </cfRule>
  </conditionalFormatting>
  <conditionalFormatting sqref="P110:BO110">
    <cfRule type="iconSet" priority="1776">
      <iconSet iconSet="3Symbols2" showValue="0">
        <cfvo type="percent" val="0"/>
        <cfvo type="num" val="0"/>
        <cfvo type="num" val="6"/>
      </iconSet>
    </cfRule>
    <cfRule type="iconSet" priority="1777">
      <iconSet iconSet="3Symbols2" showValue="0">
        <cfvo type="percent" val="0"/>
        <cfvo type="num" val="&quot;0+$Y$20&quot;"/>
        <cfvo type="num" val="1"/>
      </iconSet>
    </cfRule>
    <cfRule type="cellIs" dxfId="1101" priority="1778" operator="equal">
      <formula>6</formula>
    </cfRule>
  </conditionalFormatting>
  <conditionalFormatting sqref="P110:BO110">
    <cfRule type="cellIs" dxfId="1100" priority="1765" operator="equal">
      <formula>5</formula>
    </cfRule>
    <cfRule type="cellIs" dxfId="1099" priority="1766" operator="equal">
      <formula>4</formula>
    </cfRule>
    <cfRule type="cellIs" dxfId="1098" priority="1767" operator="equal">
      <formula>3</formula>
    </cfRule>
    <cfRule type="cellIs" dxfId="1097" priority="1768" operator="equal">
      <formula>5</formula>
    </cfRule>
    <cfRule type="cellIs" dxfId="1096" priority="1769" operator="equal">
      <formula>4</formula>
    </cfRule>
    <cfRule type="cellIs" dxfId="1095" priority="1770" operator="equal">
      <formula>3</formula>
    </cfRule>
    <cfRule type="cellIs" dxfId="1094" priority="1771" operator="equal">
      <formula>2</formula>
    </cfRule>
    <cfRule type="cellIs" dxfId="1093" priority="1772" operator="equal">
      <formula>1</formula>
    </cfRule>
    <cfRule type="iconSet" priority="1773">
      <iconSet iconSet="3Symbols2" showValue="0">
        <cfvo type="percent" val="0"/>
        <cfvo type="num" val="0"/>
        <cfvo type="num" val="6"/>
      </iconSet>
    </cfRule>
    <cfRule type="iconSet" priority="1774">
      <iconSet iconSet="3Symbols2" showValue="0">
        <cfvo type="percent" val="0"/>
        <cfvo type="num" val="&quot;0+$Y$20&quot;"/>
        <cfvo type="num" val="1"/>
      </iconSet>
    </cfRule>
    <cfRule type="cellIs" dxfId="1092" priority="1775" operator="equal">
      <formula>6</formula>
    </cfRule>
  </conditionalFormatting>
  <conditionalFormatting sqref="P112:BO112">
    <cfRule type="cellIs" dxfId="1091" priority="1762" operator="equal">
      <formula>"0-5"</formula>
    </cfRule>
    <cfRule type="iconSet" priority="1763">
      <iconSet iconSet="3Symbols" showValue="0">
        <cfvo type="percent" val="0"/>
        <cfvo type="percent" val="33"/>
        <cfvo type="percent" val="67"/>
      </iconSet>
    </cfRule>
    <cfRule type="iconSet" priority="1764">
      <iconSet iconSet="3Symbols">
        <cfvo type="percent" val="0"/>
        <cfvo type="percent" val="33"/>
        <cfvo type="percent" val="67"/>
      </iconSet>
    </cfRule>
  </conditionalFormatting>
  <conditionalFormatting sqref="P112:BO112">
    <cfRule type="iconSet" priority="1760">
      <iconSet iconSet="3Symbols2" showValue="0">
        <cfvo type="percent" val="0"/>
        <cfvo type="num" val="&quot;0+$Y$20&quot;"/>
        <cfvo type="num" val="1"/>
      </iconSet>
    </cfRule>
    <cfRule type="cellIs" dxfId="1090" priority="1761" operator="equal">
      <formula>6</formula>
    </cfRule>
  </conditionalFormatting>
  <conditionalFormatting sqref="P112:BO112">
    <cfRule type="cellIs" dxfId="1089" priority="1758" operator="equal">
      <formula>6</formula>
    </cfRule>
    <cfRule type="iconSet" priority="1759">
      <iconSet showValue="0">
        <cfvo type="percent" val="0"/>
        <cfvo type="num" val="&quot;0+$Y$20&quot;"/>
        <cfvo type="num" val="1"/>
      </iconSet>
    </cfRule>
  </conditionalFormatting>
  <conditionalFormatting sqref="P112:BO112">
    <cfRule type="iconSet" priority="1755">
      <iconSet iconSet="3Symbols2" showValue="0">
        <cfvo type="percent" val="0"/>
        <cfvo type="num" val="0"/>
        <cfvo type="num" val="6"/>
      </iconSet>
    </cfRule>
    <cfRule type="iconSet" priority="1756">
      <iconSet iconSet="3Symbols2" showValue="0">
        <cfvo type="percent" val="0"/>
        <cfvo type="num" val="&quot;0+$Y$20&quot;"/>
        <cfvo type="num" val="1"/>
      </iconSet>
    </cfRule>
    <cfRule type="cellIs" dxfId="1088" priority="1757" operator="equal">
      <formula>6</formula>
    </cfRule>
  </conditionalFormatting>
  <conditionalFormatting sqref="P112:BO112">
    <cfRule type="cellIs" dxfId="1087" priority="1744" operator="equal">
      <formula>5</formula>
    </cfRule>
    <cfRule type="cellIs" dxfId="1086" priority="1745" operator="equal">
      <formula>4</formula>
    </cfRule>
    <cfRule type="cellIs" dxfId="1085" priority="1746" operator="equal">
      <formula>3</formula>
    </cfRule>
    <cfRule type="cellIs" dxfId="1084" priority="1747" operator="equal">
      <formula>5</formula>
    </cfRule>
    <cfRule type="cellIs" dxfId="1083" priority="1748" operator="equal">
      <formula>4</formula>
    </cfRule>
    <cfRule type="cellIs" dxfId="1082" priority="1749" operator="equal">
      <formula>3</formula>
    </cfRule>
    <cfRule type="cellIs" dxfId="1081" priority="1750" operator="equal">
      <formula>2</formula>
    </cfRule>
    <cfRule type="cellIs" dxfId="1080" priority="1751" operator="equal">
      <formula>1</formula>
    </cfRule>
    <cfRule type="iconSet" priority="1752">
      <iconSet iconSet="3Symbols2" showValue="0">
        <cfvo type="percent" val="0"/>
        <cfvo type="num" val="0"/>
        <cfvo type="num" val="6"/>
      </iconSet>
    </cfRule>
    <cfRule type="iconSet" priority="1753">
      <iconSet iconSet="3Symbols2" showValue="0">
        <cfvo type="percent" val="0"/>
        <cfvo type="num" val="&quot;0+$Y$20&quot;"/>
        <cfvo type="num" val="1"/>
      </iconSet>
    </cfRule>
    <cfRule type="cellIs" dxfId="1079" priority="1754" operator="equal">
      <formula>6</formula>
    </cfRule>
  </conditionalFormatting>
  <conditionalFormatting sqref="P114:BO114">
    <cfRule type="cellIs" dxfId="1078" priority="1741" operator="equal">
      <formula>"0-5"</formula>
    </cfRule>
    <cfRule type="iconSet" priority="1742">
      <iconSet iconSet="3Symbols" showValue="0">
        <cfvo type="percent" val="0"/>
        <cfvo type="percent" val="33"/>
        <cfvo type="percent" val="67"/>
      </iconSet>
    </cfRule>
    <cfRule type="iconSet" priority="1743">
      <iconSet iconSet="3Symbols">
        <cfvo type="percent" val="0"/>
        <cfvo type="percent" val="33"/>
        <cfvo type="percent" val="67"/>
      </iconSet>
    </cfRule>
  </conditionalFormatting>
  <conditionalFormatting sqref="P114:BO114">
    <cfRule type="iconSet" priority="1739">
      <iconSet iconSet="3Symbols2" showValue="0">
        <cfvo type="percent" val="0"/>
        <cfvo type="num" val="&quot;0+$Y$20&quot;"/>
        <cfvo type="num" val="1"/>
      </iconSet>
    </cfRule>
    <cfRule type="cellIs" dxfId="1077" priority="1740" operator="equal">
      <formula>6</formula>
    </cfRule>
  </conditionalFormatting>
  <conditionalFormatting sqref="P114:BO114">
    <cfRule type="cellIs" dxfId="1076" priority="1737" operator="equal">
      <formula>6</formula>
    </cfRule>
    <cfRule type="iconSet" priority="1738">
      <iconSet showValue="0">
        <cfvo type="percent" val="0"/>
        <cfvo type="num" val="&quot;0+$Y$20&quot;"/>
        <cfvo type="num" val="1"/>
      </iconSet>
    </cfRule>
  </conditionalFormatting>
  <conditionalFormatting sqref="P114:BO114">
    <cfRule type="iconSet" priority="1734">
      <iconSet iconSet="3Symbols2" showValue="0">
        <cfvo type="percent" val="0"/>
        <cfvo type="num" val="0"/>
        <cfvo type="num" val="6"/>
      </iconSet>
    </cfRule>
    <cfRule type="iconSet" priority="1735">
      <iconSet iconSet="3Symbols2" showValue="0">
        <cfvo type="percent" val="0"/>
        <cfvo type="num" val="&quot;0+$Y$20&quot;"/>
        <cfvo type="num" val="1"/>
      </iconSet>
    </cfRule>
    <cfRule type="cellIs" dxfId="1075" priority="1736" operator="equal">
      <formula>6</formula>
    </cfRule>
  </conditionalFormatting>
  <conditionalFormatting sqref="P114:BO114">
    <cfRule type="cellIs" dxfId="1074" priority="1723" operator="equal">
      <formula>5</formula>
    </cfRule>
    <cfRule type="cellIs" dxfId="1073" priority="1724" operator="equal">
      <formula>4</formula>
    </cfRule>
    <cfRule type="cellIs" dxfId="1072" priority="1725" operator="equal">
      <formula>3</formula>
    </cfRule>
    <cfRule type="cellIs" dxfId="1071" priority="1726" operator="equal">
      <formula>5</formula>
    </cfRule>
    <cfRule type="cellIs" dxfId="1070" priority="1727" operator="equal">
      <formula>4</formula>
    </cfRule>
    <cfRule type="cellIs" dxfId="1069" priority="1728" operator="equal">
      <formula>3</formula>
    </cfRule>
    <cfRule type="cellIs" dxfId="1068" priority="1729" operator="equal">
      <formula>2</formula>
    </cfRule>
    <cfRule type="cellIs" dxfId="1067" priority="1730" operator="equal">
      <formula>1</formula>
    </cfRule>
    <cfRule type="iconSet" priority="1731">
      <iconSet iconSet="3Symbols2" showValue="0">
        <cfvo type="percent" val="0"/>
        <cfvo type="num" val="0"/>
        <cfvo type="num" val="6"/>
      </iconSet>
    </cfRule>
    <cfRule type="iconSet" priority="1732">
      <iconSet iconSet="3Symbols2" showValue="0">
        <cfvo type="percent" val="0"/>
        <cfvo type="num" val="&quot;0+$Y$20&quot;"/>
        <cfvo type="num" val="1"/>
      </iconSet>
    </cfRule>
    <cfRule type="cellIs" dxfId="1066" priority="1733" operator="equal">
      <formula>6</formula>
    </cfRule>
  </conditionalFormatting>
  <conditionalFormatting sqref="P116:BO116">
    <cfRule type="cellIs" dxfId="1065" priority="1720" operator="equal">
      <formula>"0-5"</formula>
    </cfRule>
    <cfRule type="iconSet" priority="1721">
      <iconSet iconSet="3Symbols" showValue="0">
        <cfvo type="percent" val="0"/>
        <cfvo type="percent" val="33"/>
        <cfvo type="percent" val="67"/>
      </iconSet>
    </cfRule>
    <cfRule type="iconSet" priority="1722">
      <iconSet iconSet="3Symbols">
        <cfvo type="percent" val="0"/>
        <cfvo type="percent" val="33"/>
        <cfvo type="percent" val="67"/>
      </iconSet>
    </cfRule>
  </conditionalFormatting>
  <conditionalFormatting sqref="P116:BO116">
    <cfRule type="iconSet" priority="1718">
      <iconSet iconSet="3Symbols2" showValue="0">
        <cfvo type="percent" val="0"/>
        <cfvo type="num" val="&quot;0+$Y$20&quot;"/>
        <cfvo type="num" val="1"/>
      </iconSet>
    </cfRule>
    <cfRule type="cellIs" dxfId="1064" priority="1719" operator="equal">
      <formula>6</formula>
    </cfRule>
  </conditionalFormatting>
  <conditionalFormatting sqref="P116:BO116">
    <cfRule type="cellIs" dxfId="1063" priority="1716" operator="equal">
      <formula>6</formula>
    </cfRule>
    <cfRule type="iconSet" priority="1717">
      <iconSet showValue="0">
        <cfvo type="percent" val="0"/>
        <cfvo type="num" val="&quot;0+$Y$20&quot;"/>
        <cfvo type="num" val="1"/>
      </iconSet>
    </cfRule>
  </conditionalFormatting>
  <conditionalFormatting sqref="P116:BO116">
    <cfRule type="iconSet" priority="1713">
      <iconSet iconSet="3Symbols2" showValue="0">
        <cfvo type="percent" val="0"/>
        <cfvo type="num" val="0"/>
        <cfvo type="num" val="6"/>
      </iconSet>
    </cfRule>
    <cfRule type="iconSet" priority="1714">
      <iconSet iconSet="3Symbols2" showValue="0">
        <cfvo type="percent" val="0"/>
        <cfvo type="num" val="&quot;0+$Y$20&quot;"/>
        <cfvo type="num" val="1"/>
      </iconSet>
    </cfRule>
    <cfRule type="cellIs" dxfId="1062" priority="1715" operator="equal">
      <formula>6</formula>
    </cfRule>
  </conditionalFormatting>
  <conditionalFormatting sqref="P116:BO116">
    <cfRule type="cellIs" dxfId="1061" priority="1702" operator="equal">
      <formula>5</formula>
    </cfRule>
    <cfRule type="cellIs" dxfId="1060" priority="1703" operator="equal">
      <formula>4</formula>
    </cfRule>
    <cfRule type="cellIs" dxfId="1059" priority="1704" operator="equal">
      <formula>3</formula>
    </cfRule>
    <cfRule type="cellIs" dxfId="1058" priority="1705" operator="equal">
      <formula>5</formula>
    </cfRule>
    <cfRule type="cellIs" dxfId="1057" priority="1706" operator="equal">
      <formula>4</formula>
    </cfRule>
    <cfRule type="cellIs" dxfId="1056" priority="1707" operator="equal">
      <formula>3</formula>
    </cfRule>
    <cfRule type="cellIs" dxfId="1055" priority="1708" operator="equal">
      <formula>2</formula>
    </cfRule>
    <cfRule type="cellIs" dxfId="1054" priority="1709" operator="equal">
      <formula>1</formula>
    </cfRule>
    <cfRule type="iconSet" priority="1710">
      <iconSet iconSet="3Symbols2" showValue="0">
        <cfvo type="percent" val="0"/>
        <cfvo type="num" val="0"/>
        <cfvo type="num" val="6"/>
      </iconSet>
    </cfRule>
    <cfRule type="iconSet" priority="1711">
      <iconSet iconSet="3Symbols2" showValue="0">
        <cfvo type="percent" val="0"/>
        <cfvo type="num" val="&quot;0+$Y$20&quot;"/>
        <cfvo type="num" val="1"/>
      </iconSet>
    </cfRule>
    <cfRule type="cellIs" dxfId="1053" priority="1712" operator="equal">
      <formula>6</formula>
    </cfRule>
  </conditionalFormatting>
  <conditionalFormatting sqref="P118:BO118">
    <cfRule type="cellIs" dxfId="1052" priority="1699" operator="equal">
      <formula>"0-5"</formula>
    </cfRule>
    <cfRule type="iconSet" priority="1700">
      <iconSet iconSet="3Symbols" showValue="0">
        <cfvo type="percent" val="0"/>
        <cfvo type="percent" val="33"/>
        <cfvo type="percent" val="67"/>
      </iconSet>
    </cfRule>
    <cfRule type="iconSet" priority="1701">
      <iconSet iconSet="3Symbols">
        <cfvo type="percent" val="0"/>
        <cfvo type="percent" val="33"/>
        <cfvo type="percent" val="67"/>
      </iconSet>
    </cfRule>
  </conditionalFormatting>
  <conditionalFormatting sqref="P118:BO118">
    <cfRule type="iconSet" priority="1697">
      <iconSet iconSet="3Symbols2" showValue="0">
        <cfvo type="percent" val="0"/>
        <cfvo type="num" val="&quot;0+$Y$20&quot;"/>
        <cfvo type="num" val="1"/>
      </iconSet>
    </cfRule>
    <cfRule type="cellIs" dxfId="1051" priority="1698" operator="equal">
      <formula>6</formula>
    </cfRule>
  </conditionalFormatting>
  <conditionalFormatting sqref="P118:BO118">
    <cfRule type="cellIs" dxfId="1050" priority="1695" operator="equal">
      <formula>6</formula>
    </cfRule>
    <cfRule type="iconSet" priority="1696">
      <iconSet showValue="0">
        <cfvo type="percent" val="0"/>
        <cfvo type="num" val="&quot;0+$Y$20&quot;"/>
        <cfvo type="num" val="1"/>
      </iconSet>
    </cfRule>
  </conditionalFormatting>
  <conditionalFormatting sqref="P118:BO118">
    <cfRule type="iconSet" priority="1692">
      <iconSet iconSet="3Symbols2" showValue="0">
        <cfvo type="percent" val="0"/>
        <cfvo type="num" val="0"/>
        <cfvo type="num" val="6"/>
      </iconSet>
    </cfRule>
    <cfRule type="iconSet" priority="1693">
      <iconSet iconSet="3Symbols2" showValue="0">
        <cfvo type="percent" val="0"/>
        <cfvo type="num" val="&quot;0+$Y$20&quot;"/>
        <cfvo type="num" val="1"/>
      </iconSet>
    </cfRule>
    <cfRule type="cellIs" dxfId="1049" priority="1694" operator="equal">
      <formula>6</formula>
    </cfRule>
  </conditionalFormatting>
  <conditionalFormatting sqref="P118:BO118">
    <cfRule type="cellIs" dxfId="1048" priority="1681" operator="equal">
      <formula>5</formula>
    </cfRule>
    <cfRule type="cellIs" dxfId="1047" priority="1682" operator="equal">
      <formula>4</formula>
    </cfRule>
    <cfRule type="cellIs" dxfId="1046" priority="1683" operator="equal">
      <formula>3</formula>
    </cfRule>
    <cfRule type="cellIs" dxfId="1045" priority="1684" operator="equal">
      <formula>5</formula>
    </cfRule>
    <cfRule type="cellIs" dxfId="1044" priority="1685" operator="equal">
      <formula>4</formula>
    </cfRule>
    <cfRule type="cellIs" dxfId="1043" priority="1686" operator="equal">
      <formula>3</formula>
    </cfRule>
    <cfRule type="cellIs" dxfId="1042" priority="1687" operator="equal">
      <formula>2</formula>
    </cfRule>
    <cfRule type="cellIs" dxfId="1041" priority="1688" operator="equal">
      <formula>1</formula>
    </cfRule>
    <cfRule type="iconSet" priority="1689">
      <iconSet iconSet="3Symbols2" showValue="0">
        <cfvo type="percent" val="0"/>
        <cfvo type="num" val="0"/>
        <cfvo type="num" val="6"/>
      </iconSet>
    </cfRule>
    <cfRule type="iconSet" priority="1690">
      <iconSet iconSet="3Symbols2" showValue="0">
        <cfvo type="percent" val="0"/>
        <cfvo type="num" val="&quot;0+$Y$20&quot;"/>
        <cfvo type="num" val="1"/>
      </iconSet>
    </cfRule>
    <cfRule type="cellIs" dxfId="1040" priority="1691" operator="equal">
      <formula>6</formula>
    </cfRule>
  </conditionalFormatting>
  <conditionalFormatting sqref="P120:BO120">
    <cfRule type="cellIs" dxfId="1039" priority="1678" operator="equal">
      <formula>"0-5"</formula>
    </cfRule>
    <cfRule type="iconSet" priority="1679">
      <iconSet iconSet="3Symbols" showValue="0">
        <cfvo type="percent" val="0"/>
        <cfvo type="percent" val="33"/>
        <cfvo type="percent" val="67"/>
      </iconSet>
    </cfRule>
    <cfRule type="iconSet" priority="1680">
      <iconSet iconSet="3Symbols">
        <cfvo type="percent" val="0"/>
        <cfvo type="percent" val="33"/>
        <cfvo type="percent" val="67"/>
      </iconSet>
    </cfRule>
  </conditionalFormatting>
  <conditionalFormatting sqref="P120:BO120">
    <cfRule type="iconSet" priority="1676">
      <iconSet iconSet="3Symbols2" showValue="0">
        <cfvo type="percent" val="0"/>
        <cfvo type="num" val="&quot;0+$Y$20&quot;"/>
        <cfvo type="num" val="1"/>
      </iconSet>
    </cfRule>
    <cfRule type="cellIs" dxfId="1038" priority="1677" operator="equal">
      <formula>6</formula>
    </cfRule>
  </conditionalFormatting>
  <conditionalFormatting sqref="P120:BO120">
    <cfRule type="cellIs" dxfId="1037" priority="1674" operator="equal">
      <formula>6</formula>
    </cfRule>
    <cfRule type="iconSet" priority="1675">
      <iconSet showValue="0">
        <cfvo type="percent" val="0"/>
        <cfvo type="num" val="&quot;0+$Y$20&quot;"/>
        <cfvo type="num" val="1"/>
      </iconSet>
    </cfRule>
  </conditionalFormatting>
  <conditionalFormatting sqref="P120:BO120">
    <cfRule type="iconSet" priority="1671">
      <iconSet iconSet="3Symbols2" showValue="0">
        <cfvo type="percent" val="0"/>
        <cfvo type="num" val="0"/>
        <cfvo type="num" val="6"/>
      </iconSet>
    </cfRule>
    <cfRule type="iconSet" priority="1672">
      <iconSet iconSet="3Symbols2" showValue="0">
        <cfvo type="percent" val="0"/>
        <cfvo type="num" val="&quot;0+$Y$20&quot;"/>
        <cfvo type="num" val="1"/>
      </iconSet>
    </cfRule>
    <cfRule type="cellIs" dxfId="1036" priority="1673" operator="equal">
      <formula>6</formula>
    </cfRule>
  </conditionalFormatting>
  <conditionalFormatting sqref="P120:BO120">
    <cfRule type="cellIs" dxfId="1035" priority="1660" operator="equal">
      <formula>5</formula>
    </cfRule>
    <cfRule type="cellIs" dxfId="1034" priority="1661" operator="equal">
      <formula>4</formula>
    </cfRule>
    <cfRule type="cellIs" dxfId="1033" priority="1662" operator="equal">
      <formula>3</formula>
    </cfRule>
    <cfRule type="cellIs" dxfId="1032" priority="1663" operator="equal">
      <formula>5</formula>
    </cfRule>
    <cfRule type="cellIs" dxfId="1031" priority="1664" operator="equal">
      <formula>4</formula>
    </cfRule>
    <cfRule type="cellIs" dxfId="1030" priority="1665" operator="equal">
      <formula>3</formula>
    </cfRule>
    <cfRule type="cellIs" dxfId="1029" priority="1666" operator="equal">
      <formula>2</formula>
    </cfRule>
    <cfRule type="cellIs" dxfId="1028" priority="1667" operator="equal">
      <formula>1</formula>
    </cfRule>
    <cfRule type="iconSet" priority="1668">
      <iconSet iconSet="3Symbols2" showValue="0">
        <cfvo type="percent" val="0"/>
        <cfvo type="num" val="0"/>
        <cfvo type="num" val="6"/>
      </iconSet>
    </cfRule>
    <cfRule type="iconSet" priority="1669">
      <iconSet iconSet="3Symbols2" showValue="0">
        <cfvo type="percent" val="0"/>
        <cfvo type="num" val="&quot;0+$Y$20&quot;"/>
        <cfvo type="num" val="1"/>
      </iconSet>
    </cfRule>
    <cfRule type="cellIs" dxfId="1027" priority="1670" operator="equal">
      <formula>6</formula>
    </cfRule>
  </conditionalFormatting>
  <conditionalFormatting sqref="P122:BO122">
    <cfRule type="cellIs" dxfId="1026" priority="1657" operator="equal">
      <formula>"0-5"</formula>
    </cfRule>
    <cfRule type="iconSet" priority="1658">
      <iconSet iconSet="3Symbols" showValue="0">
        <cfvo type="percent" val="0"/>
        <cfvo type="percent" val="33"/>
        <cfvo type="percent" val="67"/>
      </iconSet>
    </cfRule>
    <cfRule type="iconSet" priority="1659">
      <iconSet iconSet="3Symbols">
        <cfvo type="percent" val="0"/>
        <cfvo type="percent" val="33"/>
        <cfvo type="percent" val="67"/>
      </iconSet>
    </cfRule>
  </conditionalFormatting>
  <conditionalFormatting sqref="P122:BO122">
    <cfRule type="iconSet" priority="1655">
      <iconSet iconSet="3Symbols2" showValue="0">
        <cfvo type="percent" val="0"/>
        <cfvo type="num" val="&quot;0+$Y$20&quot;"/>
        <cfvo type="num" val="1"/>
      </iconSet>
    </cfRule>
    <cfRule type="cellIs" dxfId="1025" priority="1656" operator="equal">
      <formula>6</formula>
    </cfRule>
  </conditionalFormatting>
  <conditionalFormatting sqref="P122:BO122">
    <cfRule type="cellIs" dxfId="1024" priority="1653" operator="equal">
      <formula>6</formula>
    </cfRule>
    <cfRule type="iconSet" priority="1654">
      <iconSet showValue="0">
        <cfvo type="percent" val="0"/>
        <cfvo type="num" val="&quot;0+$Y$20&quot;"/>
        <cfvo type="num" val="1"/>
      </iconSet>
    </cfRule>
  </conditionalFormatting>
  <conditionalFormatting sqref="P122:BO122">
    <cfRule type="iconSet" priority="1650">
      <iconSet iconSet="3Symbols2" showValue="0">
        <cfvo type="percent" val="0"/>
        <cfvo type="num" val="0"/>
        <cfvo type="num" val="6"/>
      </iconSet>
    </cfRule>
    <cfRule type="iconSet" priority="1651">
      <iconSet iconSet="3Symbols2" showValue="0">
        <cfvo type="percent" val="0"/>
        <cfvo type="num" val="&quot;0+$Y$20&quot;"/>
        <cfvo type="num" val="1"/>
      </iconSet>
    </cfRule>
    <cfRule type="cellIs" dxfId="1023" priority="1652" operator="equal">
      <formula>6</formula>
    </cfRule>
  </conditionalFormatting>
  <conditionalFormatting sqref="P122:BO122">
    <cfRule type="cellIs" dxfId="1022" priority="1639" operator="equal">
      <formula>5</formula>
    </cfRule>
    <cfRule type="cellIs" dxfId="1021" priority="1640" operator="equal">
      <formula>4</formula>
    </cfRule>
    <cfRule type="cellIs" dxfId="1020" priority="1641" operator="equal">
      <formula>3</formula>
    </cfRule>
    <cfRule type="cellIs" dxfId="1019" priority="1642" operator="equal">
      <formula>5</formula>
    </cfRule>
    <cfRule type="cellIs" dxfId="1018" priority="1643" operator="equal">
      <formula>4</formula>
    </cfRule>
    <cfRule type="cellIs" dxfId="1017" priority="1644" operator="equal">
      <formula>3</formula>
    </cfRule>
    <cfRule type="cellIs" dxfId="1016" priority="1645" operator="equal">
      <formula>2</formula>
    </cfRule>
    <cfRule type="cellIs" dxfId="1015" priority="1646" operator="equal">
      <formula>1</formula>
    </cfRule>
    <cfRule type="iconSet" priority="1647">
      <iconSet iconSet="3Symbols2" showValue="0">
        <cfvo type="percent" val="0"/>
        <cfvo type="num" val="0"/>
        <cfvo type="num" val="6"/>
      </iconSet>
    </cfRule>
    <cfRule type="iconSet" priority="1648">
      <iconSet iconSet="3Symbols2" showValue="0">
        <cfvo type="percent" val="0"/>
        <cfvo type="num" val="&quot;0+$Y$20&quot;"/>
        <cfvo type="num" val="1"/>
      </iconSet>
    </cfRule>
    <cfRule type="cellIs" dxfId="1014" priority="1649" operator="equal">
      <formula>6</formula>
    </cfRule>
  </conditionalFormatting>
  <conditionalFormatting sqref="P124:BO124">
    <cfRule type="cellIs" dxfId="1013" priority="1636" operator="equal">
      <formula>"0-5"</formula>
    </cfRule>
    <cfRule type="iconSet" priority="1637">
      <iconSet iconSet="3Symbols" showValue="0">
        <cfvo type="percent" val="0"/>
        <cfvo type="percent" val="33"/>
        <cfvo type="percent" val="67"/>
      </iconSet>
    </cfRule>
    <cfRule type="iconSet" priority="1638">
      <iconSet iconSet="3Symbols">
        <cfvo type="percent" val="0"/>
        <cfvo type="percent" val="33"/>
        <cfvo type="percent" val="67"/>
      </iconSet>
    </cfRule>
  </conditionalFormatting>
  <conditionalFormatting sqref="P124:BO124">
    <cfRule type="iconSet" priority="1634">
      <iconSet iconSet="3Symbols2" showValue="0">
        <cfvo type="percent" val="0"/>
        <cfvo type="num" val="&quot;0+$Y$20&quot;"/>
        <cfvo type="num" val="1"/>
      </iconSet>
    </cfRule>
    <cfRule type="cellIs" dxfId="1012" priority="1635" operator="equal">
      <formula>6</formula>
    </cfRule>
  </conditionalFormatting>
  <conditionalFormatting sqref="P124:BO124">
    <cfRule type="cellIs" dxfId="1011" priority="1632" operator="equal">
      <formula>6</formula>
    </cfRule>
    <cfRule type="iconSet" priority="1633">
      <iconSet showValue="0">
        <cfvo type="percent" val="0"/>
        <cfvo type="num" val="&quot;0+$Y$20&quot;"/>
        <cfvo type="num" val="1"/>
      </iconSet>
    </cfRule>
  </conditionalFormatting>
  <conditionalFormatting sqref="P124:BO124">
    <cfRule type="iconSet" priority="1629">
      <iconSet iconSet="3Symbols2" showValue="0">
        <cfvo type="percent" val="0"/>
        <cfvo type="num" val="0"/>
        <cfvo type="num" val="6"/>
      </iconSet>
    </cfRule>
    <cfRule type="iconSet" priority="1630">
      <iconSet iconSet="3Symbols2" showValue="0">
        <cfvo type="percent" val="0"/>
        <cfvo type="num" val="&quot;0+$Y$20&quot;"/>
        <cfvo type="num" val="1"/>
      </iconSet>
    </cfRule>
    <cfRule type="cellIs" dxfId="1010" priority="1631" operator="equal">
      <formula>6</formula>
    </cfRule>
  </conditionalFormatting>
  <conditionalFormatting sqref="P124:BO124">
    <cfRule type="cellIs" dxfId="1009" priority="1618" operator="equal">
      <formula>5</formula>
    </cfRule>
    <cfRule type="cellIs" dxfId="1008" priority="1619" operator="equal">
      <formula>4</formula>
    </cfRule>
    <cfRule type="cellIs" dxfId="1007" priority="1620" operator="equal">
      <formula>3</formula>
    </cfRule>
    <cfRule type="cellIs" dxfId="1006" priority="1621" operator="equal">
      <formula>5</formula>
    </cfRule>
    <cfRule type="cellIs" dxfId="1005" priority="1622" operator="equal">
      <formula>4</formula>
    </cfRule>
    <cfRule type="cellIs" dxfId="1004" priority="1623" operator="equal">
      <formula>3</formula>
    </cfRule>
    <cfRule type="cellIs" dxfId="1003" priority="1624" operator="equal">
      <formula>2</formula>
    </cfRule>
    <cfRule type="cellIs" dxfId="1002" priority="1625" operator="equal">
      <formula>1</formula>
    </cfRule>
    <cfRule type="iconSet" priority="1626">
      <iconSet iconSet="3Symbols2" showValue="0">
        <cfvo type="percent" val="0"/>
        <cfvo type="num" val="0"/>
        <cfvo type="num" val="6"/>
      </iconSet>
    </cfRule>
    <cfRule type="iconSet" priority="1627">
      <iconSet iconSet="3Symbols2" showValue="0">
        <cfvo type="percent" val="0"/>
        <cfvo type="num" val="&quot;0+$Y$20&quot;"/>
        <cfvo type="num" val="1"/>
      </iconSet>
    </cfRule>
    <cfRule type="cellIs" dxfId="1001" priority="1628" operator="equal">
      <formula>6</formula>
    </cfRule>
  </conditionalFormatting>
  <conditionalFormatting sqref="P126:BO126">
    <cfRule type="cellIs" dxfId="1000" priority="1615" operator="equal">
      <formula>"0-5"</formula>
    </cfRule>
    <cfRule type="iconSet" priority="1616">
      <iconSet iconSet="3Symbols" showValue="0">
        <cfvo type="percent" val="0"/>
        <cfvo type="percent" val="33"/>
        <cfvo type="percent" val="67"/>
      </iconSet>
    </cfRule>
    <cfRule type="iconSet" priority="1617">
      <iconSet iconSet="3Symbols">
        <cfvo type="percent" val="0"/>
        <cfvo type="percent" val="33"/>
        <cfvo type="percent" val="67"/>
      </iconSet>
    </cfRule>
  </conditionalFormatting>
  <conditionalFormatting sqref="P126:BO126">
    <cfRule type="iconSet" priority="1613">
      <iconSet iconSet="3Symbols2" showValue="0">
        <cfvo type="percent" val="0"/>
        <cfvo type="num" val="&quot;0+$Y$20&quot;"/>
        <cfvo type="num" val="1"/>
      </iconSet>
    </cfRule>
    <cfRule type="cellIs" dxfId="999" priority="1614" operator="equal">
      <formula>6</formula>
    </cfRule>
  </conditionalFormatting>
  <conditionalFormatting sqref="P126:BO126">
    <cfRule type="cellIs" dxfId="998" priority="1611" operator="equal">
      <formula>6</formula>
    </cfRule>
    <cfRule type="iconSet" priority="1612">
      <iconSet showValue="0">
        <cfvo type="percent" val="0"/>
        <cfvo type="num" val="&quot;0+$Y$20&quot;"/>
        <cfvo type="num" val="1"/>
      </iconSet>
    </cfRule>
  </conditionalFormatting>
  <conditionalFormatting sqref="P126:BO126">
    <cfRule type="iconSet" priority="1608">
      <iconSet iconSet="3Symbols2" showValue="0">
        <cfvo type="percent" val="0"/>
        <cfvo type="num" val="0"/>
        <cfvo type="num" val="6"/>
      </iconSet>
    </cfRule>
    <cfRule type="iconSet" priority="1609">
      <iconSet iconSet="3Symbols2" showValue="0">
        <cfvo type="percent" val="0"/>
        <cfvo type="num" val="&quot;0+$Y$20&quot;"/>
        <cfvo type="num" val="1"/>
      </iconSet>
    </cfRule>
    <cfRule type="cellIs" dxfId="997" priority="1610" operator="equal">
      <formula>6</formula>
    </cfRule>
  </conditionalFormatting>
  <conditionalFormatting sqref="P126:BO126">
    <cfRule type="cellIs" dxfId="996" priority="1597" operator="equal">
      <formula>5</formula>
    </cfRule>
    <cfRule type="cellIs" dxfId="995" priority="1598" operator="equal">
      <formula>4</formula>
    </cfRule>
    <cfRule type="cellIs" dxfId="994" priority="1599" operator="equal">
      <formula>3</formula>
    </cfRule>
    <cfRule type="cellIs" dxfId="993" priority="1600" operator="equal">
      <formula>5</formula>
    </cfRule>
    <cfRule type="cellIs" dxfId="992" priority="1601" operator="equal">
      <formula>4</formula>
    </cfRule>
    <cfRule type="cellIs" dxfId="991" priority="1602" operator="equal">
      <formula>3</formula>
    </cfRule>
    <cfRule type="cellIs" dxfId="990" priority="1603" operator="equal">
      <formula>2</formula>
    </cfRule>
    <cfRule type="cellIs" dxfId="989" priority="1604" operator="equal">
      <formula>1</formula>
    </cfRule>
    <cfRule type="iconSet" priority="1605">
      <iconSet iconSet="3Symbols2" showValue="0">
        <cfvo type="percent" val="0"/>
        <cfvo type="num" val="0"/>
        <cfvo type="num" val="6"/>
      </iconSet>
    </cfRule>
    <cfRule type="iconSet" priority="1606">
      <iconSet iconSet="3Symbols2" showValue="0">
        <cfvo type="percent" val="0"/>
        <cfvo type="num" val="&quot;0+$Y$20&quot;"/>
        <cfvo type="num" val="1"/>
      </iconSet>
    </cfRule>
    <cfRule type="cellIs" dxfId="988" priority="1607" operator="equal">
      <formula>6</formula>
    </cfRule>
  </conditionalFormatting>
  <conditionalFormatting sqref="P128:BO128">
    <cfRule type="cellIs" dxfId="987" priority="1594" operator="equal">
      <formula>"0-5"</formula>
    </cfRule>
    <cfRule type="iconSet" priority="1595">
      <iconSet iconSet="3Symbols" showValue="0">
        <cfvo type="percent" val="0"/>
        <cfvo type="percent" val="33"/>
        <cfvo type="percent" val="67"/>
      </iconSet>
    </cfRule>
    <cfRule type="iconSet" priority="1596">
      <iconSet iconSet="3Symbols">
        <cfvo type="percent" val="0"/>
        <cfvo type="percent" val="33"/>
        <cfvo type="percent" val="67"/>
      </iconSet>
    </cfRule>
  </conditionalFormatting>
  <conditionalFormatting sqref="P128:BO128">
    <cfRule type="iconSet" priority="1592">
      <iconSet iconSet="3Symbols2" showValue="0">
        <cfvo type="percent" val="0"/>
        <cfvo type="num" val="&quot;0+$Y$20&quot;"/>
        <cfvo type="num" val="1"/>
      </iconSet>
    </cfRule>
    <cfRule type="cellIs" dxfId="986" priority="1593" operator="equal">
      <formula>6</formula>
    </cfRule>
  </conditionalFormatting>
  <conditionalFormatting sqref="P128:BO128">
    <cfRule type="cellIs" dxfId="985" priority="1590" operator="equal">
      <formula>6</formula>
    </cfRule>
    <cfRule type="iconSet" priority="1591">
      <iconSet showValue="0">
        <cfvo type="percent" val="0"/>
        <cfvo type="num" val="&quot;0+$Y$20&quot;"/>
        <cfvo type="num" val="1"/>
      </iconSet>
    </cfRule>
  </conditionalFormatting>
  <conditionalFormatting sqref="P128:BO128">
    <cfRule type="iconSet" priority="1587">
      <iconSet iconSet="3Symbols2" showValue="0">
        <cfvo type="percent" val="0"/>
        <cfvo type="num" val="0"/>
        <cfvo type="num" val="6"/>
      </iconSet>
    </cfRule>
    <cfRule type="iconSet" priority="1588">
      <iconSet iconSet="3Symbols2" showValue="0">
        <cfvo type="percent" val="0"/>
        <cfvo type="num" val="&quot;0+$Y$20&quot;"/>
        <cfvo type="num" val="1"/>
      </iconSet>
    </cfRule>
    <cfRule type="cellIs" dxfId="984" priority="1589" operator="equal">
      <formula>6</formula>
    </cfRule>
  </conditionalFormatting>
  <conditionalFormatting sqref="P128:BO128">
    <cfRule type="cellIs" dxfId="983" priority="1576" operator="equal">
      <formula>5</formula>
    </cfRule>
    <cfRule type="cellIs" dxfId="982" priority="1577" operator="equal">
      <formula>4</formula>
    </cfRule>
    <cfRule type="cellIs" dxfId="981" priority="1578" operator="equal">
      <formula>3</formula>
    </cfRule>
    <cfRule type="cellIs" dxfId="980" priority="1579" operator="equal">
      <formula>5</formula>
    </cfRule>
    <cfRule type="cellIs" dxfId="979" priority="1580" operator="equal">
      <formula>4</formula>
    </cfRule>
    <cfRule type="cellIs" dxfId="978" priority="1581" operator="equal">
      <formula>3</formula>
    </cfRule>
    <cfRule type="cellIs" dxfId="977" priority="1582" operator="equal">
      <formula>2</formula>
    </cfRule>
    <cfRule type="cellIs" dxfId="976" priority="1583" operator="equal">
      <formula>1</formula>
    </cfRule>
    <cfRule type="iconSet" priority="1584">
      <iconSet iconSet="3Symbols2" showValue="0">
        <cfvo type="percent" val="0"/>
        <cfvo type="num" val="0"/>
        <cfvo type="num" val="6"/>
      </iconSet>
    </cfRule>
    <cfRule type="iconSet" priority="1585">
      <iconSet iconSet="3Symbols2" showValue="0">
        <cfvo type="percent" val="0"/>
        <cfvo type="num" val="&quot;0+$Y$20&quot;"/>
        <cfvo type="num" val="1"/>
      </iconSet>
    </cfRule>
    <cfRule type="cellIs" dxfId="975" priority="1586" operator="equal">
      <formula>6</formula>
    </cfRule>
  </conditionalFormatting>
  <conditionalFormatting sqref="P130:BO130">
    <cfRule type="cellIs" dxfId="974" priority="1573" operator="equal">
      <formula>"0-5"</formula>
    </cfRule>
    <cfRule type="iconSet" priority="1574">
      <iconSet iconSet="3Symbols" showValue="0">
        <cfvo type="percent" val="0"/>
        <cfvo type="percent" val="33"/>
        <cfvo type="percent" val="67"/>
      </iconSet>
    </cfRule>
    <cfRule type="iconSet" priority="1575">
      <iconSet iconSet="3Symbols">
        <cfvo type="percent" val="0"/>
        <cfvo type="percent" val="33"/>
        <cfvo type="percent" val="67"/>
      </iconSet>
    </cfRule>
  </conditionalFormatting>
  <conditionalFormatting sqref="P130:BO130">
    <cfRule type="iconSet" priority="1571">
      <iconSet iconSet="3Symbols2" showValue="0">
        <cfvo type="percent" val="0"/>
        <cfvo type="num" val="&quot;0+$Y$20&quot;"/>
        <cfvo type="num" val="1"/>
      </iconSet>
    </cfRule>
    <cfRule type="cellIs" dxfId="973" priority="1572" operator="equal">
      <formula>6</formula>
    </cfRule>
  </conditionalFormatting>
  <conditionalFormatting sqref="P130:BO130">
    <cfRule type="cellIs" dxfId="972" priority="1569" operator="equal">
      <formula>6</formula>
    </cfRule>
    <cfRule type="iconSet" priority="1570">
      <iconSet showValue="0">
        <cfvo type="percent" val="0"/>
        <cfvo type="num" val="&quot;0+$Y$20&quot;"/>
        <cfvo type="num" val="1"/>
      </iconSet>
    </cfRule>
  </conditionalFormatting>
  <conditionalFormatting sqref="P130:BO130">
    <cfRule type="iconSet" priority="1566">
      <iconSet iconSet="3Symbols2" showValue="0">
        <cfvo type="percent" val="0"/>
        <cfvo type="num" val="0"/>
        <cfvo type="num" val="6"/>
      </iconSet>
    </cfRule>
    <cfRule type="iconSet" priority="1567">
      <iconSet iconSet="3Symbols2" showValue="0">
        <cfvo type="percent" val="0"/>
        <cfvo type="num" val="&quot;0+$Y$20&quot;"/>
        <cfvo type="num" val="1"/>
      </iconSet>
    </cfRule>
    <cfRule type="cellIs" dxfId="971" priority="1568" operator="equal">
      <formula>6</formula>
    </cfRule>
  </conditionalFormatting>
  <conditionalFormatting sqref="P130:BO130">
    <cfRule type="cellIs" dxfId="970" priority="1555" operator="equal">
      <formula>5</formula>
    </cfRule>
    <cfRule type="cellIs" dxfId="969" priority="1556" operator="equal">
      <formula>4</formula>
    </cfRule>
    <cfRule type="cellIs" dxfId="968" priority="1557" operator="equal">
      <formula>3</formula>
    </cfRule>
    <cfRule type="cellIs" dxfId="967" priority="1558" operator="equal">
      <formula>5</formula>
    </cfRule>
    <cfRule type="cellIs" dxfId="966" priority="1559" operator="equal">
      <formula>4</formula>
    </cfRule>
    <cfRule type="cellIs" dxfId="965" priority="1560" operator="equal">
      <formula>3</formula>
    </cfRule>
    <cfRule type="cellIs" dxfId="964" priority="1561" operator="equal">
      <formula>2</formula>
    </cfRule>
    <cfRule type="cellIs" dxfId="963" priority="1562" operator="equal">
      <formula>1</formula>
    </cfRule>
    <cfRule type="iconSet" priority="1563">
      <iconSet iconSet="3Symbols2" showValue="0">
        <cfvo type="percent" val="0"/>
        <cfvo type="num" val="0"/>
        <cfvo type="num" val="6"/>
      </iconSet>
    </cfRule>
    <cfRule type="iconSet" priority="1564">
      <iconSet iconSet="3Symbols2" showValue="0">
        <cfvo type="percent" val="0"/>
        <cfvo type="num" val="&quot;0+$Y$20&quot;"/>
        <cfvo type="num" val="1"/>
      </iconSet>
    </cfRule>
    <cfRule type="cellIs" dxfId="962" priority="1565" operator="equal">
      <formula>6</formula>
    </cfRule>
  </conditionalFormatting>
  <conditionalFormatting sqref="P132:BO132">
    <cfRule type="cellIs" dxfId="961" priority="1552" operator="equal">
      <formula>"0-5"</formula>
    </cfRule>
    <cfRule type="iconSet" priority="1553">
      <iconSet iconSet="3Symbols" showValue="0">
        <cfvo type="percent" val="0"/>
        <cfvo type="percent" val="33"/>
        <cfvo type="percent" val="67"/>
      </iconSet>
    </cfRule>
    <cfRule type="iconSet" priority="1554">
      <iconSet iconSet="3Symbols">
        <cfvo type="percent" val="0"/>
        <cfvo type="percent" val="33"/>
        <cfvo type="percent" val="67"/>
      </iconSet>
    </cfRule>
  </conditionalFormatting>
  <conditionalFormatting sqref="P132:BO132">
    <cfRule type="iconSet" priority="1550">
      <iconSet iconSet="3Symbols2" showValue="0">
        <cfvo type="percent" val="0"/>
        <cfvo type="num" val="&quot;0+$Y$20&quot;"/>
        <cfvo type="num" val="1"/>
      </iconSet>
    </cfRule>
    <cfRule type="cellIs" dxfId="960" priority="1551" operator="equal">
      <formula>6</formula>
    </cfRule>
  </conditionalFormatting>
  <conditionalFormatting sqref="P132:BO132">
    <cfRule type="cellIs" dxfId="959" priority="1548" operator="equal">
      <formula>6</formula>
    </cfRule>
    <cfRule type="iconSet" priority="1549">
      <iconSet showValue="0">
        <cfvo type="percent" val="0"/>
        <cfvo type="num" val="&quot;0+$Y$20&quot;"/>
        <cfvo type="num" val="1"/>
      </iconSet>
    </cfRule>
  </conditionalFormatting>
  <conditionalFormatting sqref="P132:BO132">
    <cfRule type="iconSet" priority="1545">
      <iconSet iconSet="3Symbols2" showValue="0">
        <cfvo type="percent" val="0"/>
        <cfvo type="num" val="0"/>
        <cfvo type="num" val="6"/>
      </iconSet>
    </cfRule>
    <cfRule type="iconSet" priority="1546">
      <iconSet iconSet="3Symbols2" showValue="0">
        <cfvo type="percent" val="0"/>
        <cfvo type="num" val="&quot;0+$Y$20&quot;"/>
        <cfvo type="num" val="1"/>
      </iconSet>
    </cfRule>
    <cfRule type="cellIs" dxfId="958" priority="1547" operator="equal">
      <formula>6</formula>
    </cfRule>
  </conditionalFormatting>
  <conditionalFormatting sqref="P132:BO132">
    <cfRule type="cellIs" dxfId="957" priority="1534" operator="equal">
      <formula>5</formula>
    </cfRule>
    <cfRule type="cellIs" dxfId="956" priority="1535" operator="equal">
      <formula>4</formula>
    </cfRule>
    <cfRule type="cellIs" dxfId="955" priority="1536" operator="equal">
      <formula>3</formula>
    </cfRule>
    <cfRule type="cellIs" dxfId="954" priority="1537" operator="equal">
      <formula>5</formula>
    </cfRule>
    <cfRule type="cellIs" dxfId="953" priority="1538" operator="equal">
      <formula>4</formula>
    </cfRule>
    <cfRule type="cellIs" dxfId="952" priority="1539" operator="equal">
      <formula>3</formula>
    </cfRule>
    <cfRule type="cellIs" dxfId="951" priority="1540" operator="equal">
      <formula>2</formula>
    </cfRule>
    <cfRule type="cellIs" dxfId="950" priority="1541" operator="equal">
      <formula>1</formula>
    </cfRule>
    <cfRule type="iconSet" priority="1542">
      <iconSet iconSet="3Symbols2" showValue="0">
        <cfvo type="percent" val="0"/>
        <cfvo type="num" val="0"/>
        <cfvo type="num" val="6"/>
      </iconSet>
    </cfRule>
    <cfRule type="iconSet" priority="1543">
      <iconSet iconSet="3Symbols2" showValue="0">
        <cfvo type="percent" val="0"/>
        <cfvo type="num" val="&quot;0+$Y$20&quot;"/>
        <cfvo type="num" val="1"/>
      </iconSet>
    </cfRule>
    <cfRule type="cellIs" dxfId="949" priority="1544" operator="equal">
      <formula>6</formula>
    </cfRule>
  </conditionalFormatting>
  <conditionalFormatting sqref="P134:BO134">
    <cfRule type="cellIs" dxfId="948" priority="1531" operator="equal">
      <formula>"0-5"</formula>
    </cfRule>
    <cfRule type="iconSet" priority="1532">
      <iconSet iconSet="3Symbols" showValue="0">
        <cfvo type="percent" val="0"/>
        <cfvo type="percent" val="33"/>
        <cfvo type="percent" val="67"/>
      </iconSet>
    </cfRule>
    <cfRule type="iconSet" priority="1533">
      <iconSet iconSet="3Symbols">
        <cfvo type="percent" val="0"/>
        <cfvo type="percent" val="33"/>
        <cfvo type="percent" val="67"/>
      </iconSet>
    </cfRule>
  </conditionalFormatting>
  <conditionalFormatting sqref="P134:BO134">
    <cfRule type="iconSet" priority="1529">
      <iconSet iconSet="3Symbols2" showValue="0">
        <cfvo type="percent" val="0"/>
        <cfvo type="num" val="&quot;0+$Y$20&quot;"/>
        <cfvo type="num" val="1"/>
      </iconSet>
    </cfRule>
    <cfRule type="cellIs" dxfId="947" priority="1530" operator="equal">
      <formula>6</formula>
    </cfRule>
  </conditionalFormatting>
  <conditionalFormatting sqref="P134:BO134">
    <cfRule type="cellIs" dxfId="946" priority="1527" operator="equal">
      <formula>6</formula>
    </cfRule>
    <cfRule type="iconSet" priority="1528">
      <iconSet showValue="0">
        <cfvo type="percent" val="0"/>
        <cfvo type="num" val="&quot;0+$Y$20&quot;"/>
        <cfvo type="num" val="1"/>
      </iconSet>
    </cfRule>
  </conditionalFormatting>
  <conditionalFormatting sqref="P134:BO134">
    <cfRule type="iconSet" priority="1524">
      <iconSet iconSet="3Symbols2" showValue="0">
        <cfvo type="percent" val="0"/>
        <cfvo type="num" val="0"/>
        <cfvo type="num" val="6"/>
      </iconSet>
    </cfRule>
    <cfRule type="iconSet" priority="1525">
      <iconSet iconSet="3Symbols2" showValue="0">
        <cfvo type="percent" val="0"/>
        <cfvo type="num" val="&quot;0+$Y$20&quot;"/>
        <cfvo type="num" val="1"/>
      </iconSet>
    </cfRule>
    <cfRule type="cellIs" dxfId="945" priority="1526" operator="equal">
      <formula>6</formula>
    </cfRule>
  </conditionalFormatting>
  <conditionalFormatting sqref="P134:BO134">
    <cfRule type="cellIs" dxfId="944" priority="1513" operator="equal">
      <formula>5</formula>
    </cfRule>
    <cfRule type="cellIs" dxfId="943" priority="1514" operator="equal">
      <formula>4</formula>
    </cfRule>
    <cfRule type="cellIs" dxfId="942" priority="1515" operator="equal">
      <formula>3</formula>
    </cfRule>
    <cfRule type="cellIs" dxfId="941" priority="1516" operator="equal">
      <formula>5</formula>
    </cfRule>
    <cfRule type="cellIs" dxfId="940" priority="1517" operator="equal">
      <formula>4</formula>
    </cfRule>
    <cfRule type="cellIs" dxfId="939" priority="1518" operator="equal">
      <formula>3</formula>
    </cfRule>
    <cfRule type="cellIs" dxfId="938" priority="1519" operator="equal">
      <formula>2</formula>
    </cfRule>
    <cfRule type="cellIs" dxfId="937" priority="1520" operator="equal">
      <formula>1</formula>
    </cfRule>
    <cfRule type="iconSet" priority="1521">
      <iconSet iconSet="3Symbols2" showValue="0">
        <cfvo type="percent" val="0"/>
        <cfvo type="num" val="0"/>
        <cfvo type="num" val="6"/>
      </iconSet>
    </cfRule>
    <cfRule type="iconSet" priority="1522">
      <iconSet iconSet="3Symbols2" showValue="0">
        <cfvo type="percent" val="0"/>
        <cfvo type="num" val="&quot;0+$Y$20&quot;"/>
        <cfvo type="num" val="1"/>
      </iconSet>
    </cfRule>
    <cfRule type="cellIs" dxfId="936" priority="1523" operator="equal">
      <formula>6</formula>
    </cfRule>
  </conditionalFormatting>
  <conditionalFormatting sqref="P136:BO136">
    <cfRule type="cellIs" dxfId="935" priority="1510" operator="equal">
      <formula>"0-5"</formula>
    </cfRule>
    <cfRule type="iconSet" priority="1511">
      <iconSet iconSet="3Symbols" showValue="0">
        <cfvo type="percent" val="0"/>
        <cfvo type="percent" val="33"/>
        <cfvo type="percent" val="67"/>
      </iconSet>
    </cfRule>
    <cfRule type="iconSet" priority="1512">
      <iconSet iconSet="3Symbols">
        <cfvo type="percent" val="0"/>
        <cfvo type="percent" val="33"/>
        <cfvo type="percent" val="67"/>
      </iconSet>
    </cfRule>
  </conditionalFormatting>
  <conditionalFormatting sqref="P136:BO136">
    <cfRule type="iconSet" priority="1508">
      <iconSet iconSet="3Symbols2" showValue="0">
        <cfvo type="percent" val="0"/>
        <cfvo type="num" val="&quot;0+$Y$20&quot;"/>
        <cfvo type="num" val="1"/>
      </iconSet>
    </cfRule>
    <cfRule type="cellIs" dxfId="934" priority="1509" operator="equal">
      <formula>6</formula>
    </cfRule>
  </conditionalFormatting>
  <conditionalFormatting sqref="P136:BO136">
    <cfRule type="cellIs" dxfId="933" priority="1506" operator="equal">
      <formula>6</formula>
    </cfRule>
    <cfRule type="iconSet" priority="1507">
      <iconSet showValue="0">
        <cfvo type="percent" val="0"/>
        <cfvo type="num" val="&quot;0+$Y$20&quot;"/>
        <cfvo type="num" val="1"/>
      </iconSet>
    </cfRule>
  </conditionalFormatting>
  <conditionalFormatting sqref="P136:BO136">
    <cfRule type="iconSet" priority="1503">
      <iconSet iconSet="3Symbols2" showValue="0">
        <cfvo type="percent" val="0"/>
        <cfvo type="num" val="0"/>
        <cfvo type="num" val="6"/>
      </iconSet>
    </cfRule>
    <cfRule type="iconSet" priority="1504">
      <iconSet iconSet="3Symbols2" showValue="0">
        <cfvo type="percent" val="0"/>
        <cfvo type="num" val="&quot;0+$Y$20&quot;"/>
        <cfvo type="num" val="1"/>
      </iconSet>
    </cfRule>
    <cfRule type="cellIs" dxfId="932" priority="1505" operator="equal">
      <formula>6</formula>
    </cfRule>
  </conditionalFormatting>
  <conditionalFormatting sqref="P136:BO136">
    <cfRule type="cellIs" dxfId="931" priority="1492" operator="equal">
      <formula>5</formula>
    </cfRule>
    <cfRule type="cellIs" dxfId="930" priority="1493" operator="equal">
      <formula>4</formula>
    </cfRule>
    <cfRule type="cellIs" dxfId="929" priority="1494" operator="equal">
      <formula>3</formula>
    </cfRule>
    <cfRule type="cellIs" dxfId="928" priority="1495" operator="equal">
      <formula>5</formula>
    </cfRule>
    <cfRule type="cellIs" dxfId="927" priority="1496" operator="equal">
      <formula>4</formula>
    </cfRule>
    <cfRule type="cellIs" dxfId="926" priority="1497" operator="equal">
      <formula>3</formula>
    </cfRule>
    <cfRule type="cellIs" dxfId="925" priority="1498" operator="equal">
      <formula>2</formula>
    </cfRule>
    <cfRule type="cellIs" dxfId="924" priority="1499" operator="equal">
      <formula>1</formula>
    </cfRule>
    <cfRule type="iconSet" priority="1500">
      <iconSet iconSet="3Symbols2" showValue="0">
        <cfvo type="percent" val="0"/>
        <cfvo type="num" val="0"/>
        <cfvo type="num" val="6"/>
      </iconSet>
    </cfRule>
    <cfRule type="iconSet" priority="1501">
      <iconSet iconSet="3Symbols2" showValue="0">
        <cfvo type="percent" val="0"/>
        <cfvo type="num" val="&quot;0+$Y$20&quot;"/>
        <cfvo type="num" val="1"/>
      </iconSet>
    </cfRule>
    <cfRule type="cellIs" dxfId="923" priority="1502" operator="equal">
      <formula>6</formula>
    </cfRule>
  </conditionalFormatting>
  <conditionalFormatting sqref="P138:BO138">
    <cfRule type="cellIs" dxfId="922" priority="1489" operator="equal">
      <formula>"0-5"</formula>
    </cfRule>
    <cfRule type="iconSet" priority="1490">
      <iconSet iconSet="3Symbols" showValue="0">
        <cfvo type="percent" val="0"/>
        <cfvo type="percent" val="33"/>
        <cfvo type="percent" val="67"/>
      </iconSet>
    </cfRule>
    <cfRule type="iconSet" priority="1491">
      <iconSet iconSet="3Symbols">
        <cfvo type="percent" val="0"/>
        <cfvo type="percent" val="33"/>
        <cfvo type="percent" val="67"/>
      </iconSet>
    </cfRule>
  </conditionalFormatting>
  <conditionalFormatting sqref="P138:BO138">
    <cfRule type="iconSet" priority="1487">
      <iconSet iconSet="3Symbols2" showValue="0">
        <cfvo type="percent" val="0"/>
        <cfvo type="num" val="&quot;0+$Y$20&quot;"/>
        <cfvo type="num" val="1"/>
      </iconSet>
    </cfRule>
    <cfRule type="cellIs" dxfId="921" priority="1488" operator="equal">
      <formula>6</formula>
    </cfRule>
  </conditionalFormatting>
  <conditionalFormatting sqref="P138:BO138">
    <cfRule type="cellIs" dxfId="920" priority="1485" operator="equal">
      <formula>6</formula>
    </cfRule>
    <cfRule type="iconSet" priority="1486">
      <iconSet showValue="0">
        <cfvo type="percent" val="0"/>
        <cfvo type="num" val="&quot;0+$Y$20&quot;"/>
        <cfvo type="num" val="1"/>
      </iconSet>
    </cfRule>
  </conditionalFormatting>
  <conditionalFormatting sqref="P138:BO138">
    <cfRule type="iconSet" priority="1482">
      <iconSet iconSet="3Symbols2" showValue="0">
        <cfvo type="percent" val="0"/>
        <cfvo type="num" val="0"/>
        <cfvo type="num" val="6"/>
      </iconSet>
    </cfRule>
    <cfRule type="iconSet" priority="1483">
      <iconSet iconSet="3Symbols2" showValue="0">
        <cfvo type="percent" val="0"/>
        <cfvo type="num" val="&quot;0+$Y$20&quot;"/>
        <cfvo type="num" val="1"/>
      </iconSet>
    </cfRule>
    <cfRule type="cellIs" dxfId="919" priority="1484" operator="equal">
      <formula>6</formula>
    </cfRule>
  </conditionalFormatting>
  <conditionalFormatting sqref="P138:BO138">
    <cfRule type="cellIs" dxfId="918" priority="1471" operator="equal">
      <formula>5</formula>
    </cfRule>
    <cfRule type="cellIs" dxfId="917" priority="1472" operator="equal">
      <formula>4</formula>
    </cfRule>
    <cfRule type="cellIs" dxfId="916" priority="1473" operator="equal">
      <formula>3</formula>
    </cfRule>
    <cfRule type="cellIs" dxfId="915" priority="1474" operator="equal">
      <formula>5</formula>
    </cfRule>
    <cfRule type="cellIs" dxfId="914" priority="1475" operator="equal">
      <formula>4</formula>
    </cfRule>
    <cfRule type="cellIs" dxfId="913" priority="1476" operator="equal">
      <formula>3</formula>
    </cfRule>
    <cfRule type="cellIs" dxfId="912" priority="1477" operator="equal">
      <formula>2</formula>
    </cfRule>
    <cfRule type="cellIs" dxfId="911" priority="1478" operator="equal">
      <formula>1</formula>
    </cfRule>
    <cfRule type="iconSet" priority="1479">
      <iconSet iconSet="3Symbols2" showValue="0">
        <cfvo type="percent" val="0"/>
        <cfvo type="num" val="0"/>
        <cfvo type="num" val="6"/>
      </iconSet>
    </cfRule>
    <cfRule type="iconSet" priority="1480">
      <iconSet iconSet="3Symbols2" showValue="0">
        <cfvo type="percent" val="0"/>
        <cfvo type="num" val="&quot;0+$Y$20&quot;"/>
        <cfvo type="num" val="1"/>
      </iconSet>
    </cfRule>
    <cfRule type="cellIs" dxfId="910" priority="1481" operator="equal">
      <formula>6</formula>
    </cfRule>
  </conditionalFormatting>
  <conditionalFormatting sqref="P140:BO140">
    <cfRule type="cellIs" dxfId="909" priority="1468" operator="equal">
      <formula>"0-5"</formula>
    </cfRule>
    <cfRule type="iconSet" priority="1469">
      <iconSet iconSet="3Symbols" showValue="0">
        <cfvo type="percent" val="0"/>
        <cfvo type="percent" val="33"/>
        <cfvo type="percent" val="67"/>
      </iconSet>
    </cfRule>
    <cfRule type="iconSet" priority="1470">
      <iconSet iconSet="3Symbols">
        <cfvo type="percent" val="0"/>
        <cfvo type="percent" val="33"/>
        <cfvo type="percent" val="67"/>
      </iconSet>
    </cfRule>
  </conditionalFormatting>
  <conditionalFormatting sqref="P140:BO140">
    <cfRule type="iconSet" priority="1466">
      <iconSet iconSet="3Symbols2" showValue="0">
        <cfvo type="percent" val="0"/>
        <cfvo type="num" val="&quot;0+$Y$20&quot;"/>
        <cfvo type="num" val="1"/>
      </iconSet>
    </cfRule>
    <cfRule type="cellIs" dxfId="908" priority="1467" operator="equal">
      <formula>6</formula>
    </cfRule>
  </conditionalFormatting>
  <conditionalFormatting sqref="P140:BO140">
    <cfRule type="cellIs" dxfId="907" priority="1464" operator="equal">
      <formula>6</formula>
    </cfRule>
    <cfRule type="iconSet" priority="1465">
      <iconSet showValue="0">
        <cfvo type="percent" val="0"/>
        <cfvo type="num" val="&quot;0+$Y$20&quot;"/>
        <cfvo type="num" val="1"/>
      </iconSet>
    </cfRule>
  </conditionalFormatting>
  <conditionalFormatting sqref="P140:BO140">
    <cfRule type="iconSet" priority="1461">
      <iconSet iconSet="3Symbols2" showValue="0">
        <cfvo type="percent" val="0"/>
        <cfvo type="num" val="0"/>
        <cfvo type="num" val="6"/>
      </iconSet>
    </cfRule>
    <cfRule type="iconSet" priority="1462">
      <iconSet iconSet="3Symbols2" showValue="0">
        <cfvo type="percent" val="0"/>
        <cfvo type="num" val="&quot;0+$Y$20&quot;"/>
        <cfvo type="num" val="1"/>
      </iconSet>
    </cfRule>
    <cfRule type="cellIs" dxfId="906" priority="1463" operator="equal">
      <formula>6</formula>
    </cfRule>
  </conditionalFormatting>
  <conditionalFormatting sqref="P140:BO140">
    <cfRule type="cellIs" dxfId="905" priority="1450" operator="equal">
      <formula>5</formula>
    </cfRule>
    <cfRule type="cellIs" dxfId="904" priority="1451" operator="equal">
      <formula>4</formula>
    </cfRule>
    <cfRule type="cellIs" dxfId="903" priority="1452" operator="equal">
      <formula>3</formula>
    </cfRule>
    <cfRule type="cellIs" dxfId="902" priority="1453" operator="equal">
      <formula>5</formula>
    </cfRule>
    <cfRule type="cellIs" dxfId="901" priority="1454" operator="equal">
      <formula>4</formula>
    </cfRule>
    <cfRule type="cellIs" dxfId="900" priority="1455" operator="equal">
      <formula>3</formula>
    </cfRule>
    <cfRule type="cellIs" dxfId="899" priority="1456" operator="equal">
      <formula>2</formula>
    </cfRule>
    <cfRule type="cellIs" dxfId="898" priority="1457" operator="equal">
      <formula>1</formula>
    </cfRule>
    <cfRule type="iconSet" priority="1458">
      <iconSet iconSet="3Symbols2" showValue="0">
        <cfvo type="percent" val="0"/>
        <cfvo type="num" val="0"/>
        <cfvo type="num" val="6"/>
      </iconSet>
    </cfRule>
    <cfRule type="iconSet" priority="1459">
      <iconSet iconSet="3Symbols2" showValue="0">
        <cfvo type="percent" val="0"/>
        <cfvo type="num" val="&quot;0+$Y$20&quot;"/>
        <cfvo type="num" val="1"/>
      </iconSet>
    </cfRule>
    <cfRule type="cellIs" dxfId="897" priority="1460" operator="equal">
      <formula>6</formula>
    </cfRule>
  </conditionalFormatting>
  <conditionalFormatting sqref="P142:BO142">
    <cfRule type="cellIs" dxfId="896" priority="1447" operator="equal">
      <formula>"0-5"</formula>
    </cfRule>
    <cfRule type="iconSet" priority="1448">
      <iconSet iconSet="3Symbols" showValue="0">
        <cfvo type="percent" val="0"/>
        <cfvo type="percent" val="33"/>
        <cfvo type="percent" val="67"/>
      </iconSet>
    </cfRule>
    <cfRule type="iconSet" priority="1449">
      <iconSet iconSet="3Symbols">
        <cfvo type="percent" val="0"/>
        <cfvo type="percent" val="33"/>
        <cfvo type="percent" val="67"/>
      </iconSet>
    </cfRule>
  </conditionalFormatting>
  <conditionalFormatting sqref="P142:BO142">
    <cfRule type="iconSet" priority="1445">
      <iconSet iconSet="3Symbols2" showValue="0">
        <cfvo type="percent" val="0"/>
        <cfvo type="num" val="&quot;0+$Y$20&quot;"/>
        <cfvo type="num" val="1"/>
      </iconSet>
    </cfRule>
    <cfRule type="cellIs" dxfId="895" priority="1446" operator="equal">
      <formula>6</formula>
    </cfRule>
  </conditionalFormatting>
  <conditionalFormatting sqref="P142:BO142">
    <cfRule type="cellIs" dxfId="894" priority="1443" operator="equal">
      <formula>6</formula>
    </cfRule>
    <cfRule type="iconSet" priority="1444">
      <iconSet showValue="0">
        <cfvo type="percent" val="0"/>
        <cfvo type="num" val="&quot;0+$Y$20&quot;"/>
        <cfvo type="num" val="1"/>
      </iconSet>
    </cfRule>
  </conditionalFormatting>
  <conditionalFormatting sqref="P142:BO142">
    <cfRule type="iconSet" priority="1440">
      <iconSet iconSet="3Symbols2" showValue="0">
        <cfvo type="percent" val="0"/>
        <cfvo type="num" val="0"/>
        <cfvo type="num" val="6"/>
      </iconSet>
    </cfRule>
    <cfRule type="iconSet" priority="1441">
      <iconSet iconSet="3Symbols2" showValue="0">
        <cfvo type="percent" val="0"/>
        <cfvo type="num" val="&quot;0+$Y$20&quot;"/>
        <cfvo type="num" val="1"/>
      </iconSet>
    </cfRule>
    <cfRule type="cellIs" dxfId="893" priority="1442" operator="equal">
      <formula>6</formula>
    </cfRule>
  </conditionalFormatting>
  <conditionalFormatting sqref="P142:BO142">
    <cfRule type="cellIs" dxfId="892" priority="1429" operator="equal">
      <formula>5</formula>
    </cfRule>
    <cfRule type="cellIs" dxfId="891" priority="1430" operator="equal">
      <formula>4</formula>
    </cfRule>
    <cfRule type="cellIs" dxfId="890" priority="1431" operator="equal">
      <formula>3</formula>
    </cfRule>
    <cfRule type="cellIs" dxfId="889" priority="1432" operator="equal">
      <formula>5</formula>
    </cfRule>
    <cfRule type="cellIs" dxfId="888" priority="1433" operator="equal">
      <formula>4</formula>
    </cfRule>
    <cfRule type="cellIs" dxfId="887" priority="1434" operator="equal">
      <formula>3</formula>
    </cfRule>
    <cfRule type="cellIs" dxfId="886" priority="1435" operator="equal">
      <formula>2</formula>
    </cfRule>
    <cfRule type="cellIs" dxfId="885" priority="1436" operator="equal">
      <formula>1</formula>
    </cfRule>
    <cfRule type="iconSet" priority="1437">
      <iconSet iconSet="3Symbols2" showValue="0">
        <cfvo type="percent" val="0"/>
        <cfvo type="num" val="0"/>
        <cfvo type="num" val="6"/>
      </iconSet>
    </cfRule>
    <cfRule type="iconSet" priority="1438">
      <iconSet iconSet="3Symbols2" showValue="0">
        <cfvo type="percent" val="0"/>
        <cfvo type="num" val="&quot;0+$Y$20&quot;"/>
        <cfvo type="num" val="1"/>
      </iconSet>
    </cfRule>
    <cfRule type="cellIs" dxfId="884" priority="1439" operator="equal">
      <formula>6</formula>
    </cfRule>
  </conditionalFormatting>
  <conditionalFormatting sqref="P144:BO144">
    <cfRule type="cellIs" dxfId="883" priority="1426" operator="equal">
      <formula>"0-5"</formula>
    </cfRule>
    <cfRule type="iconSet" priority="1427">
      <iconSet iconSet="3Symbols" showValue="0">
        <cfvo type="percent" val="0"/>
        <cfvo type="percent" val="33"/>
        <cfvo type="percent" val="67"/>
      </iconSet>
    </cfRule>
    <cfRule type="iconSet" priority="1428">
      <iconSet iconSet="3Symbols">
        <cfvo type="percent" val="0"/>
        <cfvo type="percent" val="33"/>
        <cfvo type="percent" val="67"/>
      </iconSet>
    </cfRule>
  </conditionalFormatting>
  <conditionalFormatting sqref="P144:BO144">
    <cfRule type="iconSet" priority="1424">
      <iconSet iconSet="3Symbols2" showValue="0">
        <cfvo type="percent" val="0"/>
        <cfvo type="num" val="&quot;0+$Y$20&quot;"/>
        <cfvo type="num" val="1"/>
      </iconSet>
    </cfRule>
    <cfRule type="cellIs" dxfId="882" priority="1425" operator="equal">
      <formula>6</formula>
    </cfRule>
  </conditionalFormatting>
  <conditionalFormatting sqref="P144:BO144">
    <cfRule type="cellIs" dxfId="881" priority="1422" operator="equal">
      <formula>6</formula>
    </cfRule>
    <cfRule type="iconSet" priority="1423">
      <iconSet showValue="0">
        <cfvo type="percent" val="0"/>
        <cfvo type="num" val="&quot;0+$Y$20&quot;"/>
        <cfvo type="num" val="1"/>
      </iconSet>
    </cfRule>
  </conditionalFormatting>
  <conditionalFormatting sqref="P144:BO144">
    <cfRule type="iconSet" priority="1419">
      <iconSet iconSet="3Symbols2" showValue="0">
        <cfvo type="percent" val="0"/>
        <cfvo type="num" val="0"/>
        <cfvo type="num" val="6"/>
      </iconSet>
    </cfRule>
    <cfRule type="iconSet" priority="1420">
      <iconSet iconSet="3Symbols2" showValue="0">
        <cfvo type="percent" val="0"/>
        <cfvo type="num" val="&quot;0+$Y$20&quot;"/>
        <cfvo type="num" val="1"/>
      </iconSet>
    </cfRule>
    <cfRule type="cellIs" dxfId="880" priority="1421" operator="equal">
      <formula>6</formula>
    </cfRule>
  </conditionalFormatting>
  <conditionalFormatting sqref="P144:BO144">
    <cfRule type="cellIs" dxfId="879" priority="1408" operator="equal">
      <formula>5</formula>
    </cfRule>
    <cfRule type="cellIs" dxfId="878" priority="1409" operator="equal">
      <formula>4</formula>
    </cfRule>
    <cfRule type="cellIs" dxfId="877" priority="1410" operator="equal">
      <formula>3</formula>
    </cfRule>
    <cfRule type="cellIs" dxfId="876" priority="1411" operator="equal">
      <formula>5</formula>
    </cfRule>
    <cfRule type="cellIs" dxfId="875" priority="1412" operator="equal">
      <formula>4</formula>
    </cfRule>
    <cfRule type="cellIs" dxfId="874" priority="1413" operator="equal">
      <formula>3</formula>
    </cfRule>
    <cfRule type="cellIs" dxfId="873" priority="1414" operator="equal">
      <formula>2</formula>
    </cfRule>
    <cfRule type="cellIs" dxfId="872" priority="1415" operator="equal">
      <formula>1</formula>
    </cfRule>
    <cfRule type="iconSet" priority="1416">
      <iconSet iconSet="3Symbols2" showValue="0">
        <cfvo type="percent" val="0"/>
        <cfvo type="num" val="0"/>
        <cfvo type="num" val="6"/>
      </iconSet>
    </cfRule>
    <cfRule type="iconSet" priority="1417">
      <iconSet iconSet="3Symbols2" showValue="0">
        <cfvo type="percent" val="0"/>
        <cfvo type="num" val="&quot;0+$Y$20&quot;"/>
        <cfvo type="num" val="1"/>
      </iconSet>
    </cfRule>
    <cfRule type="cellIs" dxfId="871" priority="1418" operator="equal">
      <formula>6</formula>
    </cfRule>
  </conditionalFormatting>
  <conditionalFormatting sqref="P146:BO146">
    <cfRule type="cellIs" dxfId="870" priority="1405" operator="equal">
      <formula>"0-5"</formula>
    </cfRule>
    <cfRule type="iconSet" priority="1406">
      <iconSet iconSet="3Symbols" showValue="0">
        <cfvo type="percent" val="0"/>
        <cfvo type="percent" val="33"/>
        <cfvo type="percent" val="67"/>
      </iconSet>
    </cfRule>
    <cfRule type="iconSet" priority="1407">
      <iconSet iconSet="3Symbols">
        <cfvo type="percent" val="0"/>
        <cfvo type="percent" val="33"/>
        <cfvo type="percent" val="67"/>
      </iconSet>
    </cfRule>
  </conditionalFormatting>
  <conditionalFormatting sqref="P146:BO146">
    <cfRule type="iconSet" priority="1403">
      <iconSet iconSet="3Symbols2" showValue="0">
        <cfvo type="percent" val="0"/>
        <cfvo type="num" val="&quot;0+$Y$20&quot;"/>
        <cfvo type="num" val="1"/>
      </iconSet>
    </cfRule>
    <cfRule type="cellIs" dxfId="869" priority="1404" operator="equal">
      <formula>6</formula>
    </cfRule>
  </conditionalFormatting>
  <conditionalFormatting sqref="P146:BO146">
    <cfRule type="cellIs" dxfId="868" priority="1401" operator="equal">
      <formula>6</formula>
    </cfRule>
    <cfRule type="iconSet" priority="1402">
      <iconSet showValue="0">
        <cfvo type="percent" val="0"/>
        <cfvo type="num" val="&quot;0+$Y$20&quot;"/>
        <cfvo type="num" val="1"/>
      </iconSet>
    </cfRule>
  </conditionalFormatting>
  <conditionalFormatting sqref="P146:BO146">
    <cfRule type="iconSet" priority="1398">
      <iconSet iconSet="3Symbols2" showValue="0">
        <cfvo type="percent" val="0"/>
        <cfvo type="num" val="0"/>
        <cfvo type="num" val="6"/>
      </iconSet>
    </cfRule>
    <cfRule type="iconSet" priority="1399">
      <iconSet iconSet="3Symbols2" showValue="0">
        <cfvo type="percent" val="0"/>
        <cfvo type="num" val="&quot;0+$Y$20&quot;"/>
        <cfvo type="num" val="1"/>
      </iconSet>
    </cfRule>
    <cfRule type="cellIs" dxfId="867" priority="1400" operator="equal">
      <formula>6</formula>
    </cfRule>
  </conditionalFormatting>
  <conditionalFormatting sqref="P146:BO146">
    <cfRule type="cellIs" dxfId="866" priority="1387" operator="equal">
      <formula>5</formula>
    </cfRule>
    <cfRule type="cellIs" dxfId="865" priority="1388" operator="equal">
      <formula>4</formula>
    </cfRule>
    <cfRule type="cellIs" dxfId="864" priority="1389" operator="equal">
      <formula>3</formula>
    </cfRule>
    <cfRule type="cellIs" dxfId="863" priority="1390" operator="equal">
      <formula>5</formula>
    </cfRule>
    <cfRule type="cellIs" dxfId="862" priority="1391" operator="equal">
      <formula>4</formula>
    </cfRule>
    <cfRule type="cellIs" dxfId="861" priority="1392" operator="equal">
      <formula>3</formula>
    </cfRule>
    <cfRule type="cellIs" dxfId="860" priority="1393" operator="equal">
      <formula>2</formula>
    </cfRule>
    <cfRule type="cellIs" dxfId="859" priority="1394" operator="equal">
      <formula>1</formula>
    </cfRule>
    <cfRule type="iconSet" priority="1395">
      <iconSet iconSet="3Symbols2" showValue="0">
        <cfvo type="percent" val="0"/>
        <cfvo type="num" val="0"/>
        <cfvo type="num" val="6"/>
      </iconSet>
    </cfRule>
    <cfRule type="iconSet" priority="1396">
      <iconSet iconSet="3Symbols2" showValue="0">
        <cfvo type="percent" val="0"/>
        <cfvo type="num" val="&quot;0+$Y$20&quot;"/>
        <cfvo type="num" val="1"/>
      </iconSet>
    </cfRule>
    <cfRule type="cellIs" dxfId="858" priority="1397" operator="equal">
      <formula>6</formula>
    </cfRule>
  </conditionalFormatting>
  <conditionalFormatting sqref="P148:BO148">
    <cfRule type="cellIs" dxfId="857" priority="1384" operator="equal">
      <formula>"0-5"</formula>
    </cfRule>
    <cfRule type="iconSet" priority="1385">
      <iconSet iconSet="3Symbols" showValue="0">
        <cfvo type="percent" val="0"/>
        <cfvo type="percent" val="33"/>
        <cfvo type="percent" val="67"/>
      </iconSet>
    </cfRule>
    <cfRule type="iconSet" priority="1386">
      <iconSet iconSet="3Symbols">
        <cfvo type="percent" val="0"/>
        <cfvo type="percent" val="33"/>
        <cfvo type="percent" val="67"/>
      </iconSet>
    </cfRule>
  </conditionalFormatting>
  <conditionalFormatting sqref="P148:BO148">
    <cfRule type="iconSet" priority="1382">
      <iconSet iconSet="3Symbols2" showValue="0">
        <cfvo type="percent" val="0"/>
        <cfvo type="num" val="&quot;0+$Y$20&quot;"/>
        <cfvo type="num" val="1"/>
      </iconSet>
    </cfRule>
    <cfRule type="cellIs" dxfId="856" priority="1383" operator="equal">
      <formula>6</formula>
    </cfRule>
  </conditionalFormatting>
  <conditionalFormatting sqref="P148:BO148">
    <cfRule type="cellIs" dxfId="855" priority="1380" operator="equal">
      <formula>6</formula>
    </cfRule>
    <cfRule type="iconSet" priority="1381">
      <iconSet showValue="0">
        <cfvo type="percent" val="0"/>
        <cfvo type="num" val="&quot;0+$Y$20&quot;"/>
        <cfvo type="num" val="1"/>
      </iconSet>
    </cfRule>
  </conditionalFormatting>
  <conditionalFormatting sqref="P148:BO148">
    <cfRule type="iconSet" priority="1377">
      <iconSet iconSet="3Symbols2" showValue="0">
        <cfvo type="percent" val="0"/>
        <cfvo type="num" val="0"/>
        <cfvo type="num" val="6"/>
      </iconSet>
    </cfRule>
    <cfRule type="iconSet" priority="1378">
      <iconSet iconSet="3Symbols2" showValue="0">
        <cfvo type="percent" val="0"/>
        <cfvo type="num" val="&quot;0+$Y$20&quot;"/>
        <cfvo type="num" val="1"/>
      </iconSet>
    </cfRule>
    <cfRule type="cellIs" dxfId="854" priority="1379" operator="equal">
      <formula>6</formula>
    </cfRule>
  </conditionalFormatting>
  <conditionalFormatting sqref="P148:BO148">
    <cfRule type="cellIs" dxfId="853" priority="1366" operator="equal">
      <formula>5</formula>
    </cfRule>
    <cfRule type="cellIs" dxfId="852" priority="1367" operator="equal">
      <formula>4</formula>
    </cfRule>
    <cfRule type="cellIs" dxfId="851" priority="1368" operator="equal">
      <formula>3</formula>
    </cfRule>
    <cfRule type="cellIs" dxfId="850" priority="1369" operator="equal">
      <formula>5</formula>
    </cfRule>
    <cfRule type="cellIs" dxfId="849" priority="1370" operator="equal">
      <formula>4</formula>
    </cfRule>
    <cfRule type="cellIs" dxfId="848" priority="1371" operator="equal">
      <formula>3</formula>
    </cfRule>
    <cfRule type="cellIs" dxfId="847" priority="1372" operator="equal">
      <formula>2</formula>
    </cfRule>
    <cfRule type="cellIs" dxfId="846" priority="1373" operator="equal">
      <formula>1</formula>
    </cfRule>
    <cfRule type="iconSet" priority="1374">
      <iconSet iconSet="3Symbols2" showValue="0">
        <cfvo type="percent" val="0"/>
        <cfvo type="num" val="0"/>
        <cfvo type="num" val="6"/>
      </iconSet>
    </cfRule>
    <cfRule type="iconSet" priority="1375">
      <iconSet iconSet="3Symbols2" showValue="0">
        <cfvo type="percent" val="0"/>
        <cfvo type="num" val="&quot;0+$Y$20&quot;"/>
        <cfvo type="num" val="1"/>
      </iconSet>
    </cfRule>
    <cfRule type="cellIs" dxfId="845" priority="1376" operator="equal">
      <formula>6</formula>
    </cfRule>
  </conditionalFormatting>
  <conditionalFormatting sqref="P150:BO150">
    <cfRule type="cellIs" dxfId="844" priority="1363" operator="equal">
      <formula>"0-5"</formula>
    </cfRule>
    <cfRule type="iconSet" priority="1364">
      <iconSet iconSet="3Symbols" showValue="0">
        <cfvo type="percent" val="0"/>
        <cfvo type="percent" val="33"/>
        <cfvo type="percent" val="67"/>
      </iconSet>
    </cfRule>
    <cfRule type="iconSet" priority="1365">
      <iconSet iconSet="3Symbols">
        <cfvo type="percent" val="0"/>
        <cfvo type="percent" val="33"/>
        <cfvo type="percent" val="67"/>
      </iconSet>
    </cfRule>
  </conditionalFormatting>
  <conditionalFormatting sqref="P150:BO150">
    <cfRule type="iconSet" priority="1361">
      <iconSet iconSet="3Symbols2" showValue="0">
        <cfvo type="percent" val="0"/>
        <cfvo type="num" val="&quot;0+$Y$20&quot;"/>
        <cfvo type="num" val="1"/>
      </iconSet>
    </cfRule>
    <cfRule type="cellIs" dxfId="843" priority="1362" operator="equal">
      <formula>6</formula>
    </cfRule>
  </conditionalFormatting>
  <conditionalFormatting sqref="P150:BO150">
    <cfRule type="cellIs" dxfId="842" priority="1359" operator="equal">
      <formula>6</formula>
    </cfRule>
    <cfRule type="iconSet" priority="1360">
      <iconSet showValue="0">
        <cfvo type="percent" val="0"/>
        <cfvo type="num" val="&quot;0+$Y$20&quot;"/>
        <cfvo type="num" val="1"/>
      </iconSet>
    </cfRule>
  </conditionalFormatting>
  <conditionalFormatting sqref="P150:BO150">
    <cfRule type="iconSet" priority="1356">
      <iconSet iconSet="3Symbols2" showValue="0">
        <cfvo type="percent" val="0"/>
        <cfvo type="num" val="0"/>
        <cfvo type="num" val="6"/>
      </iconSet>
    </cfRule>
    <cfRule type="iconSet" priority="1357">
      <iconSet iconSet="3Symbols2" showValue="0">
        <cfvo type="percent" val="0"/>
        <cfvo type="num" val="&quot;0+$Y$20&quot;"/>
        <cfvo type="num" val="1"/>
      </iconSet>
    </cfRule>
    <cfRule type="cellIs" dxfId="841" priority="1358" operator="equal">
      <formula>6</formula>
    </cfRule>
  </conditionalFormatting>
  <conditionalFormatting sqref="P150:BO150">
    <cfRule type="cellIs" dxfId="840" priority="1345" operator="equal">
      <formula>5</formula>
    </cfRule>
    <cfRule type="cellIs" dxfId="839" priority="1346" operator="equal">
      <formula>4</formula>
    </cfRule>
    <cfRule type="cellIs" dxfId="838" priority="1347" operator="equal">
      <formula>3</formula>
    </cfRule>
    <cfRule type="cellIs" dxfId="837" priority="1348" operator="equal">
      <formula>5</formula>
    </cfRule>
    <cfRule type="cellIs" dxfId="836" priority="1349" operator="equal">
      <formula>4</formula>
    </cfRule>
    <cfRule type="cellIs" dxfId="835" priority="1350" operator="equal">
      <formula>3</formula>
    </cfRule>
    <cfRule type="cellIs" dxfId="834" priority="1351" operator="equal">
      <formula>2</formula>
    </cfRule>
    <cfRule type="cellIs" dxfId="833" priority="1352" operator="equal">
      <formula>1</formula>
    </cfRule>
    <cfRule type="iconSet" priority="1353">
      <iconSet iconSet="3Symbols2" showValue="0">
        <cfvo type="percent" val="0"/>
        <cfvo type="num" val="0"/>
        <cfvo type="num" val="6"/>
      </iconSet>
    </cfRule>
    <cfRule type="iconSet" priority="1354">
      <iconSet iconSet="3Symbols2" showValue="0">
        <cfvo type="percent" val="0"/>
        <cfvo type="num" val="&quot;0+$Y$20&quot;"/>
        <cfvo type="num" val="1"/>
      </iconSet>
    </cfRule>
    <cfRule type="cellIs" dxfId="832" priority="1355" operator="equal">
      <formula>6</formula>
    </cfRule>
  </conditionalFormatting>
  <conditionalFormatting sqref="P152:BO152">
    <cfRule type="cellIs" dxfId="831" priority="1342" operator="equal">
      <formula>"0-5"</formula>
    </cfRule>
    <cfRule type="iconSet" priority="1343">
      <iconSet iconSet="3Symbols" showValue="0">
        <cfvo type="percent" val="0"/>
        <cfvo type="percent" val="33"/>
        <cfvo type="percent" val="67"/>
      </iconSet>
    </cfRule>
    <cfRule type="iconSet" priority="1344">
      <iconSet iconSet="3Symbols">
        <cfvo type="percent" val="0"/>
        <cfvo type="percent" val="33"/>
        <cfvo type="percent" val="67"/>
      </iconSet>
    </cfRule>
  </conditionalFormatting>
  <conditionalFormatting sqref="P152:BO152">
    <cfRule type="iconSet" priority="1340">
      <iconSet iconSet="3Symbols2" showValue="0">
        <cfvo type="percent" val="0"/>
        <cfvo type="num" val="&quot;0+$Y$20&quot;"/>
        <cfvo type="num" val="1"/>
      </iconSet>
    </cfRule>
    <cfRule type="cellIs" dxfId="830" priority="1341" operator="equal">
      <formula>6</formula>
    </cfRule>
  </conditionalFormatting>
  <conditionalFormatting sqref="P152:BO152">
    <cfRule type="cellIs" dxfId="829" priority="1338" operator="equal">
      <formula>6</formula>
    </cfRule>
    <cfRule type="iconSet" priority="1339">
      <iconSet showValue="0">
        <cfvo type="percent" val="0"/>
        <cfvo type="num" val="&quot;0+$Y$20&quot;"/>
        <cfvo type="num" val="1"/>
      </iconSet>
    </cfRule>
  </conditionalFormatting>
  <conditionalFormatting sqref="P152:BO152">
    <cfRule type="iconSet" priority="1335">
      <iconSet iconSet="3Symbols2" showValue="0">
        <cfvo type="percent" val="0"/>
        <cfvo type="num" val="0"/>
        <cfvo type="num" val="6"/>
      </iconSet>
    </cfRule>
    <cfRule type="iconSet" priority="1336">
      <iconSet iconSet="3Symbols2" showValue="0">
        <cfvo type="percent" val="0"/>
        <cfvo type="num" val="&quot;0+$Y$20&quot;"/>
        <cfvo type="num" val="1"/>
      </iconSet>
    </cfRule>
    <cfRule type="cellIs" dxfId="828" priority="1337" operator="equal">
      <formula>6</formula>
    </cfRule>
  </conditionalFormatting>
  <conditionalFormatting sqref="P152:BO152">
    <cfRule type="cellIs" dxfId="827" priority="1324" operator="equal">
      <formula>5</formula>
    </cfRule>
    <cfRule type="cellIs" dxfId="826" priority="1325" operator="equal">
      <formula>4</formula>
    </cfRule>
    <cfRule type="cellIs" dxfId="825" priority="1326" operator="equal">
      <formula>3</formula>
    </cfRule>
    <cfRule type="cellIs" dxfId="824" priority="1327" operator="equal">
      <formula>5</formula>
    </cfRule>
    <cfRule type="cellIs" dxfId="823" priority="1328" operator="equal">
      <formula>4</formula>
    </cfRule>
    <cfRule type="cellIs" dxfId="822" priority="1329" operator="equal">
      <formula>3</formula>
    </cfRule>
    <cfRule type="cellIs" dxfId="821" priority="1330" operator="equal">
      <formula>2</formula>
    </cfRule>
    <cfRule type="cellIs" dxfId="820" priority="1331" operator="equal">
      <formula>1</formula>
    </cfRule>
    <cfRule type="iconSet" priority="1332">
      <iconSet iconSet="3Symbols2" showValue="0">
        <cfvo type="percent" val="0"/>
        <cfvo type="num" val="0"/>
        <cfvo type="num" val="6"/>
      </iconSet>
    </cfRule>
    <cfRule type="iconSet" priority="1333">
      <iconSet iconSet="3Symbols2" showValue="0">
        <cfvo type="percent" val="0"/>
        <cfvo type="num" val="&quot;0+$Y$20&quot;"/>
        <cfvo type="num" val="1"/>
      </iconSet>
    </cfRule>
    <cfRule type="cellIs" dxfId="819" priority="1334" operator="equal">
      <formula>6</formula>
    </cfRule>
  </conditionalFormatting>
  <conditionalFormatting sqref="P154:BO154">
    <cfRule type="cellIs" dxfId="818" priority="1321" operator="equal">
      <formula>"0-5"</formula>
    </cfRule>
    <cfRule type="iconSet" priority="1322">
      <iconSet iconSet="3Symbols" showValue="0">
        <cfvo type="percent" val="0"/>
        <cfvo type="percent" val="33"/>
        <cfvo type="percent" val="67"/>
      </iconSet>
    </cfRule>
    <cfRule type="iconSet" priority="1323">
      <iconSet iconSet="3Symbols">
        <cfvo type="percent" val="0"/>
        <cfvo type="percent" val="33"/>
        <cfvo type="percent" val="67"/>
      </iconSet>
    </cfRule>
  </conditionalFormatting>
  <conditionalFormatting sqref="P154:BO154">
    <cfRule type="iconSet" priority="1319">
      <iconSet iconSet="3Symbols2" showValue="0">
        <cfvo type="percent" val="0"/>
        <cfvo type="num" val="&quot;0+$Y$20&quot;"/>
        <cfvo type="num" val="1"/>
      </iconSet>
    </cfRule>
    <cfRule type="cellIs" dxfId="817" priority="1320" operator="equal">
      <formula>6</formula>
    </cfRule>
  </conditionalFormatting>
  <conditionalFormatting sqref="P154:BO154">
    <cfRule type="cellIs" dxfId="816" priority="1317" operator="equal">
      <formula>6</formula>
    </cfRule>
    <cfRule type="iconSet" priority="1318">
      <iconSet showValue="0">
        <cfvo type="percent" val="0"/>
        <cfvo type="num" val="&quot;0+$Y$20&quot;"/>
        <cfvo type="num" val="1"/>
      </iconSet>
    </cfRule>
  </conditionalFormatting>
  <conditionalFormatting sqref="P154:BO154">
    <cfRule type="iconSet" priority="1314">
      <iconSet iconSet="3Symbols2" showValue="0">
        <cfvo type="percent" val="0"/>
        <cfvo type="num" val="0"/>
        <cfvo type="num" val="6"/>
      </iconSet>
    </cfRule>
    <cfRule type="iconSet" priority="1315">
      <iconSet iconSet="3Symbols2" showValue="0">
        <cfvo type="percent" val="0"/>
        <cfvo type="num" val="&quot;0+$Y$20&quot;"/>
        <cfvo type="num" val="1"/>
      </iconSet>
    </cfRule>
    <cfRule type="cellIs" dxfId="815" priority="1316" operator="equal">
      <formula>6</formula>
    </cfRule>
  </conditionalFormatting>
  <conditionalFormatting sqref="P154:BO154">
    <cfRule type="cellIs" dxfId="814" priority="1303" operator="equal">
      <formula>5</formula>
    </cfRule>
    <cfRule type="cellIs" dxfId="813" priority="1304" operator="equal">
      <formula>4</formula>
    </cfRule>
    <cfRule type="cellIs" dxfId="812" priority="1305" operator="equal">
      <formula>3</formula>
    </cfRule>
    <cfRule type="cellIs" dxfId="811" priority="1306" operator="equal">
      <formula>5</formula>
    </cfRule>
    <cfRule type="cellIs" dxfId="810" priority="1307" operator="equal">
      <formula>4</formula>
    </cfRule>
    <cfRule type="cellIs" dxfId="809" priority="1308" operator="equal">
      <formula>3</formula>
    </cfRule>
    <cfRule type="cellIs" dxfId="808" priority="1309" operator="equal">
      <formula>2</formula>
    </cfRule>
    <cfRule type="cellIs" dxfId="807" priority="1310" operator="equal">
      <formula>1</formula>
    </cfRule>
    <cfRule type="iconSet" priority="1311">
      <iconSet iconSet="3Symbols2" showValue="0">
        <cfvo type="percent" val="0"/>
        <cfvo type="num" val="0"/>
        <cfvo type="num" val="6"/>
      </iconSet>
    </cfRule>
    <cfRule type="iconSet" priority="1312">
      <iconSet iconSet="3Symbols2" showValue="0">
        <cfvo type="percent" val="0"/>
        <cfvo type="num" val="&quot;0+$Y$20&quot;"/>
        <cfvo type="num" val="1"/>
      </iconSet>
    </cfRule>
    <cfRule type="cellIs" dxfId="806" priority="1313" operator="equal">
      <formula>6</formula>
    </cfRule>
  </conditionalFormatting>
  <conditionalFormatting sqref="P156:BO156">
    <cfRule type="cellIs" dxfId="805" priority="1300" operator="equal">
      <formula>"0-5"</formula>
    </cfRule>
    <cfRule type="iconSet" priority="1301">
      <iconSet iconSet="3Symbols" showValue="0">
        <cfvo type="percent" val="0"/>
        <cfvo type="percent" val="33"/>
        <cfvo type="percent" val="67"/>
      </iconSet>
    </cfRule>
    <cfRule type="iconSet" priority="1302">
      <iconSet iconSet="3Symbols">
        <cfvo type="percent" val="0"/>
        <cfvo type="percent" val="33"/>
        <cfvo type="percent" val="67"/>
      </iconSet>
    </cfRule>
  </conditionalFormatting>
  <conditionalFormatting sqref="P156:BO156">
    <cfRule type="iconSet" priority="1298">
      <iconSet iconSet="3Symbols2" showValue="0">
        <cfvo type="percent" val="0"/>
        <cfvo type="num" val="&quot;0+$Y$20&quot;"/>
        <cfvo type="num" val="1"/>
      </iconSet>
    </cfRule>
    <cfRule type="cellIs" dxfId="804" priority="1299" operator="equal">
      <formula>6</formula>
    </cfRule>
  </conditionalFormatting>
  <conditionalFormatting sqref="P156:BO156">
    <cfRule type="cellIs" dxfId="803" priority="1296" operator="equal">
      <formula>6</formula>
    </cfRule>
    <cfRule type="iconSet" priority="1297">
      <iconSet showValue="0">
        <cfvo type="percent" val="0"/>
        <cfvo type="num" val="&quot;0+$Y$20&quot;"/>
        <cfvo type="num" val="1"/>
      </iconSet>
    </cfRule>
  </conditionalFormatting>
  <conditionalFormatting sqref="P156:BO156">
    <cfRule type="iconSet" priority="1293">
      <iconSet iconSet="3Symbols2" showValue="0">
        <cfvo type="percent" val="0"/>
        <cfvo type="num" val="0"/>
        <cfvo type="num" val="6"/>
      </iconSet>
    </cfRule>
    <cfRule type="iconSet" priority="1294">
      <iconSet iconSet="3Symbols2" showValue="0">
        <cfvo type="percent" val="0"/>
        <cfvo type="num" val="&quot;0+$Y$20&quot;"/>
        <cfvo type="num" val="1"/>
      </iconSet>
    </cfRule>
    <cfRule type="cellIs" dxfId="802" priority="1295" operator="equal">
      <formula>6</formula>
    </cfRule>
  </conditionalFormatting>
  <conditionalFormatting sqref="P156:BO156">
    <cfRule type="cellIs" dxfId="801" priority="1282" operator="equal">
      <formula>5</formula>
    </cfRule>
    <cfRule type="cellIs" dxfId="800" priority="1283" operator="equal">
      <formula>4</formula>
    </cfRule>
    <cfRule type="cellIs" dxfId="799" priority="1284" operator="equal">
      <formula>3</formula>
    </cfRule>
    <cfRule type="cellIs" dxfId="798" priority="1285" operator="equal">
      <formula>5</formula>
    </cfRule>
    <cfRule type="cellIs" dxfId="797" priority="1286" operator="equal">
      <formula>4</formula>
    </cfRule>
    <cfRule type="cellIs" dxfId="796" priority="1287" operator="equal">
      <formula>3</formula>
    </cfRule>
    <cfRule type="cellIs" dxfId="795" priority="1288" operator="equal">
      <formula>2</formula>
    </cfRule>
    <cfRule type="cellIs" dxfId="794" priority="1289" operator="equal">
      <formula>1</formula>
    </cfRule>
    <cfRule type="iconSet" priority="1290">
      <iconSet iconSet="3Symbols2" showValue="0">
        <cfvo type="percent" val="0"/>
        <cfvo type="num" val="0"/>
        <cfvo type="num" val="6"/>
      </iconSet>
    </cfRule>
    <cfRule type="iconSet" priority="1291">
      <iconSet iconSet="3Symbols2" showValue="0">
        <cfvo type="percent" val="0"/>
        <cfvo type="num" val="&quot;0+$Y$20&quot;"/>
        <cfvo type="num" val="1"/>
      </iconSet>
    </cfRule>
    <cfRule type="cellIs" dxfId="793" priority="1292" operator="equal">
      <formula>6</formula>
    </cfRule>
  </conditionalFormatting>
  <conditionalFormatting sqref="P158:BO158">
    <cfRule type="cellIs" dxfId="792" priority="1279" operator="equal">
      <formula>"0-5"</formula>
    </cfRule>
    <cfRule type="iconSet" priority="1280">
      <iconSet iconSet="3Symbols" showValue="0">
        <cfvo type="percent" val="0"/>
        <cfvo type="percent" val="33"/>
        <cfvo type="percent" val="67"/>
      </iconSet>
    </cfRule>
    <cfRule type="iconSet" priority="1281">
      <iconSet iconSet="3Symbols">
        <cfvo type="percent" val="0"/>
        <cfvo type="percent" val="33"/>
        <cfvo type="percent" val="67"/>
      </iconSet>
    </cfRule>
  </conditionalFormatting>
  <conditionalFormatting sqref="P158:BO158">
    <cfRule type="iconSet" priority="1277">
      <iconSet iconSet="3Symbols2" showValue="0">
        <cfvo type="percent" val="0"/>
        <cfvo type="num" val="&quot;0+$Y$20&quot;"/>
        <cfvo type="num" val="1"/>
      </iconSet>
    </cfRule>
    <cfRule type="cellIs" dxfId="791" priority="1278" operator="equal">
      <formula>6</formula>
    </cfRule>
  </conditionalFormatting>
  <conditionalFormatting sqref="P158:BO158">
    <cfRule type="cellIs" dxfId="790" priority="1275" operator="equal">
      <formula>6</formula>
    </cfRule>
    <cfRule type="iconSet" priority="1276">
      <iconSet showValue="0">
        <cfvo type="percent" val="0"/>
        <cfvo type="num" val="&quot;0+$Y$20&quot;"/>
        <cfvo type="num" val="1"/>
      </iconSet>
    </cfRule>
  </conditionalFormatting>
  <conditionalFormatting sqref="P158:BO158">
    <cfRule type="iconSet" priority="1272">
      <iconSet iconSet="3Symbols2" showValue="0">
        <cfvo type="percent" val="0"/>
        <cfvo type="num" val="0"/>
        <cfvo type="num" val="6"/>
      </iconSet>
    </cfRule>
    <cfRule type="iconSet" priority="1273">
      <iconSet iconSet="3Symbols2" showValue="0">
        <cfvo type="percent" val="0"/>
        <cfvo type="num" val="&quot;0+$Y$20&quot;"/>
        <cfvo type="num" val="1"/>
      </iconSet>
    </cfRule>
    <cfRule type="cellIs" dxfId="789" priority="1274" operator="equal">
      <formula>6</formula>
    </cfRule>
  </conditionalFormatting>
  <conditionalFormatting sqref="P158:BO158">
    <cfRule type="cellIs" dxfId="788" priority="1261" operator="equal">
      <formula>5</formula>
    </cfRule>
    <cfRule type="cellIs" dxfId="787" priority="1262" operator="equal">
      <formula>4</formula>
    </cfRule>
    <cfRule type="cellIs" dxfId="786" priority="1263" operator="equal">
      <formula>3</formula>
    </cfRule>
    <cfRule type="cellIs" dxfId="785" priority="1264" operator="equal">
      <formula>5</formula>
    </cfRule>
    <cfRule type="cellIs" dxfId="784" priority="1265" operator="equal">
      <formula>4</formula>
    </cfRule>
    <cfRule type="cellIs" dxfId="783" priority="1266" operator="equal">
      <formula>3</formula>
    </cfRule>
    <cfRule type="cellIs" dxfId="782" priority="1267" operator="equal">
      <formula>2</formula>
    </cfRule>
    <cfRule type="cellIs" dxfId="781" priority="1268" operator="equal">
      <formula>1</formula>
    </cfRule>
    <cfRule type="iconSet" priority="1269">
      <iconSet iconSet="3Symbols2" showValue="0">
        <cfvo type="percent" val="0"/>
        <cfvo type="num" val="0"/>
        <cfvo type="num" val="6"/>
      </iconSet>
    </cfRule>
    <cfRule type="iconSet" priority="1270">
      <iconSet iconSet="3Symbols2" showValue="0">
        <cfvo type="percent" val="0"/>
        <cfvo type="num" val="&quot;0+$Y$20&quot;"/>
        <cfvo type="num" val="1"/>
      </iconSet>
    </cfRule>
    <cfRule type="cellIs" dxfId="780" priority="1271" operator="equal">
      <formula>6</formula>
    </cfRule>
  </conditionalFormatting>
  <conditionalFormatting sqref="P160:BO160">
    <cfRule type="cellIs" dxfId="779" priority="1258" operator="equal">
      <formula>"0-5"</formula>
    </cfRule>
    <cfRule type="iconSet" priority="1259">
      <iconSet iconSet="3Symbols" showValue="0">
        <cfvo type="percent" val="0"/>
        <cfvo type="percent" val="33"/>
        <cfvo type="percent" val="67"/>
      </iconSet>
    </cfRule>
    <cfRule type="iconSet" priority="1260">
      <iconSet iconSet="3Symbols">
        <cfvo type="percent" val="0"/>
        <cfvo type="percent" val="33"/>
        <cfvo type="percent" val="67"/>
      </iconSet>
    </cfRule>
  </conditionalFormatting>
  <conditionalFormatting sqref="P160:BO160">
    <cfRule type="iconSet" priority="1256">
      <iconSet iconSet="3Symbols2" showValue="0">
        <cfvo type="percent" val="0"/>
        <cfvo type="num" val="&quot;0+$Y$20&quot;"/>
        <cfvo type="num" val="1"/>
      </iconSet>
    </cfRule>
    <cfRule type="cellIs" dxfId="778" priority="1257" operator="equal">
      <formula>6</formula>
    </cfRule>
  </conditionalFormatting>
  <conditionalFormatting sqref="P160:BO160">
    <cfRule type="cellIs" dxfId="777" priority="1254" operator="equal">
      <formula>6</formula>
    </cfRule>
    <cfRule type="iconSet" priority="1255">
      <iconSet showValue="0">
        <cfvo type="percent" val="0"/>
        <cfvo type="num" val="&quot;0+$Y$20&quot;"/>
        <cfvo type="num" val="1"/>
      </iconSet>
    </cfRule>
  </conditionalFormatting>
  <conditionalFormatting sqref="P160:BO160">
    <cfRule type="iconSet" priority="1251">
      <iconSet iconSet="3Symbols2" showValue="0">
        <cfvo type="percent" val="0"/>
        <cfvo type="num" val="0"/>
        <cfvo type="num" val="6"/>
      </iconSet>
    </cfRule>
    <cfRule type="iconSet" priority="1252">
      <iconSet iconSet="3Symbols2" showValue="0">
        <cfvo type="percent" val="0"/>
        <cfvo type="num" val="&quot;0+$Y$20&quot;"/>
        <cfvo type="num" val="1"/>
      </iconSet>
    </cfRule>
    <cfRule type="cellIs" dxfId="776" priority="1253" operator="equal">
      <formula>6</formula>
    </cfRule>
  </conditionalFormatting>
  <conditionalFormatting sqref="P160:BO160">
    <cfRule type="cellIs" dxfId="775" priority="1240" operator="equal">
      <formula>5</formula>
    </cfRule>
    <cfRule type="cellIs" dxfId="774" priority="1241" operator="equal">
      <formula>4</formula>
    </cfRule>
    <cfRule type="cellIs" dxfId="773" priority="1242" operator="equal">
      <formula>3</formula>
    </cfRule>
    <cfRule type="cellIs" dxfId="772" priority="1243" operator="equal">
      <formula>5</formula>
    </cfRule>
    <cfRule type="cellIs" dxfId="771" priority="1244" operator="equal">
      <formula>4</formula>
    </cfRule>
    <cfRule type="cellIs" dxfId="770" priority="1245" operator="equal">
      <formula>3</formula>
    </cfRule>
    <cfRule type="cellIs" dxfId="769" priority="1246" operator="equal">
      <formula>2</formula>
    </cfRule>
    <cfRule type="cellIs" dxfId="768" priority="1247" operator="equal">
      <formula>1</formula>
    </cfRule>
    <cfRule type="iconSet" priority="1248">
      <iconSet iconSet="3Symbols2" showValue="0">
        <cfvo type="percent" val="0"/>
        <cfvo type="num" val="0"/>
        <cfvo type="num" val="6"/>
      </iconSet>
    </cfRule>
    <cfRule type="iconSet" priority="1249">
      <iconSet iconSet="3Symbols2" showValue="0">
        <cfvo type="percent" val="0"/>
        <cfvo type="num" val="&quot;0+$Y$20&quot;"/>
        <cfvo type="num" val="1"/>
      </iconSet>
    </cfRule>
    <cfRule type="cellIs" dxfId="767" priority="1250" operator="equal">
      <formula>6</formula>
    </cfRule>
  </conditionalFormatting>
  <conditionalFormatting sqref="P162:BO162">
    <cfRule type="cellIs" dxfId="766" priority="1237" operator="equal">
      <formula>"0-5"</formula>
    </cfRule>
    <cfRule type="iconSet" priority="1238">
      <iconSet iconSet="3Symbols" showValue="0">
        <cfvo type="percent" val="0"/>
        <cfvo type="percent" val="33"/>
        <cfvo type="percent" val="67"/>
      </iconSet>
    </cfRule>
    <cfRule type="iconSet" priority="1239">
      <iconSet iconSet="3Symbols">
        <cfvo type="percent" val="0"/>
        <cfvo type="percent" val="33"/>
        <cfvo type="percent" val="67"/>
      </iconSet>
    </cfRule>
  </conditionalFormatting>
  <conditionalFormatting sqref="P162:BO162">
    <cfRule type="iconSet" priority="1235">
      <iconSet iconSet="3Symbols2" showValue="0">
        <cfvo type="percent" val="0"/>
        <cfvo type="num" val="&quot;0+$Y$20&quot;"/>
        <cfvo type="num" val="1"/>
      </iconSet>
    </cfRule>
    <cfRule type="cellIs" dxfId="765" priority="1236" operator="equal">
      <formula>6</formula>
    </cfRule>
  </conditionalFormatting>
  <conditionalFormatting sqref="P162:BO162">
    <cfRule type="cellIs" dxfId="764" priority="1233" operator="equal">
      <formula>6</formula>
    </cfRule>
    <cfRule type="iconSet" priority="1234">
      <iconSet showValue="0">
        <cfvo type="percent" val="0"/>
        <cfvo type="num" val="&quot;0+$Y$20&quot;"/>
        <cfvo type="num" val="1"/>
      </iconSet>
    </cfRule>
  </conditionalFormatting>
  <conditionalFormatting sqref="P162:BO162">
    <cfRule type="iconSet" priority="1230">
      <iconSet iconSet="3Symbols2" showValue="0">
        <cfvo type="percent" val="0"/>
        <cfvo type="num" val="0"/>
        <cfvo type="num" val="6"/>
      </iconSet>
    </cfRule>
    <cfRule type="iconSet" priority="1231">
      <iconSet iconSet="3Symbols2" showValue="0">
        <cfvo type="percent" val="0"/>
        <cfvo type="num" val="&quot;0+$Y$20&quot;"/>
        <cfvo type="num" val="1"/>
      </iconSet>
    </cfRule>
    <cfRule type="cellIs" dxfId="763" priority="1232" operator="equal">
      <formula>6</formula>
    </cfRule>
  </conditionalFormatting>
  <conditionalFormatting sqref="P162:BO162">
    <cfRule type="cellIs" dxfId="762" priority="1219" operator="equal">
      <formula>5</formula>
    </cfRule>
    <cfRule type="cellIs" dxfId="761" priority="1220" operator="equal">
      <formula>4</formula>
    </cfRule>
    <cfRule type="cellIs" dxfId="760" priority="1221" operator="equal">
      <formula>3</formula>
    </cfRule>
    <cfRule type="cellIs" dxfId="759" priority="1222" operator="equal">
      <formula>5</formula>
    </cfRule>
    <cfRule type="cellIs" dxfId="758" priority="1223" operator="equal">
      <formula>4</formula>
    </cfRule>
    <cfRule type="cellIs" dxfId="757" priority="1224" operator="equal">
      <formula>3</formula>
    </cfRule>
    <cfRule type="cellIs" dxfId="756" priority="1225" operator="equal">
      <formula>2</formula>
    </cfRule>
    <cfRule type="cellIs" dxfId="755" priority="1226" operator="equal">
      <formula>1</formula>
    </cfRule>
    <cfRule type="iconSet" priority="1227">
      <iconSet iconSet="3Symbols2" showValue="0">
        <cfvo type="percent" val="0"/>
        <cfvo type="num" val="0"/>
        <cfvo type="num" val="6"/>
      </iconSet>
    </cfRule>
    <cfRule type="iconSet" priority="1228">
      <iconSet iconSet="3Symbols2" showValue="0">
        <cfvo type="percent" val="0"/>
        <cfvo type="num" val="&quot;0+$Y$20&quot;"/>
        <cfvo type="num" val="1"/>
      </iconSet>
    </cfRule>
    <cfRule type="cellIs" dxfId="754" priority="1229" operator="equal">
      <formula>6</formula>
    </cfRule>
  </conditionalFormatting>
  <conditionalFormatting sqref="P164:BO164">
    <cfRule type="cellIs" dxfId="753" priority="1216" operator="equal">
      <formula>"0-5"</formula>
    </cfRule>
    <cfRule type="iconSet" priority="1217">
      <iconSet iconSet="3Symbols" showValue="0">
        <cfvo type="percent" val="0"/>
        <cfvo type="percent" val="33"/>
        <cfvo type="percent" val="67"/>
      </iconSet>
    </cfRule>
    <cfRule type="iconSet" priority="1218">
      <iconSet iconSet="3Symbols">
        <cfvo type="percent" val="0"/>
        <cfvo type="percent" val="33"/>
        <cfvo type="percent" val="67"/>
      </iconSet>
    </cfRule>
  </conditionalFormatting>
  <conditionalFormatting sqref="P164:BO164">
    <cfRule type="iconSet" priority="1214">
      <iconSet iconSet="3Symbols2" showValue="0">
        <cfvo type="percent" val="0"/>
        <cfvo type="num" val="&quot;0+$Y$20&quot;"/>
        <cfvo type="num" val="1"/>
      </iconSet>
    </cfRule>
    <cfRule type="cellIs" dxfId="752" priority="1215" operator="equal">
      <formula>6</formula>
    </cfRule>
  </conditionalFormatting>
  <conditionalFormatting sqref="P164:BO164">
    <cfRule type="cellIs" dxfId="751" priority="1212" operator="equal">
      <formula>6</formula>
    </cfRule>
    <cfRule type="iconSet" priority="1213">
      <iconSet showValue="0">
        <cfvo type="percent" val="0"/>
        <cfvo type="num" val="&quot;0+$Y$20&quot;"/>
        <cfvo type="num" val="1"/>
      </iconSet>
    </cfRule>
  </conditionalFormatting>
  <conditionalFormatting sqref="P164:BO164">
    <cfRule type="iconSet" priority="1209">
      <iconSet iconSet="3Symbols2" showValue="0">
        <cfvo type="percent" val="0"/>
        <cfvo type="num" val="0"/>
        <cfvo type="num" val="6"/>
      </iconSet>
    </cfRule>
    <cfRule type="iconSet" priority="1210">
      <iconSet iconSet="3Symbols2" showValue="0">
        <cfvo type="percent" val="0"/>
        <cfvo type="num" val="&quot;0+$Y$20&quot;"/>
        <cfvo type="num" val="1"/>
      </iconSet>
    </cfRule>
    <cfRule type="cellIs" dxfId="750" priority="1211" operator="equal">
      <formula>6</formula>
    </cfRule>
  </conditionalFormatting>
  <conditionalFormatting sqref="P164:BO164">
    <cfRule type="cellIs" dxfId="749" priority="1198" operator="equal">
      <formula>5</formula>
    </cfRule>
    <cfRule type="cellIs" dxfId="748" priority="1199" operator="equal">
      <formula>4</formula>
    </cfRule>
    <cfRule type="cellIs" dxfId="747" priority="1200" operator="equal">
      <formula>3</formula>
    </cfRule>
    <cfRule type="cellIs" dxfId="746" priority="1201" operator="equal">
      <formula>5</formula>
    </cfRule>
    <cfRule type="cellIs" dxfId="745" priority="1202" operator="equal">
      <formula>4</formula>
    </cfRule>
    <cfRule type="cellIs" dxfId="744" priority="1203" operator="equal">
      <formula>3</formula>
    </cfRule>
    <cfRule type="cellIs" dxfId="743" priority="1204" operator="equal">
      <formula>2</formula>
    </cfRule>
    <cfRule type="cellIs" dxfId="742" priority="1205" operator="equal">
      <formula>1</formula>
    </cfRule>
    <cfRule type="iconSet" priority="1206">
      <iconSet iconSet="3Symbols2" showValue="0">
        <cfvo type="percent" val="0"/>
        <cfvo type="num" val="0"/>
        <cfvo type="num" val="6"/>
      </iconSet>
    </cfRule>
    <cfRule type="iconSet" priority="1207">
      <iconSet iconSet="3Symbols2" showValue="0">
        <cfvo type="percent" val="0"/>
        <cfvo type="num" val="&quot;0+$Y$20&quot;"/>
        <cfvo type="num" val="1"/>
      </iconSet>
    </cfRule>
    <cfRule type="cellIs" dxfId="741" priority="1208" operator="equal">
      <formula>6</formula>
    </cfRule>
  </conditionalFormatting>
  <conditionalFormatting sqref="P166:BO166">
    <cfRule type="cellIs" dxfId="740" priority="1195" operator="equal">
      <formula>"0-5"</formula>
    </cfRule>
    <cfRule type="iconSet" priority="1196">
      <iconSet iconSet="3Symbols" showValue="0">
        <cfvo type="percent" val="0"/>
        <cfvo type="percent" val="33"/>
        <cfvo type="percent" val="67"/>
      </iconSet>
    </cfRule>
    <cfRule type="iconSet" priority="1197">
      <iconSet iconSet="3Symbols">
        <cfvo type="percent" val="0"/>
        <cfvo type="percent" val="33"/>
        <cfvo type="percent" val="67"/>
      </iconSet>
    </cfRule>
  </conditionalFormatting>
  <conditionalFormatting sqref="P166:BO166">
    <cfRule type="iconSet" priority="1193">
      <iconSet iconSet="3Symbols2" showValue="0">
        <cfvo type="percent" val="0"/>
        <cfvo type="num" val="&quot;0+$Y$20&quot;"/>
        <cfvo type="num" val="1"/>
      </iconSet>
    </cfRule>
    <cfRule type="cellIs" dxfId="739" priority="1194" operator="equal">
      <formula>6</formula>
    </cfRule>
  </conditionalFormatting>
  <conditionalFormatting sqref="P166:BO166">
    <cfRule type="cellIs" dxfId="738" priority="1191" operator="equal">
      <formula>6</formula>
    </cfRule>
    <cfRule type="iconSet" priority="1192">
      <iconSet showValue="0">
        <cfvo type="percent" val="0"/>
        <cfvo type="num" val="&quot;0+$Y$20&quot;"/>
        <cfvo type="num" val="1"/>
      </iconSet>
    </cfRule>
  </conditionalFormatting>
  <conditionalFormatting sqref="P166:BO166">
    <cfRule type="iconSet" priority="1188">
      <iconSet iconSet="3Symbols2" showValue="0">
        <cfvo type="percent" val="0"/>
        <cfvo type="num" val="0"/>
        <cfvo type="num" val="6"/>
      </iconSet>
    </cfRule>
    <cfRule type="iconSet" priority="1189">
      <iconSet iconSet="3Symbols2" showValue="0">
        <cfvo type="percent" val="0"/>
        <cfvo type="num" val="&quot;0+$Y$20&quot;"/>
        <cfvo type="num" val="1"/>
      </iconSet>
    </cfRule>
    <cfRule type="cellIs" dxfId="737" priority="1190" operator="equal">
      <formula>6</formula>
    </cfRule>
  </conditionalFormatting>
  <conditionalFormatting sqref="P166:BO166">
    <cfRule type="cellIs" dxfId="736" priority="1177" operator="equal">
      <formula>5</formula>
    </cfRule>
    <cfRule type="cellIs" dxfId="735" priority="1178" operator="equal">
      <formula>4</formula>
    </cfRule>
    <cfRule type="cellIs" dxfId="734" priority="1179" operator="equal">
      <formula>3</formula>
    </cfRule>
    <cfRule type="cellIs" dxfId="733" priority="1180" operator="equal">
      <formula>5</formula>
    </cfRule>
    <cfRule type="cellIs" dxfId="732" priority="1181" operator="equal">
      <formula>4</formula>
    </cfRule>
    <cfRule type="cellIs" dxfId="731" priority="1182" operator="equal">
      <formula>3</formula>
    </cfRule>
    <cfRule type="cellIs" dxfId="730" priority="1183" operator="equal">
      <formula>2</formula>
    </cfRule>
    <cfRule type="cellIs" dxfId="729" priority="1184" operator="equal">
      <formula>1</formula>
    </cfRule>
    <cfRule type="iconSet" priority="1185">
      <iconSet iconSet="3Symbols2" showValue="0">
        <cfvo type="percent" val="0"/>
        <cfvo type="num" val="0"/>
        <cfvo type="num" val="6"/>
      </iconSet>
    </cfRule>
    <cfRule type="iconSet" priority="1186">
      <iconSet iconSet="3Symbols2" showValue="0">
        <cfvo type="percent" val="0"/>
        <cfvo type="num" val="&quot;0+$Y$20&quot;"/>
        <cfvo type="num" val="1"/>
      </iconSet>
    </cfRule>
    <cfRule type="cellIs" dxfId="728" priority="1187" operator="equal">
      <formula>6</formula>
    </cfRule>
  </conditionalFormatting>
  <conditionalFormatting sqref="P168:BO168">
    <cfRule type="cellIs" dxfId="727" priority="1174" operator="equal">
      <formula>"0-5"</formula>
    </cfRule>
    <cfRule type="iconSet" priority="1175">
      <iconSet iconSet="3Symbols" showValue="0">
        <cfvo type="percent" val="0"/>
        <cfvo type="percent" val="33"/>
        <cfvo type="percent" val="67"/>
      </iconSet>
    </cfRule>
    <cfRule type="iconSet" priority="1176">
      <iconSet iconSet="3Symbols">
        <cfvo type="percent" val="0"/>
        <cfvo type="percent" val="33"/>
        <cfvo type="percent" val="67"/>
      </iconSet>
    </cfRule>
  </conditionalFormatting>
  <conditionalFormatting sqref="P168:BO168">
    <cfRule type="iconSet" priority="1172">
      <iconSet iconSet="3Symbols2" showValue="0">
        <cfvo type="percent" val="0"/>
        <cfvo type="num" val="&quot;0+$Y$20&quot;"/>
        <cfvo type="num" val="1"/>
      </iconSet>
    </cfRule>
    <cfRule type="cellIs" dxfId="726" priority="1173" operator="equal">
      <formula>6</formula>
    </cfRule>
  </conditionalFormatting>
  <conditionalFormatting sqref="P168:BO168">
    <cfRule type="cellIs" dxfId="725" priority="1170" operator="equal">
      <formula>6</formula>
    </cfRule>
    <cfRule type="iconSet" priority="1171">
      <iconSet showValue="0">
        <cfvo type="percent" val="0"/>
        <cfvo type="num" val="&quot;0+$Y$20&quot;"/>
        <cfvo type="num" val="1"/>
      </iconSet>
    </cfRule>
  </conditionalFormatting>
  <conditionalFormatting sqref="P168:BO168">
    <cfRule type="iconSet" priority="1167">
      <iconSet iconSet="3Symbols2" showValue="0">
        <cfvo type="percent" val="0"/>
        <cfvo type="num" val="0"/>
        <cfvo type="num" val="6"/>
      </iconSet>
    </cfRule>
    <cfRule type="iconSet" priority="1168">
      <iconSet iconSet="3Symbols2" showValue="0">
        <cfvo type="percent" val="0"/>
        <cfvo type="num" val="&quot;0+$Y$20&quot;"/>
        <cfvo type="num" val="1"/>
      </iconSet>
    </cfRule>
    <cfRule type="cellIs" dxfId="724" priority="1169" operator="equal">
      <formula>6</formula>
    </cfRule>
  </conditionalFormatting>
  <conditionalFormatting sqref="P168:BO168">
    <cfRule type="cellIs" dxfId="723" priority="1156" operator="equal">
      <formula>5</formula>
    </cfRule>
    <cfRule type="cellIs" dxfId="722" priority="1157" operator="equal">
      <formula>4</formula>
    </cfRule>
    <cfRule type="cellIs" dxfId="721" priority="1158" operator="equal">
      <formula>3</formula>
    </cfRule>
    <cfRule type="cellIs" dxfId="720" priority="1159" operator="equal">
      <formula>5</formula>
    </cfRule>
    <cfRule type="cellIs" dxfId="719" priority="1160" operator="equal">
      <formula>4</formula>
    </cfRule>
    <cfRule type="cellIs" dxfId="718" priority="1161" operator="equal">
      <formula>3</formula>
    </cfRule>
    <cfRule type="cellIs" dxfId="717" priority="1162" operator="equal">
      <formula>2</formula>
    </cfRule>
    <cfRule type="cellIs" dxfId="716" priority="1163" operator="equal">
      <formula>1</formula>
    </cfRule>
    <cfRule type="iconSet" priority="1164">
      <iconSet iconSet="3Symbols2" showValue="0">
        <cfvo type="percent" val="0"/>
        <cfvo type="num" val="0"/>
        <cfvo type="num" val="6"/>
      </iconSet>
    </cfRule>
    <cfRule type="iconSet" priority="1165">
      <iconSet iconSet="3Symbols2" showValue="0">
        <cfvo type="percent" val="0"/>
        <cfvo type="num" val="&quot;0+$Y$20&quot;"/>
        <cfvo type="num" val="1"/>
      </iconSet>
    </cfRule>
    <cfRule type="cellIs" dxfId="715" priority="1166" operator="equal">
      <formula>6</formula>
    </cfRule>
  </conditionalFormatting>
  <conditionalFormatting sqref="P170:BO170">
    <cfRule type="cellIs" dxfId="714" priority="1153" operator="equal">
      <formula>"0-5"</formula>
    </cfRule>
    <cfRule type="iconSet" priority="1154">
      <iconSet iconSet="3Symbols" showValue="0">
        <cfvo type="percent" val="0"/>
        <cfvo type="percent" val="33"/>
        <cfvo type="percent" val="67"/>
      </iconSet>
    </cfRule>
    <cfRule type="iconSet" priority="1155">
      <iconSet iconSet="3Symbols">
        <cfvo type="percent" val="0"/>
        <cfvo type="percent" val="33"/>
        <cfvo type="percent" val="67"/>
      </iconSet>
    </cfRule>
  </conditionalFormatting>
  <conditionalFormatting sqref="P170:BO170">
    <cfRule type="iconSet" priority="1151">
      <iconSet iconSet="3Symbols2" showValue="0">
        <cfvo type="percent" val="0"/>
        <cfvo type="num" val="&quot;0+$Y$20&quot;"/>
        <cfvo type="num" val="1"/>
      </iconSet>
    </cfRule>
    <cfRule type="cellIs" dxfId="713" priority="1152" operator="equal">
      <formula>6</formula>
    </cfRule>
  </conditionalFormatting>
  <conditionalFormatting sqref="P170:BO170">
    <cfRule type="cellIs" dxfId="712" priority="1149" operator="equal">
      <formula>6</formula>
    </cfRule>
    <cfRule type="iconSet" priority="1150">
      <iconSet showValue="0">
        <cfvo type="percent" val="0"/>
        <cfvo type="num" val="&quot;0+$Y$20&quot;"/>
        <cfvo type="num" val="1"/>
      </iconSet>
    </cfRule>
  </conditionalFormatting>
  <conditionalFormatting sqref="P170:BO170">
    <cfRule type="iconSet" priority="1146">
      <iconSet iconSet="3Symbols2" showValue="0">
        <cfvo type="percent" val="0"/>
        <cfvo type="num" val="0"/>
        <cfvo type="num" val="6"/>
      </iconSet>
    </cfRule>
    <cfRule type="iconSet" priority="1147">
      <iconSet iconSet="3Symbols2" showValue="0">
        <cfvo type="percent" val="0"/>
        <cfvo type="num" val="&quot;0+$Y$20&quot;"/>
        <cfvo type="num" val="1"/>
      </iconSet>
    </cfRule>
    <cfRule type="cellIs" dxfId="711" priority="1148" operator="equal">
      <formula>6</formula>
    </cfRule>
  </conditionalFormatting>
  <conditionalFormatting sqref="P170:BO170">
    <cfRule type="cellIs" dxfId="710" priority="1135" operator="equal">
      <formula>5</formula>
    </cfRule>
    <cfRule type="cellIs" dxfId="709" priority="1136" operator="equal">
      <formula>4</formula>
    </cfRule>
    <cfRule type="cellIs" dxfId="708" priority="1137" operator="equal">
      <formula>3</formula>
    </cfRule>
    <cfRule type="cellIs" dxfId="707" priority="1138" operator="equal">
      <formula>5</formula>
    </cfRule>
    <cfRule type="cellIs" dxfId="706" priority="1139" operator="equal">
      <formula>4</formula>
    </cfRule>
    <cfRule type="cellIs" dxfId="705" priority="1140" operator="equal">
      <formula>3</formula>
    </cfRule>
    <cfRule type="cellIs" dxfId="704" priority="1141" operator="equal">
      <formula>2</formula>
    </cfRule>
    <cfRule type="cellIs" dxfId="703" priority="1142" operator="equal">
      <formula>1</formula>
    </cfRule>
    <cfRule type="iconSet" priority="1143">
      <iconSet iconSet="3Symbols2" showValue="0">
        <cfvo type="percent" val="0"/>
        <cfvo type="num" val="0"/>
        <cfvo type="num" val="6"/>
      </iconSet>
    </cfRule>
    <cfRule type="iconSet" priority="1144">
      <iconSet iconSet="3Symbols2" showValue="0">
        <cfvo type="percent" val="0"/>
        <cfvo type="num" val="&quot;0+$Y$20&quot;"/>
        <cfvo type="num" val="1"/>
      </iconSet>
    </cfRule>
    <cfRule type="cellIs" dxfId="702" priority="1145" operator="equal">
      <formula>6</formula>
    </cfRule>
  </conditionalFormatting>
  <conditionalFormatting sqref="P172:BO172">
    <cfRule type="cellIs" dxfId="701" priority="1132" operator="equal">
      <formula>"0-5"</formula>
    </cfRule>
    <cfRule type="iconSet" priority="1133">
      <iconSet iconSet="3Symbols" showValue="0">
        <cfvo type="percent" val="0"/>
        <cfvo type="percent" val="33"/>
        <cfvo type="percent" val="67"/>
      </iconSet>
    </cfRule>
    <cfRule type="iconSet" priority="1134">
      <iconSet iconSet="3Symbols">
        <cfvo type="percent" val="0"/>
        <cfvo type="percent" val="33"/>
        <cfvo type="percent" val="67"/>
      </iconSet>
    </cfRule>
  </conditionalFormatting>
  <conditionalFormatting sqref="P172:BO172">
    <cfRule type="iconSet" priority="1130">
      <iconSet iconSet="3Symbols2" showValue="0">
        <cfvo type="percent" val="0"/>
        <cfvo type="num" val="&quot;0+$Y$20&quot;"/>
        <cfvo type="num" val="1"/>
      </iconSet>
    </cfRule>
    <cfRule type="cellIs" dxfId="700" priority="1131" operator="equal">
      <formula>6</formula>
    </cfRule>
  </conditionalFormatting>
  <conditionalFormatting sqref="P172:BO172">
    <cfRule type="cellIs" dxfId="699" priority="1128" operator="equal">
      <formula>6</formula>
    </cfRule>
    <cfRule type="iconSet" priority="1129">
      <iconSet showValue="0">
        <cfvo type="percent" val="0"/>
        <cfvo type="num" val="&quot;0+$Y$20&quot;"/>
        <cfvo type="num" val="1"/>
      </iconSet>
    </cfRule>
  </conditionalFormatting>
  <conditionalFormatting sqref="P172:BO172">
    <cfRule type="iconSet" priority="1125">
      <iconSet iconSet="3Symbols2" showValue="0">
        <cfvo type="percent" val="0"/>
        <cfvo type="num" val="0"/>
        <cfvo type="num" val="6"/>
      </iconSet>
    </cfRule>
    <cfRule type="iconSet" priority="1126">
      <iconSet iconSet="3Symbols2" showValue="0">
        <cfvo type="percent" val="0"/>
        <cfvo type="num" val="&quot;0+$Y$20&quot;"/>
        <cfvo type="num" val="1"/>
      </iconSet>
    </cfRule>
    <cfRule type="cellIs" dxfId="698" priority="1127" operator="equal">
      <formula>6</formula>
    </cfRule>
  </conditionalFormatting>
  <conditionalFormatting sqref="P172:BO172">
    <cfRule type="cellIs" dxfId="697" priority="1114" operator="equal">
      <formula>5</formula>
    </cfRule>
    <cfRule type="cellIs" dxfId="696" priority="1115" operator="equal">
      <formula>4</formula>
    </cfRule>
    <cfRule type="cellIs" dxfId="695" priority="1116" operator="equal">
      <formula>3</formula>
    </cfRule>
    <cfRule type="cellIs" dxfId="694" priority="1117" operator="equal">
      <formula>5</formula>
    </cfRule>
    <cfRule type="cellIs" dxfId="693" priority="1118" operator="equal">
      <formula>4</formula>
    </cfRule>
    <cfRule type="cellIs" dxfId="692" priority="1119" operator="equal">
      <formula>3</formula>
    </cfRule>
    <cfRule type="cellIs" dxfId="691" priority="1120" operator="equal">
      <formula>2</formula>
    </cfRule>
    <cfRule type="cellIs" dxfId="690" priority="1121" operator="equal">
      <formula>1</formula>
    </cfRule>
    <cfRule type="iconSet" priority="1122">
      <iconSet iconSet="3Symbols2" showValue="0">
        <cfvo type="percent" val="0"/>
        <cfvo type="num" val="0"/>
        <cfvo type="num" val="6"/>
      </iconSet>
    </cfRule>
    <cfRule type="iconSet" priority="1123">
      <iconSet iconSet="3Symbols2" showValue="0">
        <cfvo type="percent" val="0"/>
        <cfvo type="num" val="&quot;0+$Y$20&quot;"/>
        <cfvo type="num" val="1"/>
      </iconSet>
    </cfRule>
    <cfRule type="cellIs" dxfId="689" priority="1124" operator="equal">
      <formula>6</formula>
    </cfRule>
  </conditionalFormatting>
  <conditionalFormatting sqref="P174:BO174">
    <cfRule type="cellIs" dxfId="688" priority="1111" operator="equal">
      <formula>"0-5"</formula>
    </cfRule>
    <cfRule type="iconSet" priority="1112">
      <iconSet iconSet="3Symbols" showValue="0">
        <cfvo type="percent" val="0"/>
        <cfvo type="percent" val="33"/>
        <cfvo type="percent" val="67"/>
      </iconSet>
    </cfRule>
    <cfRule type="iconSet" priority="1113">
      <iconSet iconSet="3Symbols">
        <cfvo type="percent" val="0"/>
        <cfvo type="percent" val="33"/>
        <cfvo type="percent" val="67"/>
      </iconSet>
    </cfRule>
  </conditionalFormatting>
  <conditionalFormatting sqref="P174:BO174">
    <cfRule type="iconSet" priority="1109">
      <iconSet iconSet="3Symbols2" showValue="0">
        <cfvo type="percent" val="0"/>
        <cfvo type="num" val="&quot;0+$Y$20&quot;"/>
        <cfvo type="num" val="1"/>
      </iconSet>
    </cfRule>
    <cfRule type="cellIs" dxfId="687" priority="1110" operator="equal">
      <formula>6</formula>
    </cfRule>
  </conditionalFormatting>
  <conditionalFormatting sqref="P174:BO174">
    <cfRule type="cellIs" dxfId="686" priority="1107" operator="equal">
      <formula>6</formula>
    </cfRule>
    <cfRule type="iconSet" priority="1108">
      <iconSet showValue="0">
        <cfvo type="percent" val="0"/>
        <cfvo type="num" val="&quot;0+$Y$20&quot;"/>
        <cfvo type="num" val="1"/>
      </iconSet>
    </cfRule>
  </conditionalFormatting>
  <conditionalFormatting sqref="P174:BO174">
    <cfRule type="iconSet" priority="1104">
      <iconSet iconSet="3Symbols2" showValue="0">
        <cfvo type="percent" val="0"/>
        <cfvo type="num" val="0"/>
        <cfvo type="num" val="6"/>
      </iconSet>
    </cfRule>
    <cfRule type="iconSet" priority="1105">
      <iconSet iconSet="3Symbols2" showValue="0">
        <cfvo type="percent" val="0"/>
        <cfvo type="num" val="&quot;0+$Y$20&quot;"/>
        <cfvo type="num" val="1"/>
      </iconSet>
    </cfRule>
    <cfRule type="cellIs" dxfId="685" priority="1106" operator="equal">
      <formula>6</formula>
    </cfRule>
  </conditionalFormatting>
  <conditionalFormatting sqref="P174:BO174">
    <cfRule type="cellIs" dxfId="684" priority="1093" operator="equal">
      <formula>5</formula>
    </cfRule>
    <cfRule type="cellIs" dxfId="683" priority="1094" operator="equal">
      <formula>4</formula>
    </cfRule>
    <cfRule type="cellIs" dxfId="682" priority="1095" operator="equal">
      <formula>3</formula>
    </cfRule>
    <cfRule type="cellIs" dxfId="681" priority="1096" operator="equal">
      <formula>5</formula>
    </cfRule>
    <cfRule type="cellIs" dxfId="680" priority="1097" operator="equal">
      <formula>4</formula>
    </cfRule>
    <cfRule type="cellIs" dxfId="679" priority="1098" operator="equal">
      <formula>3</formula>
    </cfRule>
    <cfRule type="cellIs" dxfId="678" priority="1099" operator="equal">
      <formula>2</formula>
    </cfRule>
    <cfRule type="cellIs" dxfId="677" priority="1100" operator="equal">
      <formula>1</formula>
    </cfRule>
    <cfRule type="iconSet" priority="1101">
      <iconSet iconSet="3Symbols2" showValue="0">
        <cfvo type="percent" val="0"/>
        <cfvo type="num" val="0"/>
        <cfvo type="num" val="6"/>
      </iconSet>
    </cfRule>
    <cfRule type="iconSet" priority="1102">
      <iconSet iconSet="3Symbols2" showValue="0">
        <cfvo type="percent" val="0"/>
        <cfvo type="num" val="&quot;0+$Y$20&quot;"/>
        <cfvo type="num" val="1"/>
      </iconSet>
    </cfRule>
    <cfRule type="cellIs" dxfId="676" priority="1103" operator="equal">
      <formula>6</formula>
    </cfRule>
  </conditionalFormatting>
  <conditionalFormatting sqref="P176:BO176">
    <cfRule type="cellIs" dxfId="675" priority="1090" operator="equal">
      <formula>"0-5"</formula>
    </cfRule>
    <cfRule type="iconSet" priority="1091">
      <iconSet iconSet="3Symbols" showValue="0">
        <cfvo type="percent" val="0"/>
        <cfvo type="percent" val="33"/>
        <cfvo type="percent" val="67"/>
      </iconSet>
    </cfRule>
    <cfRule type="iconSet" priority="1092">
      <iconSet iconSet="3Symbols">
        <cfvo type="percent" val="0"/>
        <cfvo type="percent" val="33"/>
        <cfvo type="percent" val="67"/>
      </iconSet>
    </cfRule>
  </conditionalFormatting>
  <conditionalFormatting sqref="P176:BO176">
    <cfRule type="iconSet" priority="1088">
      <iconSet iconSet="3Symbols2" showValue="0">
        <cfvo type="percent" val="0"/>
        <cfvo type="num" val="&quot;0+$Y$20&quot;"/>
        <cfvo type="num" val="1"/>
      </iconSet>
    </cfRule>
    <cfRule type="cellIs" dxfId="674" priority="1089" operator="equal">
      <formula>6</formula>
    </cfRule>
  </conditionalFormatting>
  <conditionalFormatting sqref="P176:BO176">
    <cfRule type="cellIs" dxfId="673" priority="1086" operator="equal">
      <formula>6</formula>
    </cfRule>
    <cfRule type="iconSet" priority="1087">
      <iconSet showValue="0">
        <cfvo type="percent" val="0"/>
        <cfvo type="num" val="&quot;0+$Y$20&quot;"/>
        <cfvo type="num" val="1"/>
      </iconSet>
    </cfRule>
  </conditionalFormatting>
  <conditionalFormatting sqref="P176:BO176">
    <cfRule type="iconSet" priority="1083">
      <iconSet iconSet="3Symbols2" showValue="0">
        <cfvo type="percent" val="0"/>
        <cfvo type="num" val="0"/>
        <cfvo type="num" val="6"/>
      </iconSet>
    </cfRule>
    <cfRule type="iconSet" priority="1084">
      <iconSet iconSet="3Symbols2" showValue="0">
        <cfvo type="percent" val="0"/>
        <cfvo type="num" val="&quot;0+$Y$20&quot;"/>
        <cfvo type="num" val="1"/>
      </iconSet>
    </cfRule>
    <cfRule type="cellIs" dxfId="672" priority="1085" operator="equal">
      <formula>6</formula>
    </cfRule>
  </conditionalFormatting>
  <conditionalFormatting sqref="P176:BO176">
    <cfRule type="cellIs" dxfId="671" priority="1072" operator="equal">
      <formula>5</formula>
    </cfRule>
    <cfRule type="cellIs" dxfId="670" priority="1073" operator="equal">
      <formula>4</formula>
    </cfRule>
    <cfRule type="cellIs" dxfId="669" priority="1074" operator="equal">
      <formula>3</formula>
    </cfRule>
    <cfRule type="cellIs" dxfId="668" priority="1075" operator="equal">
      <formula>5</formula>
    </cfRule>
    <cfRule type="cellIs" dxfId="667" priority="1076" operator="equal">
      <formula>4</formula>
    </cfRule>
    <cfRule type="cellIs" dxfId="666" priority="1077" operator="equal">
      <formula>3</formula>
    </cfRule>
    <cfRule type="cellIs" dxfId="665" priority="1078" operator="equal">
      <formula>2</formula>
    </cfRule>
    <cfRule type="cellIs" dxfId="664" priority="1079" operator="equal">
      <formula>1</formula>
    </cfRule>
    <cfRule type="iconSet" priority="1080">
      <iconSet iconSet="3Symbols2" showValue="0">
        <cfvo type="percent" val="0"/>
        <cfvo type="num" val="0"/>
        <cfvo type="num" val="6"/>
      </iconSet>
    </cfRule>
    <cfRule type="iconSet" priority="1081">
      <iconSet iconSet="3Symbols2" showValue="0">
        <cfvo type="percent" val="0"/>
        <cfvo type="num" val="&quot;0+$Y$20&quot;"/>
        <cfvo type="num" val="1"/>
      </iconSet>
    </cfRule>
    <cfRule type="cellIs" dxfId="663" priority="1082" operator="equal">
      <formula>6</formula>
    </cfRule>
  </conditionalFormatting>
  <conditionalFormatting sqref="P178:BO178">
    <cfRule type="cellIs" dxfId="662" priority="1069" operator="equal">
      <formula>"0-5"</formula>
    </cfRule>
    <cfRule type="iconSet" priority="1070">
      <iconSet iconSet="3Symbols" showValue="0">
        <cfvo type="percent" val="0"/>
        <cfvo type="percent" val="33"/>
        <cfvo type="percent" val="67"/>
      </iconSet>
    </cfRule>
    <cfRule type="iconSet" priority="1071">
      <iconSet iconSet="3Symbols">
        <cfvo type="percent" val="0"/>
        <cfvo type="percent" val="33"/>
        <cfvo type="percent" val="67"/>
      </iconSet>
    </cfRule>
  </conditionalFormatting>
  <conditionalFormatting sqref="P178:BO178">
    <cfRule type="iconSet" priority="1067">
      <iconSet iconSet="3Symbols2" showValue="0">
        <cfvo type="percent" val="0"/>
        <cfvo type="num" val="&quot;0+$Y$20&quot;"/>
        <cfvo type="num" val="1"/>
      </iconSet>
    </cfRule>
    <cfRule type="cellIs" dxfId="661" priority="1068" operator="equal">
      <formula>6</formula>
    </cfRule>
  </conditionalFormatting>
  <conditionalFormatting sqref="P178:BO178">
    <cfRule type="cellIs" dxfId="660" priority="1065" operator="equal">
      <formula>6</formula>
    </cfRule>
    <cfRule type="iconSet" priority="1066">
      <iconSet showValue="0">
        <cfvo type="percent" val="0"/>
        <cfvo type="num" val="&quot;0+$Y$20&quot;"/>
        <cfvo type="num" val="1"/>
      </iconSet>
    </cfRule>
  </conditionalFormatting>
  <conditionalFormatting sqref="P178:BO178">
    <cfRule type="iconSet" priority="1062">
      <iconSet iconSet="3Symbols2" showValue="0">
        <cfvo type="percent" val="0"/>
        <cfvo type="num" val="0"/>
        <cfvo type="num" val="6"/>
      </iconSet>
    </cfRule>
    <cfRule type="iconSet" priority="1063">
      <iconSet iconSet="3Symbols2" showValue="0">
        <cfvo type="percent" val="0"/>
        <cfvo type="num" val="&quot;0+$Y$20&quot;"/>
        <cfvo type="num" val="1"/>
      </iconSet>
    </cfRule>
    <cfRule type="cellIs" dxfId="659" priority="1064" operator="equal">
      <formula>6</formula>
    </cfRule>
  </conditionalFormatting>
  <conditionalFormatting sqref="P178:BO178">
    <cfRule type="cellIs" dxfId="658" priority="1051" operator="equal">
      <formula>5</formula>
    </cfRule>
    <cfRule type="cellIs" dxfId="657" priority="1052" operator="equal">
      <formula>4</formula>
    </cfRule>
    <cfRule type="cellIs" dxfId="656" priority="1053" operator="equal">
      <formula>3</formula>
    </cfRule>
    <cfRule type="cellIs" dxfId="655" priority="1054" operator="equal">
      <formula>5</formula>
    </cfRule>
    <cfRule type="cellIs" dxfId="654" priority="1055" operator="equal">
      <formula>4</formula>
    </cfRule>
    <cfRule type="cellIs" dxfId="653" priority="1056" operator="equal">
      <formula>3</formula>
    </cfRule>
    <cfRule type="cellIs" dxfId="652" priority="1057" operator="equal">
      <formula>2</formula>
    </cfRule>
    <cfRule type="cellIs" dxfId="651" priority="1058" operator="equal">
      <formula>1</formula>
    </cfRule>
    <cfRule type="iconSet" priority="1059">
      <iconSet iconSet="3Symbols2" showValue="0">
        <cfvo type="percent" val="0"/>
        <cfvo type="num" val="0"/>
        <cfvo type="num" val="6"/>
      </iconSet>
    </cfRule>
    <cfRule type="iconSet" priority="1060">
      <iconSet iconSet="3Symbols2" showValue="0">
        <cfvo type="percent" val="0"/>
        <cfvo type="num" val="&quot;0+$Y$20&quot;"/>
        <cfvo type="num" val="1"/>
      </iconSet>
    </cfRule>
    <cfRule type="cellIs" dxfId="650" priority="1061" operator="equal">
      <formula>6</formula>
    </cfRule>
  </conditionalFormatting>
  <conditionalFormatting sqref="P180:BO180">
    <cfRule type="cellIs" dxfId="649" priority="1048" operator="equal">
      <formula>"0-5"</formula>
    </cfRule>
    <cfRule type="iconSet" priority="1049">
      <iconSet iconSet="3Symbols" showValue="0">
        <cfvo type="percent" val="0"/>
        <cfvo type="percent" val="33"/>
        <cfvo type="percent" val="67"/>
      </iconSet>
    </cfRule>
    <cfRule type="iconSet" priority="1050">
      <iconSet iconSet="3Symbols">
        <cfvo type="percent" val="0"/>
        <cfvo type="percent" val="33"/>
        <cfvo type="percent" val="67"/>
      </iconSet>
    </cfRule>
  </conditionalFormatting>
  <conditionalFormatting sqref="P180:BO180">
    <cfRule type="iconSet" priority="1046">
      <iconSet iconSet="3Symbols2" showValue="0">
        <cfvo type="percent" val="0"/>
        <cfvo type="num" val="&quot;0+$Y$20&quot;"/>
        <cfvo type="num" val="1"/>
      </iconSet>
    </cfRule>
    <cfRule type="cellIs" dxfId="648" priority="1047" operator="equal">
      <formula>6</formula>
    </cfRule>
  </conditionalFormatting>
  <conditionalFormatting sqref="P180:BO180">
    <cfRule type="cellIs" dxfId="647" priority="1044" operator="equal">
      <formula>6</formula>
    </cfRule>
    <cfRule type="iconSet" priority="1045">
      <iconSet showValue="0">
        <cfvo type="percent" val="0"/>
        <cfvo type="num" val="&quot;0+$Y$20&quot;"/>
        <cfvo type="num" val="1"/>
      </iconSet>
    </cfRule>
  </conditionalFormatting>
  <conditionalFormatting sqref="P180:BO180">
    <cfRule type="iconSet" priority="1041">
      <iconSet iconSet="3Symbols2" showValue="0">
        <cfvo type="percent" val="0"/>
        <cfvo type="num" val="0"/>
        <cfvo type="num" val="6"/>
      </iconSet>
    </cfRule>
    <cfRule type="iconSet" priority="1042">
      <iconSet iconSet="3Symbols2" showValue="0">
        <cfvo type="percent" val="0"/>
        <cfvo type="num" val="&quot;0+$Y$20&quot;"/>
        <cfvo type="num" val="1"/>
      </iconSet>
    </cfRule>
    <cfRule type="cellIs" dxfId="646" priority="1043" operator="equal">
      <formula>6</formula>
    </cfRule>
  </conditionalFormatting>
  <conditionalFormatting sqref="P180:BO180">
    <cfRule type="cellIs" dxfId="645" priority="1030" operator="equal">
      <formula>5</formula>
    </cfRule>
    <cfRule type="cellIs" dxfId="644" priority="1031" operator="equal">
      <formula>4</formula>
    </cfRule>
    <cfRule type="cellIs" dxfId="643" priority="1032" operator="equal">
      <formula>3</formula>
    </cfRule>
    <cfRule type="cellIs" dxfId="642" priority="1033" operator="equal">
      <formula>5</formula>
    </cfRule>
    <cfRule type="cellIs" dxfId="641" priority="1034" operator="equal">
      <formula>4</formula>
    </cfRule>
    <cfRule type="cellIs" dxfId="640" priority="1035" operator="equal">
      <formula>3</formula>
    </cfRule>
    <cfRule type="cellIs" dxfId="639" priority="1036" operator="equal">
      <formula>2</formula>
    </cfRule>
    <cfRule type="cellIs" dxfId="638" priority="1037" operator="equal">
      <formula>1</formula>
    </cfRule>
    <cfRule type="iconSet" priority="1038">
      <iconSet iconSet="3Symbols2" showValue="0">
        <cfvo type="percent" val="0"/>
        <cfvo type="num" val="0"/>
        <cfvo type="num" val="6"/>
      </iconSet>
    </cfRule>
    <cfRule type="iconSet" priority="1039">
      <iconSet iconSet="3Symbols2" showValue="0">
        <cfvo type="percent" val="0"/>
        <cfvo type="num" val="&quot;0+$Y$20&quot;"/>
        <cfvo type="num" val="1"/>
      </iconSet>
    </cfRule>
    <cfRule type="cellIs" dxfId="637" priority="1040" operator="equal">
      <formula>6</formula>
    </cfRule>
  </conditionalFormatting>
  <conditionalFormatting sqref="P182:BO182">
    <cfRule type="cellIs" dxfId="636" priority="1027" operator="equal">
      <formula>"0-5"</formula>
    </cfRule>
    <cfRule type="iconSet" priority="1028">
      <iconSet iconSet="3Symbols" showValue="0">
        <cfvo type="percent" val="0"/>
        <cfvo type="percent" val="33"/>
        <cfvo type="percent" val="67"/>
      </iconSet>
    </cfRule>
    <cfRule type="iconSet" priority="1029">
      <iconSet iconSet="3Symbols">
        <cfvo type="percent" val="0"/>
        <cfvo type="percent" val="33"/>
        <cfvo type="percent" val="67"/>
      </iconSet>
    </cfRule>
  </conditionalFormatting>
  <conditionalFormatting sqref="P182:BO182">
    <cfRule type="iconSet" priority="1025">
      <iconSet iconSet="3Symbols2" showValue="0">
        <cfvo type="percent" val="0"/>
        <cfvo type="num" val="&quot;0+$Y$20&quot;"/>
        <cfvo type="num" val="1"/>
      </iconSet>
    </cfRule>
    <cfRule type="cellIs" dxfId="635" priority="1026" operator="equal">
      <formula>6</formula>
    </cfRule>
  </conditionalFormatting>
  <conditionalFormatting sqref="P182:BO182">
    <cfRule type="cellIs" dxfId="634" priority="1023" operator="equal">
      <formula>6</formula>
    </cfRule>
    <cfRule type="iconSet" priority="1024">
      <iconSet showValue="0">
        <cfvo type="percent" val="0"/>
        <cfvo type="num" val="&quot;0+$Y$20&quot;"/>
        <cfvo type="num" val="1"/>
      </iconSet>
    </cfRule>
  </conditionalFormatting>
  <conditionalFormatting sqref="P182:BO182">
    <cfRule type="iconSet" priority="1020">
      <iconSet iconSet="3Symbols2" showValue="0">
        <cfvo type="percent" val="0"/>
        <cfvo type="num" val="0"/>
        <cfvo type="num" val="6"/>
      </iconSet>
    </cfRule>
    <cfRule type="iconSet" priority="1021">
      <iconSet iconSet="3Symbols2" showValue="0">
        <cfvo type="percent" val="0"/>
        <cfvo type="num" val="&quot;0+$Y$20&quot;"/>
        <cfvo type="num" val="1"/>
      </iconSet>
    </cfRule>
    <cfRule type="cellIs" dxfId="633" priority="1022" operator="equal">
      <formula>6</formula>
    </cfRule>
  </conditionalFormatting>
  <conditionalFormatting sqref="P182:BO182">
    <cfRule type="cellIs" dxfId="632" priority="1009" operator="equal">
      <formula>5</formula>
    </cfRule>
    <cfRule type="cellIs" dxfId="631" priority="1010" operator="equal">
      <formula>4</formula>
    </cfRule>
    <cfRule type="cellIs" dxfId="630" priority="1011" operator="equal">
      <formula>3</formula>
    </cfRule>
    <cfRule type="cellIs" dxfId="629" priority="1012" operator="equal">
      <formula>5</formula>
    </cfRule>
    <cfRule type="cellIs" dxfId="628" priority="1013" operator="equal">
      <formula>4</formula>
    </cfRule>
    <cfRule type="cellIs" dxfId="627" priority="1014" operator="equal">
      <formula>3</formula>
    </cfRule>
    <cfRule type="cellIs" dxfId="626" priority="1015" operator="equal">
      <formula>2</formula>
    </cfRule>
    <cfRule type="cellIs" dxfId="625" priority="1016" operator="equal">
      <formula>1</formula>
    </cfRule>
    <cfRule type="iconSet" priority="1017">
      <iconSet iconSet="3Symbols2" showValue="0">
        <cfvo type="percent" val="0"/>
        <cfvo type="num" val="0"/>
        <cfvo type="num" val="6"/>
      </iconSet>
    </cfRule>
    <cfRule type="iconSet" priority="1018">
      <iconSet iconSet="3Symbols2" showValue="0">
        <cfvo type="percent" val="0"/>
        <cfvo type="num" val="&quot;0+$Y$20&quot;"/>
        <cfvo type="num" val="1"/>
      </iconSet>
    </cfRule>
    <cfRule type="cellIs" dxfId="624" priority="1019" operator="equal">
      <formula>6</formula>
    </cfRule>
  </conditionalFormatting>
  <conditionalFormatting sqref="P184:BO184">
    <cfRule type="cellIs" dxfId="623" priority="1006" operator="equal">
      <formula>"0-5"</formula>
    </cfRule>
    <cfRule type="iconSet" priority="1007">
      <iconSet iconSet="3Symbols" showValue="0">
        <cfvo type="percent" val="0"/>
        <cfvo type="percent" val="33"/>
        <cfvo type="percent" val="67"/>
      </iconSet>
    </cfRule>
    <cfRule type="iconSet" priority="1008">
      <iconSet iconSet="3Symbols">
        <cfvo type="percent" val="0"/>
        <cfvo type="percent" val="33"/>
        <cfvo type="percent" val="67"/>
      </iconSet>
    </cfRule>
  </conditionalFormatting>
  <conditionalFormatting sqref="P184:BO184">
    <cfRule type="iconSet" priority="1004">
      <iconSet iconSet="3Symbols2" showValue="0">
        <cfvo type="percent" val="0"/>
        <cfvo type="num" val="&quot;0+$Y$20&quot;"/>
        <cfvo type="num" val="1"/>
      </iconSet>
    </cfRule>
    <cfRule type="cellIs" dxfId="622" priority="1005" operator="equal">
      <formula>6</formula>
    </cfRule>
  </conditionalFormatting>
  <conditionalFormatting sqref="P184:BO184">
    <cfRule type="cellIs" dxfId="621" priority="1002" operator="equal">
      <formula>6</formula>
    </cfRule>
    <cfRule type="iconSet" priority="1003">
      <iconSet showValue="0">
        <cfvo type="percent" val="0"/>
        <cfvo type="num" val="&quot;0+$Y$20&quot;"/>
        <cfvo type="num" val="1"/>
      </iconSet>
    </cfRule>
  </conditionalFormatting>
  <conditionalFormatting sqref="P184:BO184">
    <cfRule type="iconSet" priority="999">
      <iconSet iconSet="3Symbols2" showValue="0">
        <cfvo type="percent" val="0"/>
        <cfvo type="num" val="0"/>
        <cfvo type="num" val="6"/>
      </iconSet>
    </cfRule>
    <cfRule type="iconSet" priority="1000">
      <iconSet iconSet="3Symbols2" showValue="0">
        <cfvo type="percent" val="0"/>
        <cfvo type="num" val="&quot;0+$Y$20&quot;"/>
        <cfvo type="num" val="1"/>
      </iconSet>
    </cfRule>
    <cfRule type="cellIs" dxfId="620" priority="1001" operator="equal">
      <formula>6</formula>
    </cfRule>
  </conditionalFormatting>
  <conditionalFormatting sqref="P184:BO184">
    <cfRule type="cellIs" dxfId="619" priority="988" operator="equal">
      <formula>5</formula>
    </cfRule>
    <cfRule type="cellIs" dxfId="618" priority="989" operator="equal">
      <formula>4</formula>
    </cfRule>
    <cfRule type="cellIs" dxfId="617" priority="990" operator="equal">
      <formula>3</formula>
    </cfRule>
    <cfRule type="cellIs" dxfId="616" priority="991" operator="equal">
      <formula>5</formula>
    </cfRule>
    <cfRule type="cellIs" dxfId="615" priority="992" operator="equal">
      <formula>4</formula>
    </cfRule>
    <cfRule type="cellIs" dxfId="614" priority="993" operator="equal">
      <formula>3</formula>
    </cfRule>
    <cfRule type="cellIs" dxfId="613" priority="994" operator="equal">
      <formula>2</formula>
    </cfRule>
    <cfRule type="cellIs" dxfId="612" priority="995" operator="equal">
      <formula>1</formula>
    </cfRule>
    <cfRule type="iconSet" priority="996">
      <iconSet iconSet="3Symbols2" showValue="0">
        <cfvo type="percent" val="0"/>
        <cfvo type="num" val="0"/>
        <cfvo type="num" val="6"/>
      </iconSet>
    </cfRule>
    <cfRule type="iconSet" priority="997">
      <iconSet iconSet="3Symbols2" showValue="0">
        <cfvo type="percent" val="0"/>
        <cfvo type="num" val="&quot;0+$Y$20&quot;"/>
        <cfvo type="num" val="1"/>
      </iconSet>
    </cfRule>
    <cfRule type="cellIs" dxfId="611" priority="998" operator="equal">
      <formula>6</formula>
    </cfRule>
  </conditionalFormatting>
  <conditionalFormatting sqref="P186:BO186">
    <cfRule type="cellIs" dxfId="610" priority="985" operator="equal">
      <formula>"0-5"</formula>
    </cfRule>
    <cfRule type="iconSet" priority="986">
      <iconSet iconSet="3Symbols" showValue="0">
        <cfvo type="percent" val="0"/>
        <cfvo type="percent" val="33"/>
        <cfvo type="percent" val="67"/>
      </iconSet>
    </cfRule>
    <cfRule type="iconSet" priority="987">
      <iconSet iconSet="3Symbols">
        <cfvo type="percent" val="0"/>
        <cfvo type="percent" val="33"/>
        <cfvo type="percent" val="67"/>
      </iconSet>
    </cfRule>
  </conditionalFormatting>
  <conditionalFormatting sqref="P186:BO186">
    <cfRule type="iconSet" priority="983">
      <iconSet iconSet="3Symbols2" showValue="0">
        <cfvo type="percent" val="0"/>
        <cfvo type="num" val="&quot;0+$Y$20&quot;"/>
        <cfvo type="num" val="1"/>
      </iconSet>
    </cfRule>
    <cfRule type="cellIs" dxfId="609" priority="984" operator="equal">
      <formula>6</formula>
    </cfRule>
  </conditionalFormatting>
  <conditionalFormatting sqref="P186:BO186">
    <cfRule type="cellIs" dxfId="608" priority="981" operator="equal">
      <formula>6</formula>
    </cfRule>
    <cfRule type="iconSet" priority="982">
      <iconSet showValue="0">
        <cfvo type="percent" val="0"/>
        <cfvo type="num" val="&quot;0+$Y$20&quot;"/>
        <cfvo type="num" val="1"/>
      </iconSet>
    </cfRule>
  </conditionalFormatting>
  <conditionalFormatting sqref="P186:BO186">
    <cfRule type="iconSet" priority="978">
      <iconSet iconSet="3Symbols2" showValue="0">
        <cfvo type="percent" val="0"/>
        <cfvo type="num" val="0"/>
        <cfvo type="num" val="6"/>
      </iconSet>
    </cfRule>
    <cfRule type="iconSet" priority="979">
      <iconSet iconSet="3Symbols2" showValue="0">
        <cfvo type="percent" val="0"/>
        <cfvo type="num" val="&quot;0+$Y$20&quot;"/>
        <cfvo type="num" val="1"/>
      </iconSet>
    </cfRule>
    <cfRule type="cellIs" dxfId="607" priority="980" operator="equal">
      <formula>6</formula>
    </cfRule>
  </conditionalFormatting>
  <conditionalFormatting sqref="P186:BO186">
    <cfRule type="cellIs" dxfId="606" priority="967" operator="equal">
      <formula>5</formula>
    </cfRule>
    <cfRule type="cellIs" dxfId="605" priority="968" operator="equal">
      <formula>4</formula>
    </cfRule>
    <cfRule type="cellIs" dxfId="604" priority="969" operator="equal">
      <formula>3</formula>
    </cfRule>
    <cfRule type="cellIs" dxfId="603" priority="970" operator="equal">
      <formula>5</formula>
    </cfRule>
    <cfRule type="cellIs" dxfId="602" priority="971" operator="equal">
      <formula>4</formula>
    </cfRule>
    <cfRule type="cellIs" dxfId="601" priority="972" operator="equal">
      <formula>3</formula>
    </cfRule>
    <cfRule type="cellIs" dxfId="600" priority="973" operator="equal">
      <formula>2</formula>
    </cfRule>
    <cfRule type="cellIs" dxfId="599" priority="974" operator="equal">
      <formula>1</formula>
    </cfRule>
    <cfRule type="iconSet" priority="975">
      <iconSet iconSet="3Symbols2" showValue="0">
        <cfvo type="percent" val="0"/>
        <cfvo type="num" val="0"/>
        <cfvo type="num" val="6"/>
      </iconSet>
    </cfRule>
    <cfRule type="iconSet" priority="976">
      <iconSet iconSet="3Symbols2" showValue="0">
        <cfvo type="percent" val="0"/>
        <cfvo type="num" val="&quot;0+$Y$20&quot;"/>
        <cfvo type="num" val="1"/>
      </iconSet>
    </cfRule>
    <cfRule type="cellIs" dxfId="598" priority="977" operator="equal">
      <formula>6</formula>
    </cfRule>
  </conditionalFormatting>
  <conditionalFormatting sqref="P188:BO188">
    <cfRule type="cellIs" dxfId="597" priority="964" operator="equal">
      <formula>"0-5"</formula>
    </cfRule>
    <cfRule type="iconSet" priority="965">
      <iconSet iconSet="3Symbols" showValue="0">
        <cfvo type="percent" val="0"/>
        <cfvo type="percent" val="33"/>
        <cfvo type="percent" val="67"/>
      </iconSet>
    </cfRule>
    <cfRule type="iconSet" priority="966">
      <iconSet iconSet="3Symbols">
        <cfvo type="percent" val="0"/>
        <cfvo type="percent" val="33"/>
        <cfvo type="percent" val="67"/>
      </iconSet>
    </cfRule>
  </conditionalFormatting>
  <conditionalFormatting sqref="P188:BO188">
    <cfRule type="iconSet" priority="962">
      <iconSet iconSet="3Symbols2" showValue="0">
        <cfvo type="percent" val="0"/>
        <cfvo type="num" val="&quot;0+$Y$20&quot;"/>
        <cfvo type="num" val="1"/>
      </iconSet>
    </cfRule>
    <cfRule type="cellIs" dxfId="596" priority="963" operator="equal">
      <formula>6</formula>
    </cfRule>
  </conditionalFormatting>
  <conditionalFormatting sqref="P188:BO188">
    <cfRule type="cellIs" dxfId="595" priority="960" operator="equal">
      <formula>6</formula>
    </cfRule>
    <cfRule type="iconSet" priority="961">
      <iconSet showValue="0">
        <cfvo type="percent" val="0"/>
        <cfvo type="num" val="&quot;0+$Y$20&quot;"/>
        <cfvo type="num" val="1"/>
      </iconSet>
    </cfRule>
  </conditionalFormatting>
  <conditionalFormatting sqref="P188:BO188">
    <cfRule type="iconSet" priority="957">
      <iconSet iconSet="3Symbols2" showValue="0">
        <cfvo type="percent" val="0"/>
        <cfvo type="num" val="0"/>
        <cfvo type="num" val="6"/>
      </iconSet>
    </cfRule>
    <cfRule type="iconSet" priority="958">
      <iconSet iconSet="3Symbols2" showValue="0">
        <cfvo type="percent" val="0"/>
        <cfvo type="num" val="&quot;0+$Y$20&quot;"/>
        <cfvo type="num" val="1"/>
      </iconSet>
    </cfRule>
    <cfRule type="cellIs" dxfId="594" priority="959" operator="equal">
      <formula>6</formula>
    </cfRule>
  </conditionalFormatting>
  <conditionalFormatting sqref="P188:BO188">
    <cfRule type="cellIs" dxfId="593" priority="946" operator="equal">
      <formula>5</formula>
    </cfRule>
    <cfRule type="cellIs" dxfId="592" priority="947" operator="equal">
      <formula>4</formula>
    </cfRule>
    <cfRule type="cellIs" dxfId="591" priority="948" operator="equal">
      <formula>3</formula>
    </cfRule>
    <cfRule type="cellIs" dxfId="590" priority="949" operator="equal">
      <formula>5</formula>
    </cfRule>
    <cfRule type="cellIs" dxfId="589" priority="950" operator="equal">
      <formula>4</formula>
    </cfRule>
    <cfRule type="cellIs" dxfId="588" priority="951" operator="equal">
      <formula>3</formula>
    </cfRule>
    <cfRule type="cellIs" dxfId="587" priority="952" operator="equal">
      <formula>2</formula>
    </cfRule>
    <cfRule type="cellIs" dxfId="586" priority="953" operator="equal">
      <formula>1</formula>
    </cfRule>
    <cfRule type="iconSet" priority="954">
      <iconSet iconSet="3Symbols2" showValue="0">
        <cfvo type="percent" val="0"/>
        <cfvo type="num" val="0"/>
        <cfvo type="num" val="6"/>
      </iconSet>
    </cfRule>
    <cfRule type="iconSet" priority="955">
      <iconSet iconSet="3Symbols2" showValue="0">
        <cfvo type="percent" val="0"/>
        <cfvo type="num" val="&quot;0+$Y$20&quot;"/>
        <cfvo type="num" val="1"/>
      </iconSet>
    </cfRule>
    <cfRule type="cellIs" dxfId="585" priority="956" operator="equal">
      <formula>6</formula>
    </cfRule>
  </conditionalFormatting>
  <conditionalFormatting sqref="P190:BO190">
    <cfRule type="cellIs" dxfId="584" priority="943" operator="equal">
      <formula>"0-5"</formula>
    </cfRule>
    <cfRule type="iconSet" priority="944">
      <iconSet iconSet="3Symbols" showValue="0">
        <cfvo type="percent" val="0"/>
        <cfvo type="percent" val="33"/>
        <cfvo type="percent" val="67"/>
      </iconSet>
    </cfRule>
    <cfRule type="iconSet" priority="945">
      <iconSet iconSet="3Symbols">
        <cfvo type="percent" val="0"/>
        <cfvo type="percent" val="33"/>
        <cfvo type="percent" val="67"/>
      </iconSet>
    </cfRule>
  </conditionalFormatting>
  <conditionalFormatting sqref="P190:BO190">
    <cfRule type="iconSet" priority="941">
      <iconSet iconSet="3Symbols2" showValue="0">
        <cfvo type="percent" val="0"/>
        <cfvo type="num" val="&quot;0+$Y$20&quot;"/>
        <cfvo type="num" val="1"/>
      </iconSet>
    </cfRule>
    <cfRule type="cellIs" dxfId="583" priority="942" operator="equal">
      <formula>6</formula>
    </cfRule>
  </conditionalFormatting>
  <conditionalFormatting sqref="P190:BO190">
    <cfRule type="cellIs" dxfId="582" priority="939" operator="equal">
      <formula>6</formula>
    </cfRule>
    <cfRule type="iconSet" priority="940">
      <iconSet showValue="0">
        <cfvo type="percent" val="0"/>
        <cfvo type="num" val="&quot;0+$Y$20&quot;"/>
        <cfvo type="num" val="1"/>
      </iconSet>
    </cfRule>
  </conditionalFormatting>
  <conditionalFormatting sqref="P190:BO190">
    <cfRule type="iconSet" priority="936">
      <iconSet iconSet="3Symbols2" showValue="0">
        <cfvo type="percent" val="0"/>
        <cfvo type="num" val="0"/>
        <cfvo type="num" val="6"/>
      </iconSet>
    </cfRule>
    <cfRule type="iconSet" priority="937">
      <iconSet iconSet="3Symbols2" showValue="0">
        <cfvo type="percent" val="0"/>
        <cfvo type="num" val="&quot;0+$Y$20&quot;"/>
        <cfvo type="num" val="1"/>
      </iconSet>
    </cfRule>
    <cfRule type="cellIs" dxfId="581" priority="938" operator="equal">
      <formula>6</formula>
    </cfRule>
  </conditionalFormatting>
  <conditionalFormatting sqref="P190:BO190">
    <cfRule type="cellIs" dxfId="580" priority="925" operator="equal">
      <formula>5</formula>
    </cfRule>
    <cfRule type="cellIs" dxfId="579" priority="926" operator="equal">
      <formula>4</formula>
    </cfRule>
    <cfRule type="cellIs" dxfId="578" priority="927" operator="equal">
      <formula>3</formula>
    </cfRule>
    <cfRule type="cellIs" dxfId="577" priority="928" operator="equal">
      <formula>5</formula>
    </cfRule>
    <cfRule type="cellIs" dxfId="576" priority="929" operator="equal">
      <formula>4</formula>
    </cfRule>
    <cfRule type="cellIs" dxfId="575" priority="930" operator="equal">
      <formula>3</formula>
    </cfRule>
    <cfRule type="cellIs" dxfId="574" priority="931" operator="equal">
      <formula>2</formula>
    </cfRule>
    <cfRule type="cellIs" dxfId="573" priority="932" operator="equal">
      <formula>1</formula>
    </cfRule>
    <cfRule type="iconSet" priority="933">
      <iconSet iconSet="3Symbols2" showValue="0">
        <cfvo type="percent" val="0"/>
        <cfvo type="num" val="0"/>
        <cfvo type="num" val="6"/>
      </iconSet>
    </cfRule>
    <cfRule type="iconSet" priority="934">
      <iconSet iconSet="3Symbols2" showValue="0">
        <cfvo type="percent" val="0"/>
        <cfvo type="num" val="&quot;0+$Y$20&quot;"/>
        <cfvo type="num" val="1"/>
      </iconSet>
    </cfRule>
    <cfRule type="cellIs" dxfId="572" priority="935" operator="equal">
      <formula>6</formula>
    </cfRule>
  </conditionalFormatting>
  <conditionalFormatting sqref="P192:BO192">
    <cfRule type="cellIs" dxfId="571" priority="922" operator="equal">
      <formula>"0-5"</formula>
    </cfRule>
    <cfRule type="iconSet" priority="923">
      <iconSet iconSet="3Symbols" showValue="0">
        <cfvo type="percent" val="0"/>
        <cfvo type="percent" val="33"/>
        <cfvo type="percent" val="67"/>
      </iconSet>
    </cfRule>
    <cfRule type="iconSet" priority="924">
      <iconSet iconSet="3Symbols">
        <cfvo type="percent" val="0"/>
        <cfvo type="percent" val="33"/>
        <cfvo type="percent" val="67"/>
      </iconSet>
    </cfRule>
  </conditionalFormatting>
  <conditionalFormatting sqref="P192:BO192">
    <cfRule type="iconSet" priority="920">
      <iconSet iconSet="3Symbols2" showValue="0">
        <cfvo type="percent" val="0"/>
        <cfvo type="num" val="&quot;0+$Y$20&quot;"/>
        <cfvo type="num" val="1"/>
      </iconSet>
    </cfRule>
    <cfRule type="cellIs" dxfId="570" priority="921" operator="equal">
      <formula>6</formula>
    </cfRule>
  </conditionalFormatting>
  <conditionalFormatting sqref="P192:BO192">
    <cfRule type="cellIs" dxfId="569" priority="918" operator="equal">
      <formula>6</formula>
    </cfRule>
    <cfRule type="iconSet" priority="919">
      <iconSet showValue="0">
        <cfvo type="percent" val="0"/>
        <cfvo type="num" val="&quot;0+$Y$20&quot;"/>
        <cfvo type="num" val="1"/>
      </iconSet>
    </cfRule>
  </conditionalFormatting>
  <conditionalFormatting sqref="P192:BO192">
    <cfRule type="iconSet" priority="915">
      <iconSet iconSet="3Symbols2" showValue="0">
        <cfvo type="percent" val="0"/>
        <cfvo type="num" val="0"/>
        <cfvo type="num" val="6"/>
      </iconSet>
    </cfRule>
    <cfRule type="iconSet" priority="916">
      <iconSet iconSet="3Symbols2" showValue="0">
        <cfvo type="percent" val="0"/>
        <cfvo type="num" val="&quot;0+$Y$20&quot;"/>
        <cfvo type="num" val="1"/>
      </iconSet>
    </cfRule>
    <cfRule type="cellIs" dxfId="568" priority="917" operator="equal">
      <formula>6</formula>
    </cfRule>
  </conditionalFormatting>
  <conditionalFormatting sqref="P192:BO192">
    <cfRule type="cellIs" dxfId="567" priority="904" operator="equal">
      <formula>5</formula>
    </cfRule>
    <cfRule type="cellIs" dxfId="566" priority="905" operator="equal">
      <formula>4</formula>
    </cfRule>
    <cfRule type="cellIs" dxfId="565" priority="906" operator="equal">
      <formula>3</formula>
    </cfRule>
    <cfRule type="cellIs" dxfId="564" priority="907" operator="equal">
      <formula>5</formula>
    </cfRule>
    <cfRule type="cellIs" dxfId="563" priority="908" operator="equal">
      <formula>4</formula>
    </cfRule>
    <cfRule type="cellIs" dxfId="562" priority="909" operator="equal">
      <formula>3</formula>
    </cfRule>
    <cfRule type="cellIs" dxfId="561" priority="910" operator="equal">
      <formula>2</formula>
    </cfRule>
    <cfRule type="cellIs" dxfId="560" priority="911" operator="equal">
      <formula>1</formula>
    </cfRule>
    <cfRule type="iconSet" priority="912">
      <iconSet iconSet="3Symbols2" showValue="0">
        <cfvo type="percent" val="0"/>
        <cfvo type="num" val="0"/>
        <cfvo type="num" val="6"/>
      </iconSet>
    </cfRule>
    <cfRule type="iconSet" priority="913">
      <iconSet iconSet="3Symbols2" showValue="0">
        <cfvo type="percent" val="0"/>
        <cfvo type="num" val="&quot;0+$Y$20&quot;"/>
        <cfvo type="num" val="1"/>
      </iconSet>
    </cfRule>
    <cfRule type="cellIs" dxfId="559" priority="914" operator="equal">
      <formula>6</formula>
    </cfRule>
  </conditionalFormatting>
  <conditionalFormatting sqref="P194:BO194">
    <cfRule type="cellIs" dxfId="558" priority="901" operator="equal">
      <formula>"0-5"</formula>
    </cfRule>
    <cfRule type="iconSet" priority="902">
      <iconSet iconSet="3Symbols" showValue="0">
        <cfvo type="percent" val="0"/>
        <cfvo type="percent" val="33"/>
        <cfvo type="percent" val="67"/>
      </iconSet>
    </cfRule>
    <cfRule type="iconSet" priority="903">
      <iconSet iconSet="3Symbols">
        <cfvo type="percent" val="0"/>
        <cfvo type="percent" val="33"/>
        <cfvo type="percent" val="67"/>
      </iconSet>
    </cfRule>
  </conditionalFormatting>
  <conditionalFormatting sqref="P194:BO194">
    <cfRule type="iconSet" priority="899">
      <iconSet iconSet="3Symbols2" showValue="0">
        <cfvo type="percent" val="0"/>
        <cfvo type="num" val="&quot;0+$Y$20&quot;"/>
        <cfvo type="num" val="1"/>
      </iconSet>
    </cfRule>
    <cfRule type="cellIs" dxfId="557" priority="900" operator="equal">
      <formula>6</formula>
    </cfRule>
  </conditionalFormatting>
  <conditionalFormatting sqref="P194:BO194">
    <cfRule type="cellIs" dxfId="556" priority="897" operator="equal">
      <formula>6</formula>
    </cfRule>
    <cfRule type="iconSet" priority="898">
      <iconSet showValue="0">
        <cfvo type="percent" val="0"/>
        <cfvo type="num" val="&quot;0+$Y$20&quot;"/>
        <cfvo type="num" val="1"/>
      </iconSet>
    </cfRule>
  </conditionalFormatting>
  <conditionalFormatting sqref="P194:BO194">
    <cfRule type="iconSet" priority="894">
      <iconSet iconSet="3Symbols2" showValue="0">
        <cfvo type="percent" val="0"/>
        <cfvo type="num" val="0"/>
        <cfvo type="num" val="6"/>
      </iconSet>
    </cfRule>
    <cfRule type="iconSet" priority="895">
      <iconSet iconSet="3Symbols2" showValue="0">
        <cfvo type="percent" val="0"/>
        <cfvo type="num" val="&quot;0+$Y$20&quot;"/>
        <cfvo type="num" val="1"/>
      </iconSet>
    </cfRule>
    <cfRule type="cellIs" dxfId="555" priority="896" operator="equal">
      <formula>6</formula>
    </cfRule>
  </conditionalFormatting>
  <conditionalFormatting sqref="P194:BO194">
    <cfRule type="cellIs" dxfId="554" priority="883" operator="equal">
      <formula>5</formula>
    </cfRule>
    <cfRule type="cellIs" dxfId="553" priority="884" operator="equal">
      <formula>4</formula>
    </cfRule>
    <cfRule type="cellIs" dxfId="552" priority="885" operator="equal">
      <formula>3</formula>
    </cfRule>
    <cfRule type="cellIs" dxfId="551" priority="886" operator="equal">
      <formula>5</formula>
    </cfRule>
    <cfRule type="cellIs" dxfId="550" priority="887" operator="equal">
      <formula>4</formula>
    </cfRule>
    <cfRule type="cellIs" dxfId="549" priority="888" operator="equal">
      <formula>3</formula>
    </cfRule>
    <cfRule type="cellIs" dxfId="548" priority="889" operator="equal">
      <formula>2</formula>
    </cfRule>
    <cfRule type="cellIs" dxfId="547" priority="890" operator="equal">
      <formula>1</formula>
    </cfRule>
    <cfRule type="iconSet" priority="891">
      <iconSet iconSet="3Symbols2" showValue="0">
        <cfvo type="percent" val="0"/>
        <cfvo type="num" val="0"/>
        <cfvo type="num" val="6"/>
      </iconSet>
    </cfRule>
    <cfRule type="iconSet" priority="892">
      <iconSet iconSet="3Symbols2" showValue="0">
        <cfvo type="percent" val="0"/>
        <cfvo type="num" val="&quot;0+$Y$20&quot;"/>
        <cfvo type="num" val="1"/>
      </iconSet>
    </cfRule>
    <cfRule type="cellIs" dxfId="546" priority="893" operator="equal">
      <formula>6</formula>
    </cfRule>
  </conditionalFormatting>
  <conditionalFormatting sqref="P196:BO196">
    <cfRule type="cellIs" dxfId="545" priority="880" operator="equal">
      <formula>"0-5"</formula>
    </cfRule>
    <cfRule type="iconSet" priority="881">
      <iconSet iconSet="3Symbols" showValue="0">
        <cfvo type="percent" val="0"/>
        <cfvo type="percent" val="33"/>
        <cfvo type="percent" val="67"/>
      </iconSet>
    </cfRule>
    <cfRule type="iconSet" priority="882">
      <iconSet iconSet="3Symbols">
        <cfvo type="percent" val="0"/>
        <cfvo type="percent" val="33"/>
        <cfvo type="percent" val="67"/>
      </iconSet>
    </cfRule>
  </conditionalFormatting>
  <conditionalFormatting sqref="P196:BO196">
    <cfRule type="iconSet" priority="878">
      <iconSet iconSet="3Symbols2" showValue="0">
        <cfvo type="percent" val="0"/>
        <cfvo type="num" val="&quot;0+$Y$20&quot;"/>
        <cfvo type="num" val="1"/>
      </iconSet>
    </cfRule>
    <cfRule type="cellIs" dxfId="544" priority="879" operator="equal">
      <formula>6</formula>
    </cfRule>
  </conditionalFormatting>
  <conditionalFormatting sqref="P196:BO196">
    <cfRule type="cellIs" dxfId="543" priority="876" operator="equal">
      <formula>6</formula>
    </cfRule>
    <cfRule type="iconSet" priority="877">
      <iconSet showValue="0">
        <cfvo type="percent" val="0"/>
        <cfvo type="num" val="&quot;0+$Y$20&quot;"/>
        <cfvo type="num" val="1"/>
      </iconSet>
    </cfRule>
  </conditionalFormatting>
  <conditionalFormatting sqref="P196:BO196">
    <cfRule type="iconSet" priority="873">
      <iconSet iconSet="3Symbols2" showValue="0">
        <cfvo type="percent" val="0"/>
        <cfvo type="num" val="0"/>
        <cfvo type="num" val="6"/>
      </iconSet>
    </cfRule>
    <cfRule type="iconSet" priority="874">
      <iconSet iconSet="3Symbols2" showValue="0">
        <cfvo type="percent" val="0"/>
        <cfvo type="num" val="&quot;0+$Y$20&quot;"/>
        <cfvo type="num" val="1"/>
      </iconSet>
    </cfRule>
    <cfRule type="cellIs" dxfId="542" priority="875" operator="equal">
      <formula>6</formula>
    </cfRule>
  </conditionalFormatting>
  <conditionalFormatting sqref="P196:BO196">
    <cfRule type="cellIs" dxfId="541" priority="862" operator="equal">
      <formula>5</formula>
    </cfRule>
    <cfRule type="cellIs" dxfId="540" priority="863" operator="equal">
      <formula>4</formula>
    </cfRule>
    <cfRule type="cellIs" dxfId="539" priority="864" operator="equal">
      <formula>3</formula>
    </cfRule>
    <cfRule type="cellIs" dxfId="538" priority="865" operator="equal">
      <formula>5</formula>
    </cfRule>
    <cfRule type="cellIs" dxfId="537" priority="866" operator="equal">
      <formula>4</formula>
    </cfRule>
    <cfRule type="cellIs" dxfId="536" priority="867" operator="equal">
      <formula>3</formula>
    </cfRule>
    <cfRule type="cellIs" dxfId="535" priority="868" operator="equal">
      <formula>2</formula>
    </cfRule>
    <cfRule type="cellIs" dxfId="534" priority="869" operator="equal">
      <formula>1</formula>
    </cfRule>
    <cfRule type="iconSet" priority="870">
      <iconSet iconSet="3Symbols2" showValue="0">
        <cfvo type="percent" val="0"/>
        <cfvo type="num" val="0"/>
        <cfvo type="num" val="6"/>
      </iconSet>
    </cfRule>
    <cfRule type="iconSet" priority="871">
      <iconSet iconSet="3Symbols2" showValue="0">
        <cfvo type="percent" val="0"/>
        <cfvo type="num" val="&quot;0+$Y$20&quot;"/>
        <cfvo type="num" val="1"/>
      </iconSet>
    </cfRule>
    <cfRule type="cellIs" dxfId="533" priority="872" operator="equal">
      <formula>6</formula>
    </cfRule>
  </conditionalFormatting>
  <conditionalFormatting sqref="P198:BO198">
    <cfRule type="cellIs" dxfId="532" priority="859" operator="equal">
      <formula>"0-5"</formula>
    </cfRule>
    <cfRule type="iconSet" priority="860">
      <iconSet iconSet="3Symbols" showValue="0">
        <cfvo type="percent" val="0"/>
        <cfvo type="percent" val="33"/>
        <cfvo type="percent" val="67"/>
      </iconSet>
    </cfRule>
    <cfRule type="iconSet" priority="861">
      <iconSet iconSet="3Symbols">
        <cfvo type="percent" val="0"/>
        <cfvo type="percent" val="33"/>
        <cfvo type="percent" val="67"/>
      </iconSet>
    </cfRule>
  </conditionalFormatting>
  <conditionalFormatting sqref="P198:BO198">
    <cfRule type="iconSet" priority="857">
      <iconSet iconSet="3Symbols2" showValue="0">
        <cfvo type="percent" val="0"/>
        <cfvo type="num" val="&quot;0+$Y$20&quot;"/>
        <cfvo type="num" val="1"/>
      </iconSet>
    </cfRule>
    <cfRule type="cellIs" dxfId="531" priority="858" operator="equal">
      <formula>6</formula>
    </cfRule>
  </conditionalFormatting>
  <conditionalFormatting sqref="P198:BO198">
    <cfRule type="cellIs" dxfId="530" priority="855" operator="equal">
      <formula>6</formula>
    </cfRule>
    <cfRule type="iconSet" priority="856">
      <iconSet showValue="0">
        <cfvo type="percent" val="0"/>
        <cfvo type="num" val="&quot;0+$Y$20&quot;"/>
        <cfvo type="num" val="1"/>
      </iconSet>
    </cfRule>
  </conditionalFormatting>
  <conditionalFormatting sqref="P198:BO198">
    <cfRule type="iconSet" priority="852">
      <iconSet iconSet="3Symbols2" showValue="0">
        <cfvo type="percent" val="0"/>
        <cfvo type="num" val="0"/>
        <cfvo type="num" val="6"/>
      </iconSet>
    </cfRule>
    <cfRule type="iconSet" priority="853">
      <iconSet iconSet="3Symbols2" showValue="0">
        <cfvo type="percent" val="0"/>
        <cfvo type="num" val="&quot;0+$Y$20&quot;"/>
        <cfvo type="num" val="1"/>
      </iconSet>
    </cfRule>
    <cfRule type="cellIs" dxfId="529" priority="854" operator="equal">
      <formula>6</formula>
    </cfRule>
  </conditionalFormatting>
  <conditionalFormatting sqref="P198:BO198">
    <cfRule type="cellIs" dxfId="528" priority="841" operator="equal">
      <formula>5</formula>
    </cfRule>
    <cfRule type="cellIs" dxfId="527" priority="842" operator="equal">
      <formula>4</formula>
    </cfRule>
    <cfRule type="cellIs" dxfId="526" priority="843" operator="equal">
      <formula>3</formula>
    </cfRule>
    <cfRule type="cellIs" dxfId="525" priority="844" operator="equal">
      <formula>5</formula>
    </cfRule>
    <cfRule type="cellIs" dxfId="524" priority="845" operator="equal">
      <formula>4</formula>
    </cfRule>
    <cfRule type="cellIs" dxfId="523" priority="846" operator="equal">
      <formula>3</formula>
    </cfRule>
    <cfRule type="cellIs" dxfId="522" priority="847" operator="equal">
      <formula>2</formula>
    </cfRule>
    <cfRule type="cellIs" dxfId="521" priority="848" operator="equal">
      <formula>1</formula>
    </cfRule>
    <cfRule type="iconSet" priority="849">
      <iconSet iconSet="3Symbols2" showValue="0">
        <cfvo type="percent" val="0"/>
        <cfvo type="num" val="0"/>
        <cfvo type="num" val="6"/>
      </iconSet>
    </cfRule>
    <cfRule type="iconSet" priority="850">
      <iconSet iconSet="3Symbols2" showValue="0">
        <cfvo type="percent" val="0"/>
        <cfvo type="num" val="&quot;0+$Y$20&quot;"/>
        <cfvo type="num" val="1"/>
      </iconSet>
    </cfRule>
    <cfRule type="cellIs" dxfId="520" priority="851" operator="equal">
      <formula>6</formula>
    </cfRule>
  </conditionalFormatting>
  <conditionalFormatting sqref="P200:BO200">
    <cfRule type="cellIs" dxfId="519" priority="838" operator="equal">
      <formula>"0-5"</formula>
    </cfRule>
    <cfRule type="iconSet" priority="839">
      <iconSet iconSet="3Symbols" showValue="0">
        <cfvo type="percent" val="0"/>
        <cfvo type="percent" val="33"/>
        <cfvo type="percent" val="67"/>
      </iconSet>
    </cfRule>
    <cfRule type="iconSet" priority="840">
      <iconSet iconSet="3Symbols">
        <cfvo type="percent" val="0"/>
        <cfvo type="percent" val="33"/>
        <cfvo type="percent" val="67"/>
      </iconSet>
    </cfRule>
  </conditionalFormatting>
  <conditionalFormatting sqref="P200:BO200">
    <cfRule type="iconSet" priority="836">
      <iconSet iconSet="3Symbols2" showValue="0">
        <cfvo type="percent" val="0"/>
        <cfvo type="num" val="&quot;0+$Y$20&quot;"/>
        <cfvo type="num" val="1"/>
      </iconSet>
    </cfRule>
    <cfRule type="cellIs" dxfId="518" priority="837" operator="equal">
      <formula>6</formula>
    </cfRule>
  </conditionalFormatting>
  <conditionalFormatting sqref="P200:BO200">
    <cfRule type="cellIs" dxfId="517" priority="834" operator="equal">
      <formula>6</formula>
    </cfRule>
    <cfRule type="iconSet" priority="835">
      <iconSet showValue="0">
        <cfvo type="percent" val="0"/>
        <cfvo type="num" val="&quot;0+$Y$20&quot;"/>
        <cfvo type="num" val="1"/>
      </iconSet>
    </cfRule>
  </conditionalFormatting>
  <conditionalFormatting sqref="P200:BO200">
    <cfRule type="iconSet" priority="831">
      <iconSet iconSet="3Symbols2" showValue="0">
        <cfvo type="percent" val="0"/>
        <cfvo type="num" val="0"/>
        <cfvo type="num" val="6"/>
      </iconSet>
    </cfRule>
    <cfRule type="iconSet" priority="832">
      <iconSet iconSet="3Symbols2" showValue="0">
        <cfvo type="percent" val="0"/>
        <cfvo type="num" val="&quot;0+$Y$20&quot;"/>
        <cfvo type="num" val="1"/>
      </iconSet>
    </cfRule>
    <cfRule type="cellIs" dxfId="516" priority="833" operator="equal">
      <formula>6</formula>
    </cfRule>
  </conditionalFormatting>
  <conditionalFormatting sqref="P200:BO200">
    <cfRule type="cellIs" dxfId="515" priority="820" operator="equal">
      <formula>5</formula>
    </cfRule>
    <cfRule type="cellIs" dxfId="514" priority="821" operator="equal">
      <formula>4</formula>
    </cfRule>
    <cfRule type="cellIs" dxfId="513" priority="822" operator="equal">
      <formula>3</formula>
    </cfRule>
    <cfRule type="cellIs" dxfId="512" priority="823" operator="equal">
      <formula>5</formula>
    </cfRule>
    <cfRule type="cellIs" dxfId="511" priority="824" operator="equal">
      <formula>4</formula>
    </cfRule>
    <cfRule type="cellIs" dxfId="510" priority="825" operator="equal">
      <formula>3</formula>
    </cfRule>
    <cfRule type="cellIs" dxfId="509" priority="826" operator="equal">
      <formula>2</formula>
    </cfRule>
    <cfRule type="cellIs" dxfId="508" priority="827" operator="equal">
      <formula>1</formula>
    </cfRule>
    <cfRule type="iconSet" priority="828">
      <iconSet iconSet="3Symbols2" showValue="0">
        <cfvo type="percent" val="0"/>
        <cfvo type="num" val="0"/>
        <cfvo type="num" val="6"/>
      </iconSet>
    </cfRule>
    <cfRule type="iconSet" priority="829">
      <iconSet iconSet="3Symbols2" showValue="0">
        <cfvo type="percent" val="0"/>
        <cfvo type="num" val="&quot;0+$Y$20&quot;"/>
        <cfvo type="num" val="1"/>
      </iconSet>
    </cfRule>
    <cfRule type="cellIs" dxfId="507" priority="830" operator="equal">
      <formula>6</formula>
    </cfRule>
  </conditionalFormatting>
  <conditionalFormatting sqref="P202:BO202">
    <cfRule type="cellIs" dxfId="506" priority="817" operator="equal">
      <formula>"0-5"</formula>
    </cfRule>
    <cfRule type="iconSet" priority="818">
      <iconSet iconSet="3Symbols" showValue="0">
        <cfvo type="percent" val="0"/>
        <cfvo type="percent" val="33"/>
        <cfvo type="percent" val="67"/>
      </iconSet>
    </cfRule>
    <cfRule type="iconSet" priority="819">
      <iconSet iconSet="3Symbols">
        <cfvo type="percent" val="0"/>
        <cfvo type="percent" val="33"/>
        <cfvo type="percent" val="67"/>
      </iconSet>
    </cfRule>
  </conditionalFormatting>
  <conditionalFormatting sqref="P202:BO202">
    <cfRule type="iconSet" priority="815">
      <iconSet iconSet="3Symbols2" showValue="0">
        <cfvo type="percent" val="0"/>
        <cfvo type="num" val="&quot;0+$Y$20&quot;"/>
        <cfvo type="num" val="1"/>
      </iconSet>
    </cfRule>
    <cfRule type="cellIs" dxfId="505" priority="816" operator="equal">
      <formula>6</formula>
    </cfRule>
  </conditionalFormatting>
  <conditionalFormatting sqref="P202:BO202">
    <cfRule type="cellIs" dxfId="504" priority="813" operator="equal">
      <formula>6</formula>
    </cfRule>
    <cfRule type="iconSet" priority="814">
      <iconSet showValue="0">
        <cfvo type="percent" val="0"/>
        <cfvo type="num" val="&quot;0+$Y$20&quot;"/>
        <cfvo type="num" val="1"/>
      </iconSet>
    </cfRule>
  </conditionalFormatting>
  <conditionalFormatting sqref="P202:BO202">
    <cfRule type="iconSet" priority="810">
      <iconSet iconSet="3Symbols2" showValue="0">
        <cfvo type="percent" val="0"/>
        <cfvo type="num" val="0"/>
        <cfvo type="num" val="6"/>
      </iconSet>
    </cfRule>
    <cfRule type="iconSet" priority="811">
      <iconSet iconSet="3Symbols2" showValue="0">
        <cfvo type="percent" val="0"/>
        <cfvo type="num" val="&quot;0+$Y$20&quot;"/>
        <cfvo type="num" val="1"/>
      </iconSet>
    </cfRule>
    <cfRule type="cellIs" dxfId="503" priority="812" operator="equal">
      <formula>6</formula>
    </cfRule>
  </conditionalFormatting>
  <conditionalFormatting sqref="P202:BO202">
    <cfRule type="cellIs" dxfId="502" priority="799" operator="equal">
      <formula>5</formula>
    </cfRule>
    <cfRule type="cellIs" dxfId="501" priority="800" operator="equal">
      <formula>4</formula>
    </cfRule>
    <cfRule type="cellIs" dxfId="500" priority="801" operator="equal">
      <formula>3</formula>
    </cfRule>
    <cfRule type="cellIs" dxfId="499" priority="802" operator="equal">
      <formula>5</formula>
    </cfRule>
    <cfRule type="cellIs" dxfId="498" priority="803" operator="equal">
      <formula>4</formula>
    </cfRule>
    <cfRule type="cellIs" dxfId="497" priority="804" operator="equal">
      <formula>3</formula>
    </cfRule>
    <cfRule type="cellIs" dxfId="496" priority="805" operator="equal">
      <formula>2</formula>
    </cfRule>
    <cfRule type="cellIs" dxfId="495" priority="806" operator="equal">
      <formula>1</formula>
    </cfRule>
    <cfRule type="iconSet" priority="807">
      <iconSet iconSet="3Symbols2" showValue="0">
        <cfvo type="percent" val="0"/>
        <cfvo type="num" val="0"/>
        <cfvo type="num" val="6"/>
      </iconSet>
    </cfRule>
    <cfRule type="iconSet" priority="808">
      <iconSet iconSet="3Symbols2" showValue="0">
        <cfvo type="percent" val="0"/>
        <cfvo type="num" val="&quot;0+$Y$20&quot;"/>
        <cfvo type="num" val="1"/>
      </iconSet>
    </cfRule>
    <cfRule type="cellIs" dxfId="494" priority="809" operator="equal">
      <formula>6</formula>
    </cfRule>
  </conditionalFormatting>
  <conditionalFormatting sqref="P204:BO204">
    <cfRule type="cellIs" dxfId="493" priority="796" operator="equal">
      <formula>"0-5"</formula>
    </cfRule>
    <cfRule type="iconSet" priority="797">
      <iconSet iconSet="3Symbols" showValue="0">
        <cfvo type="percent" val="0"/>
        <cfvo type="percent" val="33"/>
        <cfvo type="percent" val="67"/>
      </iconSet>
    </cfRule>
    <cfRule type="iconSet" priority="798">
      <iconSet iconSet="3Symbols">
        <cfvo type="percent" val="0"/>
        <cfvo type="percent" val="33"/>
        <cfvo type="percent" val="67"/>
      </iconSet>
    </cfRule>
  </conditionalFormatting>
  <conditionalFormatting sqref="P204:BO204">
    <cfRule type="iconSet" priority="794">
      <iconSet iconSet="3Symbols2" showValue="0">
        <cfvo type="percent" val="0"/>
        <cfvo type="num" val="&quot;0+$Y$20&quot;"/>
        <cfvo type="num" val="1"/>
      </iconSet>
    </cfRule>
    <cfRule type="cellIs" dxfId="492" priority="795" operator="equal">
      <formula>6</formula>
    </cfRule>
  </conditionalFormatting>
  <conditionalFormatting sqref="P204:BO204">
    <cfRule type="cellIs" dxfId="491" priority="792" operator="equal">
      <formula>6</formula>
    </cfRule>
    <cfRule type="iconSet" priority="793">
      <iconSet showValue="0">
        <cfvo type="percent" val="0"/>
        <cfvo type="num" val="&quot;0+$Y$20&quot;"/>
        <cfvo type="num" val="1"/>
      </iconSet>
    </cfRule>
  </conditionalFormatting>
  <conditionalFormatting sqref="P204:BO204">
    <cfRule type="iconSet" priority="789">
      <iconSet iconSet="3Symbols2" showValue="0">
        <cfvo type="percent" val="0"/>
        <cfvo type="num" val="0"/>
        <cfvo type="num" val="6"/>
      </iconSet>
    </cfRule>
    <cfRule type="iconSet" priority="790">
      <iconSet iconSet="3Symbols2" showValue="0">
        <cfvo type="percent" val="0"/>
        <cfvo type="num" val="&quot;0+$Y$20&quot;"/>
        <cfvo type="num" val="1"/>
      </iconSet>
    </cfRule>
    <cfRule type="cellIs" dxfId="490" priority="791" operator="equal">
      <formula>6</formula>
    </cfRule>
  </conditionalFormatting>
  <conditionalFormatting sqref="P204:BO204">
    <cfRule type="cellIs" dxfId="489" priority="778" operator="equal">
      <formula>5</formula>
    </cfRule>
    <cfRule type="cellIs" dxfId="488" priority="779" operator="equal">
      <formula>4</formula>
    </cfRule>
    <cfRule type="cellIs" dxfId="487" priority="780" operator="equal">
      <formula>3</formula>
    </cfRule>
    <cfRule type="cellIs" dxfId="486" priority="781" operator="equal">
      <formula>5</formula>
    </cfRule>
    <cfRule type="cellIs" dxfId="485" priority="782" operator="equal">
      <formula>4</formula>
    </cfRule>
    <cfRule type="cellIs" dxfId="484" priority="783" operator="equal">
      <formula>3</formula>
    </cfRule>
    <cfRule type="cellIs" dxfId="483" priority="784" operator="equal">
      <formula>2</formula>
    </cfRule>
    <cfRule type="cellIs" dxfId="482" priority="785" operator="equal">
      <formula>1</formula>
    </cfRule>
    <cfRule type="iconSet" priority="786">
      <iconSet iconSet="3Symbols2" showValue="0">
        <cfvo type="percent" val="0"/>
        <cfvo type="num" val="0"/>
        <cfvo type="num" val="6"/>
      </iconSet>
    </cfRule>
    <cfRule type="iconSet" priority="787">
      <iconSet iconSet="3Symbols2" showValue="0">
        <cfvo type="percent" val="0"/>
        <cfvo type="num" val="&quot;0+$Y$20&quot;"/>
        <cfvo type="num" val="1"/>
      </iconSet>
    </cfRule>
    <cfRule type="cellIs" dxfId="481" priority="788" operator="equal">
      <formula>6</formula>
    </cfRule>
  </conditionalFormatting>
  <conditionalFormatting sqref="P206:BO206">
    <cfRule type="cellIs" dxfId="480" priority="775" operator="equal">
      <formula>"0-5"</formula>
    </cfRule>
    <cfRule type="iconSet" priority="776">
      <iconSet iconSet="3Symbols" showValue="0">
        <cfvo type="percent" val="0"/>
        <cfvo type="percent" val="33"/>
        <cfvo type="percent" val="67"/>
      </iconSet>
    </cfRule>
    <cfRule type="iconSet" priority="777">
      <iconSet iconSet="3Symbols">
        <cfvo type="percent" val="0"/>
        <cfvo type="percent" val="33"/>
        <cfvo type="percent" val="67"/>
      </iconSet>
    </cfRule>
  </conditionalFormatting>
  <conditionalFormatting sqref="P206:BO206">
    <cfRule type="iconSet" priority="773">
      <iconSet iconSet="3Symbols2" showValue="0">
        <cfvo type="percent" val="0"/>
        <cfvo type="num" val="&quot;0+$Y$20&quot;"/>
        <cfvo type="num" val="1"/>
      </iconSet>
    </cfRule>
    <cfRule type="cellIs" dxfId="479" priority="774" operator="equal">
      <formula>6</formula>
    </cfRule>
  </conditionalFormatting>
  <conditionalFormatting sqref="P206:BO206">
    <cfRule type="cellIs" dxfId="478" priority="771" operator="equal">
      <formula>6</formula>
    </cfRule>
    <cfRule type="iconSet" priority="772">
      <iconSet showValue="0">
        <cfvo type="percent" val="0"/>
        <cfvo type="num" val="&quot;0+$Y$20&quot;"/>
        <cfvo type="num" val="1"/>
      </iconSet>
    </cfRule>
  </conditionalFormatting>
  <conditionalFormatting sqref="P206:BO206">
    <cfRule type="iconSet" priority="768">
      <iconSet iconSet="3Symbols2" showValue="0">
        <cfvo type="percent" val="0"/>
        <cfvo type="num" val="0"/>
        <cfvo type="num" val="6"/>
      </iconSet>
    </cfRule>
    <cfRule type="iconSet" priority="769">
      <iconSet iconSet="3Symbols2" showValue="0">
        <cfvo type="percent" val="0"/>
        <cfvo type="num" val="&quot;0+$Y$20&quot;"/>
        <cfvo type="num" val="1"/>
      </iconSet>
    </cfRule>
    <cfRule type="cellIs" dxfId="477" priority="770" operator="equal">
      <formula>6</formula>
    </cfRule>
  </conditionalFormatting>
  <conditionalFormatting sqref="P206:BO206">
    <cfRule type="cellIs" dxfId="476" priority="757" operator="equal">
      <formula>5</formula>
    </cfRule>
    <cfRule type="cellIs" dxfId="475" priority="758" operator="equal">
      <formula>4</formula>
    </cfRule>
    <cfRule type="cellIs" dxfId="474" priority="759" operator="equal">
      <formula>3</formula>
    </cfRule>
    <cfRule type="cellIs" dxfId="473" priority="760" operator="equal">
      <formula>5</formula>
    </cfRule>
    <cfRule type="cellIs" dxfId="472" priority="761" operator="equal">
      <formula>4</formula>
    </cfRule>
    <cfRule type="cellIs" dxfId="471" priority="762" operator="equal">
      <formula>3</formula>
    </cfRule>
    <cfRule type="cellIs" dxfId="470" priority="763" operator="equal">
      <formula>2</formula>
    </cfRule>
    <cfRule type="cellIs" dxfId="469" priority="764" operator="equal">
      <formula>1</formula>
    </cfRule>
    <cfRule type="iconSet" priority="765">
      <iconSet iconSet="3Symbols2" showValue="0">
        <cfvo type="percent" val="0"/>
        <cfvo type="num" val="0"/>
        <cfvo type="num" val="6"/>
      </iconSet>
    </cfRule>
    <cfRule type="iconSet" priority="766">
      <iconSet iconSet="3Symbols2" showValue="0">
        <cfvo type="percent" val="0"/>
        <cfvo type="num" val="&quot;0+$Y$20&quot;"/>
        <cfvo type="num" val="1"/>
      </iconSet>
    </cfRule>
    <cfRule type="cellIs" dxfId="468" priority="767" operator="equal">
      <formula>6</formula>
    </cfRule>
  </conditionalFormatting>
  <conditionalFormatting sqref="P208:BO208">
    <cfRule type="cellIs" dxfId="467" priority="754" operator="equal">
      <formula>"0-5"</formula>
    </cfRule>
    <cfRule type="iconSet" priority="755">
      <iconSet iconSet="3Symbols" showValue="0">
        <cfvo type="percent" val="0"/>
        <cfvo type="percent" val="33"/>
        <cfvo type="percent" val="67"/>
      </iconSet>
    </cfRule>
    <cfRule type="iconSet" priority="756">
      <iconSet iconSet="3Symbols">
        <cfvo type="percent" val="0"/>
        <cfvo type="percent" val="33"/>
        <cfvo type="percent" val="67"/>
      </iconSet>
    </cfRule>
  </conditionalFormatting>
  <conditionalFormatting sqref="P208:BO208">
    <cfRule type="iconSet" priority="752">
      <iconSet iconSet="3Symbols2" showValue="0">
        <cfvo type="percent" val="0"/>
        <cfvo type="num" val="&quot;0+$Y$20&quot;"/>
        <cfvo type="num" val="1"/>
      </iconSet>
    </cfRule>
    <cfRule type="cellIs" dxfId="466" priority="753" operator="equal">
      <formula>6</formula>
    </cfRule>
  </conditionalFormatting>
  <conditionalFormatting sqref="P208:BO208">
    <cfRule type="cellIs" dxfId="465" priority="750" operator="equal">
      <formula>6</formula>
    </cfRule>
    <cfRule type="iconSet" priority="751">
      <iconSet showValue="0">
        <cfvo type="percent" val="0"/>
        <cfvo type="num" val="&quot;0+$Y$20&quot;"/>
        <cfvo type="num" val="1"/>
      </iconSet>
    </cfRule>
  </conditionalFormatting>
  <conditionalFormatting sqref="P208:BO208">
    <cfRule type="iconSet" priority="747">
      <iconSet iconSet="3Symbols2" showValue="0">
        <cfvo type="percent" val="0"/>
        <cfvo type="num" val="0"/>
        <cfvo type="num" val="6"/>
      </iconSet>
    </cfRule>
    <cfRule type="iconSet" priority="748">
      <iconSet iconSet="3Symbols2" showValue="0">
        <cfvo type="percent" val="0"/>
        <cfvo type="num" val="&quot;0+$Y$20&quot;"/>
        <cfvo type="num" val="1"/>
      </iconSet>
    </cfRule>
    <cfRule type="cellIs" dxfId="464" priority="749" operator="equal">
      <formula>6</formula>
    </cfRule>
  </conditionalFormatting>
  <conditionalFormatting sqref="P208:BO208">
    <cfRule type="cellIs" dxfId="463" priority="736" operator="equal">
      <formula>5</formula>
    </cfRule>
    <cfRule type="cellIs" dxfId="462" priority="737" operator="equal">
      <formula>4</formula>
    </cfRule>
    <cfRule type="cellIs" dxfId="461" priority="738" operator="equal">
      <formula>3</formula>
    </cfRule>
    <cfRule type="cellIs" dxfId="460" priority="739" operator="equal">
      <formula>5</formula>
    </cfRule>
    <cfRule type="cellIs" dxfId="459" priority="740" operator="equal">
      <formula>4</formula>
    </cfRule>
    <cfRule type="cellIs" dxfId="458" priority="741" operator="equal">
      <formula>3</formula>
    </cfRule>
    <cfRule type="cellIs" dxfId="457" priority="742" operator="equal">
      <formula>2</formula>
    </cfRule>
    <cfRule type="cellIs" dxfId="456" priority="743" operator="equal">
      <formula>1</formula>
    </cfRule>
    <cfRule type="iconSet" priority="744">
      <iconSet iconSet="3Symbols2" showValue="0">
        <cfvo type="percent" val="0"/>
        <cfvo type="num" val="0"/>
        <cfvo type="num" val="6"/>
      </iconSet>
    </cfRule>
    <cfRule type="iconSet" priority="745">
      <iconSet iconSet="3Symbols2" showValue="0">
        <cfvo type="percent" val="0"/>
        <cfvo type="num" val="&quot;0+$Y$20&quot;"/>
        <cfvo type="num" val="1"/>
      </iconSet>
    </cfRule>
    <cfRule type="cellIs" dxfId="455" priority="746" operator="equal">
      <formula>6</formula>
    </cfRule>
  </conditionalFormatting>
  <conditionalFormatting sqref="P210:BO210">
    <cfRule type="cellIs" dxfId="454" priority="733" operator="equal">
      <formula>"0-5"</formula>
    </cfRule>
    <cfRule type="iconSet" priority="734">
      <iconSet iconSet="3Symbols" showValue="0">
        <cfvo type="percent" val="0"/>
        <cfvo type="percent" val="33"/>
        <cfvo type="percent" val="67"/>
      </iconSet>
    </cfRule>
    <cfRule type="iconSet" priority="735">
      <iconSet iconSet="3Symbols">
        <cfvo type="percent" val="0"/>
        <cfvo type="percent" val="33"/>
        <cfvo type="percent" val="67"/>
      </iconSet>
    </cfRule>
  </conditionalFormatting>
  <conditionalFormatting sqref="P210:BO210">
    <cfRule type="iconSet" priority="731">
      <iconSet iconSet="3Symbols2" showValue="0">
        <cfvo type="percent" val="0"/>
        <cfvo type="num" val="&quot;0+$Y$20&quot;"/>
        <cfvo type="num" val="1"/>
      </iconSet>
    </cfRule>
    <cfRule type="cellIs" dxfId="453" priority="732" operator="equal">
      <formula>6</formula>
    </cfRule>
  </conditionalFormatting>
  <conditionalFormatting sqref="P210:BO210">
    <cfRule type="cellIs" dxfId="452" priority="729" operator="equal">
      <formula>6</formula>
    </cfRule>
    <cfRule type="iconSet" priority="730">
      <iconSet showValue="0">
        <cfvo type="percent" val="0"/>
        <cfvo type="num" val="&quot;0+$Y$20&quot;"/>
        <cfvo type="num" val="1"/>
      </iconSet>
    </cfRule>
  </conditionalFormatting>
  <conditionalFormatting sqref="P210:BO210">
    <cfRule type="iconSet" priority="726">
      <iconSet iconSet="3Symbols2" showValue="0">
        <cfvo type="percent" val="0"/>
        <cfvo type="num" val="0"/>
        <cfvo type="num" val="6"/>
      </iconSet>
    </cfRule>
    <cfRule type="iconSet" priority="727">
      <iconSet iconSet="3Symbols2" showValue="0">
        <cfvo type="percent" val="0"/>
        <cfvo type="num" val="&quot;0+$Y$20&quot;"/>
        <cfvo type="num" val="1"/>
      </iconSet>
    </cfRule>
    <cfRule type="cellIs" dxfId="451" priority="728" operator="equal">
      <formula>6</formula>
    </cfRule>
  </conditionalFormatting>
  <conditionalFormatting sqref="P210:BO210">
    <cfRule type="cellIs" dxfId="450" priority="715" operator="equal">
      <formula>5</formula>
    </cfRule>
    <cfRule type="cellIs" dxfId="449" priority="716" operator="equal">
      <formula>4</formula>
    </cfRule>
    <cfRule type="cellIs" dxfId="448" priority="717" operator="equal">
      <formula>3</formula>
    </cfRule>
    <cfRule type="cellIs" dxfId="447" priority="718" operator="equal">
      <formula>5</formula>
    </cfRule>
    <cfRule type="cellIs" dxfId="446" priority="719" operator="equal">
      <formula>4</formula>
    </cfRule>
    <cfRule type="cellIs" dxfId="445" priority="720" operator="equal">
      <formula>3</formula>
    </cfRule>
    <cfRule type="cellIs" dxfId="444" priority="721" operator="equal">
      <formula>2</formula>
    </cfRule>
    <cfRule type="cellIs" dxfId="443" priority="722" operator="equal">
      <formula>1</formula>
    </cfRule>
    <cfRule type="iconSet" priority="723">
      <iconSet iconSet="3Symbols2" showValue="0">
        <cfvo type="percent" val="0"/>
        <cfvo type="num" val="0"/>
        <cfvo type="num" val="6"/>
      </iconSet>
    </cfRule>
    <cfRule type="iconSet" priority="724">
      <iconSet iconSet="3Symbols2" showValue="0">
        <cfvo type="percent" val="0"/>
        <cfvo type="num" val="&quot;0+$Y$20&quot;"/>
        <cfvo type="num" val="1"/>
      </iconSet>
    </cfRule>
    <cfRule type="cellIs" dxfId="442" priority="725" operator="equal">
      <formula>6</formula>
    </cfRule>
  </conditionalFormatting>
  <conditionalFormatting sqref="P212:BO212">
    <cfRule type="cellIs" dxfId="441" priority="712" operator="equal">
      <formula>"0-5"</formula>
    </cfRule>
    <cfRule type="iconSet" priority="713">
      <iconSet iconSet="3Symbols" showValue="0">
        <cfvo type="percent" val="0"/>
        <cfvo type="percent" val="33"/>
        <cfvo type="percent" val="67"/>
      </iconSet>
    </cfRule>
    <cfRule type="iconSet" priority="714">
      <iconSet iconSet="3Symbols">
        <cfvo type="percent" val="0"/>
        <cfvo type="percent" val="33"/>
        <cfvo type="percent" val="67"/>
      </iconSet>
    </cfRule>
  </conditionalFormatting>
  <conditionalFormatting sqref="P212:BO212">
    <cfRule type="iconSet" priority="710">
      <iconSet iconSet="3Symbols2" showValue="0">
        <cfvo type="percent" val="0"/>
        <cfvo type="num" val="&quot;0+$Y$20&quot;"/>
        <cfvo type="num" val="1"/>
      </iconSet>
    </cfRule>
    <cfRule type="cellIs" dxfId="440" priority="711" operator="equal">
      <formula>6</formula>
    </cfRule>
  </conditionalFormatting>
  <conditionalFormatting sqref="P212:BO212">
    <cfRule type="cellIs" dxfId="439" priority="708" operator="equal">
      <formula>6</formula>
    </cfRule>
    <cfRule type="iconSet" priority="709">
      <iconSet showValue="0">
        <cfvo type="percent" val="0"/>
        <cfvo type="num" val="&quot;0+$Y$20&quot;"/>
        <cfvo type="num" val="1"/>
      </iconSet>
    </cfRule>
  </conditionalFormatting>
  <conditionalFormatting sqref="P212:BO212">
    <cfRule type="iconSet" priority="705">
      <iconSet iconSet="3Symbols2" showValue="0">
        <cfvo type="percent" val="0"/>
        <cfvo type="num" val="0"/>
        <cfvo type="num" val="6"/>
      </iconSet>
    </cfRule>
    <cfRule type="iconSet" priority="706">
      <iconSet iconSet="3Symbols2" showValue="0">
        <cfvo type="percent" val="0"/>
        <cfvo type="num" val="&quot;0+$Y$20&quot;"/>
        <cfvo type="num" val="1"/>
      </iconSet>
    </cfRule>
    <cfRule type="cellIs" dxfId="438" priority="707" operator="equal">
      <formula>6</formula>
    </cfRule>
  </conditionalFormatting>
  <conditionalFormatting sqref="P212:BO212">
    <cfRule type="cellIs" dxfId="437" priority="694" operator="equal">
      <formula>5</formula>
    </cfRule>
    <cfRule type="cellIs" dxfId="436" priority="695" operator="equal">
      <formula>4</formula>
    </cfRule>
    <cfRule type="cellIs" dxfId="435" priority="696" operator="equal">
      <formula>3</formula>
    </cfRule>
    <cfRule type="cellIs" dxfId="434" priority="697" operator="equal">
      <formula>5</formula>
    </cfRule>
    <cfRule type="cellIs" dxfId="433" priority="698" operator="equal">
      <formula>4</formula>
    </cfRule>
    <cfRule type="cellIs" dxfId="432" priority="699" operator="equal">
      <formula>3</formula>
    </cfRule>
    <cfRule type="cellIs" dxfId="431" priority="700" operator="equal">
      <formula>2</formula>
    </cfRule>
    <cfRule type="cellIs" dxfId="430" priority="701" operator="equal">
      <formula>1</formula>
    </cfRule>
    <cfRule type="iconSet" priority="702">
      <iconSet iconSet="3Symbols2" showValue="0">
        <cfvo type="percent" val="0"/>
        <cfvo type="num" val="0"/>
        <cfvo type="num" val="6"/>
      </iconSet>
    </cfRule>
    <cfRule type="iconSet" priority="703">
      <iconSet iconSet="3Symbols2" showValue="0">
        <cfvo type="percent" val="0"/>
        <cfvo type="num" val="&quot;0+$Y$20&quot;"/>
        <cfvo type="num" val="1"/>
      </iconSet>
    </cfRule>
    <cfRule type="cellIs" dxfId="429" priority="704" operator="equal">
      <formula>6</formula>
    </cfRule>
  </conditionalFormatting>
  <conditionalFormatting sqref="P214:BO214">
    <cfRule type="cellIs" dxfId="428" priority="691" operator="equal">
      <formula>"0-5"</formula>
    </cfRule>
    <cfRule type="iconSet" priority="692">
      <iconSet iconSet="3Symbols" showValue="0">
        <cfvo type="percent" val="0"/>
        <cfvo type="percent" val="33"/>
        <cfvo type="percent" val="67"/>
      </iconSet>
    </cfRule>
    <cfRule type="iconSet" priority="693">
      <iconSet iconSet="3Symbols">
        <cfvo type="percent" val="0"/>
        <cfvo type="percent" val="33"/>
        <cfvo type="percent" val="67"/>
      </iconSet>
    </cfRule>
  </conditionalFormatting>
  <conditionalFormatting sqref="P214:BO214">
    <cfRule type="iconSet" priority="689">
      <iconSet iconSet="3Symbols2" showValue="0">
        <cfvo type="percent" val="0"/>
        <cfvo type="num" val="&quot;0+$Y$20&quot;"/>
        <cfvo type="num" val="1"/>
      </iconSet>
    </cfRule>
    <cfRule type="cellIs" dxfId="427" priority="690" operator="equal">
      <formula>6</formula>
    </cfRule>
  </conditionalFormatting>
  <conditionalFormatting sqref="P214:BO214">
    <cfRule type="cellIs" dxfId="426" priority="687" operator="equal">
      <formula>6</formula>
    </cfRule>
    <cfRule type="iconSet" priority="688">
      <iconSet showValue="0">
        <cfvo type="percent" val="0"/>
        <cfvo type="num" val="&quot;0+$Y$20&quot;"/>
        <cfvo type="num" val="1"/>
      </iconSet>
    </cfRule>
  </conditionalFormatting>
  <conditionalFormatting sqref="P214:BO214">
    <cfRule type="iconSet" priority="684">
      <iconSet iconSet="3Symbols2" showValue="0">
        <cfvo type="percent" val="0"/>
        <cfvo type="num" val="0"/>
        <cfvo type="num" val="6"/>
      </iconSet>
    </cfRule>
    <cfRule type="iconSet" priority="685">
      <iconSet iconSet="3Symbols2" showValue="0">
        <cfvo type="percent" val="0"/>
        <cfvo type="num" val="&quot;0+$Y$20&quot;"/>
        <cfvo type="num" val="1"/>
      </iconSet>
    </cfRule>
    <cfRule type="cellIs" dxfId="425" priority="686" operator="equal">
      <formula>6</formula>
    </cfRule>
  </conditionalFormatting>
  <conditionalFormatting sqref="P214:BO214">
    <cfRule type="cellIs" dxfId="424" priority="673" operator="equal">
      <formula>5</formula>
    </cfRule>
    <cfRule type="cellIs" dxfId="423" priority="674" operator="equal">
      <formula>4</formula>
    </cfRule>
    <cfRule type="cellIs" dxfId="422" priority="675" operator="equal">
      <formula>3</formula>
    </cfRule>
    <cfRule type="cellIs" dxfId="421" priority="676" operator="equal">
      <formula>5</formula>
    </cfRule>
    <cfRule type="cellIs" dxfId="420" priority="677" operator="equal">
      <formula>4</formula>
    </cfRule>
    <cfRule type="cellIs" dxfId="419" priority="678" operator="equal">
      <formula>3</formula>
    </cfRule>
    <cfRule type="cellIs" dxfId="418" priority="679" operator="equal">
      <formula>2</formula>
    </cfRule>
    <cfRule type="cellIs" dxfId="417" priority="680" operator="equal">
      <formula>1</formula>
    </cfRule>
    <cfRule type="iconSet" priority="681">
      <iconSet iconSet="3Symbols2" showValue="0">
        <cfvo type="percent" val="0"/>
        <cfvo type="num" val="0"/>
        <cfvo type="num" val="6"/>
      </iconSet>
    </cfRule>
    <cfRule type="iconSet" priority="682">
      <iconSet iconSet="3Symbols2" showValue="0">
        <cfvo type="percent" val="0"/>
        <cfvo type="num" val="&quot;0+$Y$20&quot;"/>
        <cfvo type="num" val="1"/>
      </iconSet>
    </cfRule>
    <cfRule type="cellIs" dxfId="416" priority="683" operator="equal">
      <formula>6</formula>
    </cfRule>
  </conditionalFormatting>
  <conditionalFormatting sqref="P216:BO216">
    <cfRule type="cellIs" dxfId="415" priority="670" operator="equal">
      <formula>"0-5"</formula>
    </cfRule>
    <cfRule type="iconSet" priority="671">
      <iconSet iconSet="3Symbols" showValue="0">
        <cfvo type="percent" val="0"/>
        <cfvo type="percent" val="33"/>
        <cfvo type="percent" val="67"/>
      </iconSet>
    </cfRule>
    <cfRule type="iconSet" priority="672">
      <iconSet iconSet="3Symbols">
        <cfvo type="percent" val="0"/>
        <cfvo type="percent" val="33"/>
        <cfvo type="percent" val="67"/>
      </iconSet>
    </cfRule>
  </conditionalFormatting>
  <conditionalFormatting sqref="P216:BO216">
    <cfRule type="iconSet" priority="668">
      <iconSet iconSet="3Symbols2" showValue="0">
        <cfvo type="percent" val="0"/>
        <cfvo type="num" val="&quot;0+$Y$20&quot;"/>
        <cfvo type="num" val="1"/>
      </iconSet>
    </cfRule>
    <cfRule type="cellIs" dxfId="414" priority="669" operator="equal">
      <formula>6</formula>
    </cfRule>
  </conditionalFormatting>
  <conditionalFormatting sqref="P216:BO216">
    <cfRule type="cellIs" dxfId="413" priority="666" operator="equal">
      <formula>6</formula>
    </cfRule>
    <cfRule type="iconSet" priority="667">
      <iconSet showValue="0">
        <cfvo type="percent" val="0"/>
        <cfvo type="num" val="&quot;0+$Y$20&quot;"/>
        <cfvo type="num" val="1"/>
      </iconSet>
    </cfRule>
  </conditionalFormatting>
  <conditionalFormatting sqref="P216:BO216">
    <cfRule type="iconSet" priority="663">
      <iconSet iconSet="3Symbols2" showValue="0">
        <cfvo type="percent" val="0"/>
        <cfvo type="num" val="0"/>
        <cfvo type="num" val="6"/>
      </iconSet>
    </cfRule>
    <cfRule type="iconSet" priority="664">
      <iconSet iconSet="3Symbols2" showValue="0">
        <cfvo type="percent" val="0"/>
        <cfvo type="num" val="&quot;0+$Y$20&quot;"/>
        <cfvo type="num" val="1"/>
      </iconSet>
    </cfRule>
    <cfRule type="cellIs" dxfId="412" priority="665" operator="equal">
      <formula>6</formula>
    </cfRule>
  </conditionalFormatting>
  <conditionalFormatting sqref="P216:BO216">
    <cfRule type="cellIs" dxfId="411" priority="652" operator="equal">
      <formula>5</formula>
    </cfRule>
    <cfRule type="cellIs" dxfId="410" priority="653" operator="equal">
      <formula>4</formula>
    </cfRule>
    <cfRule type="cellIs" dxfId="409" priority="654" operator="equal">
      <formula>3</formula>
    </cfRule>
    <cfRule type="cellIs" dxfId="408" priority="655" operator="equal">
      <formula>5</formula>
    </cfRule>
    <cfRule type="cellIs" dxfId="407" priority="656" operator="equal">
      <formula>4</formula>
    </cfRule>
    <cfRule type="cellIs" dxfId="406" priority="657" operator="equal">
      <formula>3</formula>
    </cfRule>
    <cfRule type="cellIs" dxfId="405" priority="658" operator="equal">
      <formula>2</formula>
    </cfRule>
    <cfRule type="cellIs" dxfId="404" priority="659" operator="equal">
      <formula>1</formula>
    </cfRule>
    <cfRule type="iconSet" priority="660">
      <iconSet iconSet="3Symbols2" showValue="0">
        <cfvo type="percent" val="0"/>
        <cfvo type="num" val="0"/>
        <cfvo type="num" val="6"/>
      </iconSet>
    </cfRule>
    <cfRule type="iconSet" priority="661">
      <iconSet iconSet="3Symbols2" showValue="0">
        <cfvo type="percent" val="0"/>
        <cfvo type="num" val="&quot;0+$Y$20&quot;"/>
        <cfvo type="num" val="1"/>
      </iconSet>
    </cfRule>
    <cfRule type="cellIs" dxfId="403" priority="662" operator="equal">
      <formula>6</formula>
    </cfRule>
  </conditionalFormatting>
  <conditionalFormatting sqref="P218:BO218">
    <cfRule type="cellIs" dxfId="402" priority="649" operator="equal">
      <formula>"0-5"</formula>
    </cfRule>
    <cfRule type="iconSet" priority="650">
      <iconSet iconSet="3Symbols" showValue="0">
        <cfvo type="percent" val="0"/>
        <cfvo type="percent" val="33"/>
        <cfvo type="percent" val="67"/>
      </iconSet>
    </cfRule>
    <cfRule type="iconSet" priority="651">
      <iconSet iconSet="3Symbols">
        <cfvo type="percent" val="0"/>
        <cfvo type="percent" val="33"/>
        <cfvo type="percent" val="67"/>
      </iconSet>
    </cfRule>
  </conditionalFormatting>
  <conditionalFormatting sqref="P218:BO218">
    <cfRule type="iconSet" priority="647">
      <iconSet iconSet="3Symbols2" showValue="0">
        <cfvo type="percent" val="0"/>
        <cfvo type="num" val="&quot;0+$Y$20&quot;"/>
        <cfvo type="num" val="1"/>
      </iconSet>
    </cfRule>
    <cfRule type="cellIs" dxfId="401" priority="648" operator="equal">
      <formula>6</formula>
    </cfRule>
  </conditionalFormatting>
  <conditionalFormatting sqref="P218:BO218">
    <cfRule type="cellIs" dxfId="400" priority="645" operator="equal">
      <formula>6</formula>
    </cfRule>
    <cfRule type="iconSet" priority="646">
      <iconSet showValue="0">
        <cfvo type="percent" val="0"/>
        <cfvo type="num" val="&quot;0+$Y$20&quot;"/>
        <cfvo type="num" val="1"/>
      </iconSet>
    </cfRule>
  </conditionalFormatting>
  <conditionalFormatting sqref="P218:BO218">
    <cfRule type="iconSet" priority="642">
      <iconSet iconSet="3Symbols2" showValue="0">
        <cfvo type="percent" val="0"/>
        <cfvo type="num" val="0"/>
        <cfvo type="num" val="6"/>
      </iconSet>
    </cfRule>
    <cfRule type="iconSet" priority="643">
      <iconSet iconSet="3Symbols2" showValue="0">
        <cfvo type="percent" val="0"/>
        <cfvo type="num" val="&quot;0+$Y$20&quot;"/>
        <cfvo type="num" val="1"/>
      </iconSet>
    </cfRule>
    <cfRule type="cellIs" dxfId="399" priority="644" operator="equal">
      <formula>6</formula>
    </cfRule>
  </conditionalFormatting>
  <conditionalFormatting sqref="P218:BO218">
    <cfRule type="cellIs" dxfId="398" priority="631" operator="equal">
      <formula>5</formula>
    </cfRule>
    <cfRule type="cellIs" dxfId="397" priority="632" operator="equal">
      <formula>4</formula>
    </cfRule>
    <cfRule type="cellIs" dxfId="396" priority="633" operator="equal">
      <formula>3</formula>
    </cfRule>
    <cfRule type="cellIs" dxfId="395" priority="634" operator="equal">
      <formula>5</formula>
    </cfRule>
    <cfRule type="cellIs" dxfId="394" priority="635" operator="equal">
      <formula>4</formula>
    </cfRule>
    <cfRule type="cellIs" dxfId="393" priority="636" operator="equal">
      <formula>3</formula>
    </cfRule>
    <cfRule type="cellIs" dxfId="392" priority="637" operator="equal">
      <formula>2</formula>
    </cfRule>
    <cfRule type="cellIs" dxfId="391" priority="638" operator="equal">
      <formula>1</formula>
    </cfRule>
    <cfRule type="iconSet" priority="639">
      <iconSet iconSet="3Symbols2" showValue="0">
        <cfvo type="percent" val="0"/>
        <cfvo type="num" val="0"/>
        <cfvo type="num" val="6"/>
      </iconSet>
    </cfRule>
    <cfRule type="iconSet" priority="640">
      <iconSet iconSet="3Symbols2" showValue="0">
        <cfvo type="percent" val="0"/>
        <cfvo type="num" val="&quot;0+$Y$20&quot;"/>
        <cfvo type="num" val="1"/>
      </iconSet>
    </cfRule>
    <cfRule type="cellIs" dxfId="390" priority="641" operator="equal">
      <formula>6</formula>
    </cfRule>
  </conditionalFormatting>
  <conditionalFormatting sqref="P220:BO220">
    <cfRule type="cellIs" dxfId="389" priority="628" operator="equal">
      <formula>"0-5"</formula>
    </cfRule>
    <cfRule type="iconSet" priority="629">
      <iconSet iconSet="3Symbols" showValue="0">
        <cfvo type="percent" val="0"/>
        <cfvo type="percent" val="33"/>
        <cfvo type="percent" val="67"/>
      </iconSet>
    </cfRule>
    <cfRule type="iconSet" priority="630">
      <iconSet iconSet="3Symbols">
        <cfvo type="percent" val="0"/>
        <cfvo type="percent" val="33"/>
        <cfvo type="percent" val="67"/>
      </iconSet>
    </cfRule>
  </conditionalFormatting>
  <conditionalFormatting sqref="P220:BO220">
    <cfRule type="iconSet" priority="626">
      <iconSet iconSet="3Symbols2" showValue="0">
        <cfvo type="percent" val="0"/>
        <cfvo type="num" val="&quot;0+$Y$20&quot;"/>
        <cfvo type="num" val="1"/>
      </iconSet>
    </cfRule>
    <cfRule type="cellIs" dxfId="388" priority="627" operator="equal">
      <formula>6</formula>
    </cfRule>
  </conditionalFormatting>
  <conditionalFormatting sqref="P220:BO220">
    <cfRule type="cellIs" dxfId="387" priority="624" operator="equal">
      <formula>6</formula>
    </cfRule>
    <cfRule type="iconSet" priority="625">
      <iconSet showValue="0">
        <cfvo type="percent" val="0"/>
        <cfvo type="num" val="&quot;0+$Y$20&quot;"/>
        <cfvo type="num" val="1"/>
      </iconSet>
    </cfRule>
  </conditionalFormatting>
  <conditionalFormatting sqref="P220:BO220">
    <cfRule type="iconSet" priority="621">
      <iconSet iconSet="3Symbols2" showValue="0">
        <cfvo type="percent" val="0"/>
        <cfvo type="num" val="0"/>
        <cfvo type="num" val="6"/>
      </iconSet>
    </cfRule>
    <cfRule type="iconSet" priority="622">
      <iconSet iconSet="3Symbols2" showValue="0">
        <cfvo type="percent" val="0"/>
        <cfvo type="num" val="&quot;0+$Y$20&quot;"/>
        <cfvo type="num" val="1"/>
      </iconSet>
    </cfRule>
    <cfRule type="cellIs" dxfId="386" priority="623" operator="equal">
      <formula>6</formula>
    </cfRule>
  </conditionalFormatting>
  <conditionalFormatting sqref="P220:BO220">
    <cfRule type="cellIs" dxfId="385" priority="610" operator="equal">
      <formula>5</formula>
    </cfRule>
    <cfRule type="cellIs" dxfId="384" priority="611" operator="equal">
      <formula>4</formula>
    </cfRule>
    <cfRule type="cellIs" dxfId="383" priority="612" operator="equal">
      <formula>3</formula>
    </cfRule>
    <cfRule type="cellIs" dxfId="382" priority="613" operator="equal">
      <formula>5</formula>
    </cfRule>
    <cfRule type="cellIs" dxfId="381" priority="614" operator="equal">
      <formula>4</formula>
    </cfRule>
    <cfRule type="cellIs" dxfId="380" priority="615" operator="equal">
      <formula>3</formula>
    </cfRule>
    <cfRule type="cellIs" dxfId="379" priority="616" operator="equal">
      <formula>2</formula>
    </cfRule>
    <cfRule type="cellIs" dxfId="378" priority="617" operator="equal">
      <formula>1</formula>
    </cfRule>
    <cfRule type="iconSet" priority="618">
      <iconSet iconSet="3Symbols2" showValue="0">
        <cfvo type="percent" val="0"/>
        <cfvo type="num" val="0"/>
        <cfvo type="num" val="6"/>
      </iconSet>
    </cfRule>
    <cfRule type="iconSet" priority="619">
      <iconSet iconSet="3Symbols2" showValue="0">
        <cfvo type="percent" val="0"/>
        <cfvo type="num" val="&quot;0+$Y$20&quot;"/>
        <cfvo type="num" val="1"/>
      </iconSet>
    </cfRule>
    <cfRule type="cellIs" dxfId="377" priority="620" operator="equal">
      <formula>6</formula>
    </cfRule>
  </conditionalFormatting>
  <conditionalFormatting sqref="P222:BO222">
    <cfRule type="cellIs" dxfId="376" priority="607" operator="equal">
      <formula>"0-5"</formula>
    </cfRule>
    <cfRule type="iconSet" priority="608">
      <iconSet iconSet="3Symbols" showValue="0">
        <cfvo type="percent" val="0"/>
        <cfvo type="percent" val="33"/>
        <cfvo type="percent" val="67"/>
      </iconSet>
    </cfRule>
    <cfRule type="iconSet" priority="609">
      <iconSet iconSet="3Symbols">
        <cfvo type="percent" val="0"/>
        <cfvo type="percent" val="33"/>
        <cfvo type="percent" val="67"/>
      </iconSet>
    </cfRule>
  </conditionalFormatting>
  <conditionalFormatting sqref="P222:BO222">
    <cfRule type="iconSet" priority="605">
      <iconSet iconSet="3Symbols2" showValue="0">
        <cfvo type="percent" val="0"/>
        <cfvo type="num" val="&quot;0+$Y$20&quot;"/>
        <cfvo type="num" val="1"/>
      </iconSet>
    </cfRule>
    <cfRule type="cellIs" dxfId="375" priority="606" operator="equal">
      <formula>6</formula>
    </cfRule>
  </conditionalFormatting>
  <conditionalFormatting sqref="P222:BO222">
    <cfRule type="cellIs" dxfId="374" priority="603" operator="equal">
      <formula>6</formula>
    </cfRule>
    <cfRule type="iconSet" priority="604">
      <iconSet showValue="0">
        <cfvo type="percent" val="0"/>
        <cfvo type="num" val="&quot;0+$Y$20&quot;"/>
        <cfvo type="num" val="1"/>
      </iconSet>
    </cfRule>
  </conditionalFormatting>
  <conditionalFormatting sqref="P222:BO222">
    <cfRule type="iconSet" priority="600">
      <iconSet iconSet="3Symbols2" showValue="0">
        <cfvo type="percent" val="0"/>
        <cfvo type="num" val="0"/>
        <cfvo type="num" val="6"/>
      </iconSet>
    </cfRule>
    <cfRule type="iconSet" priority="601">
      <iconSet iconSet="3Symbols2" showValue="0">
        <cfvo type="percent" val="0"/>
        <cfvo type="num" val="&quot;0+$Y$20&quot;"/>
        <cfvo type="num" val="1"/>
      </iconSet>
    </cfRule>
    <cfRule type="cellIs" dxfId="373" priority="602" operator="equal">
      <formula>6</formula>
    </cfRule>
  </conditionalFormatting>
  <conditionalFormatting sqref="P222:BO222">
    <cfRule type="cellIs" dxfId="372" priority="589" operator="equal">
      <formula>5</formula>
    </cfRule>
    <cfRule type="cellIs" dxfId="371" priority="590" operator="equal">
      <formula>4</formula>
    </cfRule>
    <cfRule type="cellIs" dxfId="370" priority="591" operator="equal">
      <formula>3</formula>
    </cfRule>
    <cfRule type="cellIs" dxfId="369" priority="592" operator="equal">
      <formula>5</formula>
    </cfRule>
    <cfRule type="cellIs" dxfId="368" priority="593" operator="equal">
      <formula>4</formula>
    </cfRule>
    <cfRule type="cellIs" dxfId="367" priority="594" operator="equal">
      <formula>3</formula>
    </cfRule>
    <cfRule type="cellIs" dxfId="366" priority="595" operator="equal">
      <formula>2</formula>
    </cfRule>
    <cfRule type="cellIs" dxfId="365" priority="596" operator="equal">
      <formula>1</formula>
    </cfRule>
    <cfRule type="iconSet" priority="597">
      <iconSet iconSet="3Symbols2" showValue="0">
        <cfvo type="percent" val="0"/>
        <cfvo type="num" val="0"/>
        <cfvo type="num" val="6"/>
      </iconSet>
    </cfRule>
    <cfRule type="iconSet" priority="598">
      <iconSet iconSet="3Symbols2" showValue="0">
        <cfvo type="percent" val="0"/>
        <cfvo type="num" val="&quot;0+$Y$20&quot;"/>
        <cfvo type="num" val="1"/>
      </iconSet>
    </cfRule>
    <cfRule type="cellIs" dxfId="364" priority="599" operator="equal">
      <formula>6</formula>
    </cfRule>
  </conditionalFormatting>
  <conditionalFormatting sqref="P224:BO224">
    <cfRule type="cellIs" dxfId="363" priority="586" operator="equal">
      <formula>"0-5"</formula>
    </cfRule>
    <cfRule type="iconSet" priority="587">
      <iconSet iconSet="3Symbols" showValue="0">
        <cfvo type="percent" val="0"/>
        <cfvo type="percent" val="33"/>
        <cfvo type="percent" val="67"/>
      </iconSet>
    </cfRule>
    <cfRule type="iconSet" priority="588">
      <iconSet iconSet="3Symbols">
        <cfvo type="percent" val="0"/>
        <cfvo type="percent" val="33"/>
        <cfvo type="percent" val="67"/>
      </iconSet>
    </cfRule>
  </conditionalFormatting>
  <conditionalFormatting sqref="P224:BO224">
    <cfRule type="iconSet" priority="584">
      <iconSet iconSet="3Symbols2" showValue="0">
        <cfvo type="percent" val="0"/>
        <cfvo type="num" val="&quot;0+$Y$20&quot;"/>
        <cfvo type="num" val="1"/>
      </iconSet>
    </cfRule>
    <cfRule type="cellIs" dxfId="362" priority="585" operator="equal">
      <formula>6</formula>
    </cfRule>
  </conditionalFormatting>
  <conditionalFormatting sqref="P224:BO224">
    <cfRule type="cellIs" dxfId="361" priority="582" operator="equal">
      <formula>6</formula>
    </cfRule>
    <cfRule type="iconSet" priority="583">
      <iconSet showValue="0">
        <cfvo type="percent" val="0"/>
        <cfvo type="num" val="&quot;0+$Y$20&quot;"/>
        <cfvo type="num" val="1"/>
      </iconSet>
    </cfRule>
  </conditionalFormatting>
  <conditionalFormatting sqref="P224:BO224">
    <cfRule type="iconSet" priority="579">
      <iconSet iconSet="3Symbols2" showValue="0">
        <cfvo type="percent" val="0"/>
        <cfvo type="num" val="0"/>
        <cfvo type="num" val="6"/>
      </iconSet>
    </cfRule>
    <cfRule type="iconSet" priority="580">
      <iconSet iconSet="3Symbols2" showValue="0">
        <cfvo type="percent" val="0"/>
        <cfvo type="num" val="&quot;0+$Y$20&quot;"/>
        <cfvo type="num" val="1"/>
      </iconSet>
    </cfRule>
    <cfRule type="cellIs" dxfId="360" priority="581" operator="equal">
      <formula>6</formula>
    </cfRule>
  </conditionalFormatting>
  <conditionalFormatting sqref="P224:BO224">
    <cfRule type="cellIs" dxfId="359" priority="568" operator="equal">
      <formula>5</formula>
    </cfRule>
    <cfRule type="cellIs" dxfId="358" priority="569" operator="equal">
      <formula>4</formula>
    </cfRule>
    <cfRule type="cellIs" dxfId="357" priority="570" operator="equal">
      <formula>3</formula>
    </cfRule>
    <cfRule type="cellIs" dxfId="356" priority="571" operator="equal">
      <formula>5</formula>
    </cfRule>
    <cfRule type="cellIs" dxfId="355" priority="572" operator="equal">
      <formula>4</formula>
    </cfRule>
    <cfRule type="cellIs" dxfId="354" priority="573" operator="equal">
      <formula>3</formula>
    </cfRule>
    <cfRule type="cellIs" dxfId="353" priority="574" operator="equal">
      <formula>2</formula>
    </cfRule>
    <cfRule type="cellIs" dxfId="352" priority="575" operator="equal">
      <formula>1</formula>
    </cfRule>
    <cfRule type="iconSet" priority="576">
      <iconSet iconSet="3Symbols2" showValue="0">
        <cfvo type="percent" val="0"/>
        <cfvo type="num" val="0"/>
        <cfvo type="num" val="6"/>
      </iconSet>
    </cfRule>
    <cfRule type="iconSet" priority="577">
      <iconSet iconSet="3Symbols2" showValue="0">
        <cfvo type="percent" val="0"/>
        <cfvo type="num" val="&quot;0+$Y$20&quot;"/>
        <cfvo type="num" val="1"/>
      </iconSet>
    </cfRule>
    <cfRule type="cellIs" dxfId="351" priority="578" operator="equal">
      <formula>6</formula>
    </cfRule>
  </conditionalFormatting>
  <conditionalFormatting sqref="P226:BO226">
    <cfRule type="cellIs" dxfId="350" priority="565" operator="equal">
      <formula>"0-5"</formula>
    </cfRule>
    <cfRule type="iconSet" priority="566">
      <iconSet iconSet="3Symbols" showValue="0">
        <cfvo type="percent" val="0"/>
        <cfvo type="percent" val="33"/>
        <cfvo type="percent" val="67"/>
      </iconSet>
    </cfRule>
    <cfRule type="iconSet" priority="567">
      <iconSet iconSet="3Symbols">
        <cfvo type="percent" val="0"/>
        <cfvo type="percent" val="33"/>
        <cfvo type="percent" val="67"/>
      </iconSet>
    </cfRule>
  </conditionalFormatting>
  <conditionalFormatting sqref="P226:BO226">
    <cfRule type="iconSet" priority="563">
      <iconSet iconSet="3Symbols2" showValue="0">
        <cfvo type="percent" val="0"/>
        <cfvo type="num" val="&quot;0+$Y$20&quot;"/>
        <cfvo type="num" val="1"/>
      </iconSet>
    </cfRule>
    <cfRule type="cellIs" dxfId="349" priority="564" operator="equal">
      <formula>6</formula>
    </cfRule>
  </conditionalFormatting>
  <conditionalFormatting sqref="P226:BO226">
    <cfRule type="cellIs" dxfId="348" priority="561" operator="equal">
      <formula>6</formula>
    </cfRule>
    <cfRule type="iconSet" priority="562">
      <iconSet showValue="0">
        <cfvo type="percent" val="0"/>
        <cfvo type="num" val="&quot;0+$Y$20&quot;"/>
        <cfvo type="num" val="1"/>
      </iconSet>
    </cfRule>
  </conditionalFormatting>
  <conditionalFormatting sqref="P226:BO226">
    <cfRule type="iconSet" priority="558">
      <iconSet iconSet="3Symbols2" showValue="0">
        <cfvo type="percent" val="0"/>
        <cfvo type="num" val="0"/>
        <cfvo type="num" val="6"/>
      </iconSet>
    </cfRule>
    <cfRule type="iconSet" priority="559">
      <iconSet iconSet="3Symbols2" showValue="0">
        <cfvo type="percent" val="0"/>
        <cfvo type="num" val="&quot;0+$Y$20&quot;"/>
        <cfvo type="num" val="1"/>
      </iconSet>
    </cfRule>
    <cfRule type="cellIs" dxfId="347" priority="560" operator="equal">
      <formula>6</formula>
    </cfRule>
  </conditionalFormatting>
  <conditionalFormatting sqref="P226:BO226">
    <cfRule type="cellIs" dxfId="346" priority="547" operator="equal">
      <formula>5</formula>
    </cfRule>
    <cfRule type="cellIs" dxfId="345" priority="548" operator="equal">
      <formula>4</formula>
    </cfRule>
    <cfRule type="cellIs" dxfId="344" priority="549" operator="equal">
      <formula>3</formula>
    </cfRule>
    <cfRule type="cellIs" dxfId="343" priority="550" operator="equal">
      <formula>5</formula>
    </cfRule>
    <cfRule type="cellIs" dxfId="342" priority="551" operator="equal">
      <formula>4</formula>
    </cfRule>
    <cfRule type="cellIs" dxfId="341" priority="552" operator="equal">
      <formula>3</formula>
    </cfRule>
    <cfRule type="cellIs" dxfId="340" priority="553" operator="equal">
      <formula>2</formula>
    </cfRule>
    <cfRule type="cellIs" dxfId="339" priority="554" operator="equal">
      <formula>1</formula>
    </cfRule>
    <cfRule type="iconSet" priority="555">
      <iconSet iconSet="3Symbols2" showValue="0">
        <cfvo type="percent" val="0"/>
        <cfvo type="num" val="0"/>
        <cfvo type="num" val="6"/>
      </iconSet>
    </cfRule>
    <cfRule type="iconSet" priority="556">
      <iconSet iconSet="3Symbols2" showValue="0">
        <cfvo type="percent" val="0"/>
        <cfvo type="num" val="&quot;0+$Y$20&quot;"/>
        <cfvo type="num" val="1"/>
      </iconSet>
    </cfRule>
    <cfRule type="cellIs" dxfId="338" priority="557" operator="equal">
      <formula>6</formula>
    </cfRule>
  </conditionalFormatting>
  <conditionalFormatting sqref="P228:BO228">
    <cfRule type="cellIs" dxfId="337" priority="544" operator="equal">
      <formula>"0-5"</formula>
    </cfRule>
    <cfRule type="iconSet" priority="545">
      <iconSet iconSet="3Symbols" showValue="0">
        <cfvo type="percent" val="0"/>
        <cfvo type="percent" val="33"/>
        <cfvo type="percent" val="67"/>
      </iconSet>
    </cfRule>
    <cfRule type="iconSet" priority="546">
      <iconSet iconSet="3Symbols">
        <cfvo type="percent" val="0"/>
        <cfvo type="percent" val="33"/>
        <cfvo type="percent" val="67"/>
      </iconSet>
    </cfRule>
  </conditionalFormatting>
  <conditionalFormatting sqref="P228:BO228">
    <cfRule type="iconSet" priority="542">
      <iconSet iconSet="3Symbols2" showValue="0">
        <cfvo type="percent" val="0"/>
        <cfvo type="num" val="&quot;0+$Y$20&quot;"/>
        <cfvo type="num" val="1"/>
      </iconSet>
    </cfRule>
    <cfRule type="cellIs" dxfId="336" priority="543" operator="equal">
      <formula>6</formula>
    </cfRule>
  </conditionalFormatting>
  <conditionalFormatting sqref="P228:BO228">
    <cfRule type="cellIs" dxfId="335" priority="540" operator="equal">
      <formula>6</formula>
    </cfRule>
    <cfRule type="iconSet" priority="541">
      <iconSet showValue="0">
        <cfvo type="percent" val="0"/>
        <cfvo type="num" val="&quot;0+$Y$20&quot;"/>
        <cfvo type="num" val="1"/>
      </iconSet>
    </cfRule>
  </conditionalFormatting>
  <conditionalFormatting sqref="P228:BO228">
    <cfRule type="iconSet" priority="537">
      <iconSet iconSet="3Symbols2" showValue="0">
        <cfvo type="percent" val="0"/>
        <cfvo type="num" val="0"/>
        <cfvo type="num" val="6"/>
      </iconSet>
    </cfRule>
    <cfRule type="iconSet" priority="538">
      <iconSet iconSet="3Symbols2" showValue="0">
        <cfvo type="percent" val="0"/>
        <cfvo type="num" val="&quot;0+$Y$20&quot;"/>
        <cfvo type="num" val="1"/>
      </iconSet>
    </cfRule>
    <cfRule type="cellIs" dxfId="334" priority="539" operator="equal">
      <formula>6</formula>
    </cfRule>
  </conditionalFormatting>
  <conditionalFormatting sqref="P228:BO228">
    <cfRule type="cellIs" dxfId="333" priority="526" operator="equal">
      <formula>5</formula>
    </cfRule>
    <cfRule type="cellIs" dxfId="332" priority="527" operator="equal">
      <formula>4</formula>
    </cfRule>
    <cfRule type="cellIs" dxfId="331" priority="528" operator="equal">
      <formula>3</formula>
    </cfRule>
    <cfRule type="cellIs" dxfId="330" priority="529" operator="equal">
      <formula>5</formula>
    </cfRule>
    <cfRule type="cellIs" dxfId="329" priority="530" operator="equal">
      <formula>4</formula>
    </cfRule>
    <cfRule type="cellIs" dxfId="328" priority="531" operator="equal">
      <formula>3</formula>
    </cfRule>
    <cfRule type="cellIs" dxfId="327" priority="532" operator="equal">
      <formula>2</formula>
    </cfRule>
    <cfRule type="cellIs" dxfId="326" priority="533" operator="equal">
      <formula>1</formula>
    </cfRule>
    <cfRule type="iconSet" priority="534">
      <iconSet iconSet="3Symbols2" showValue="0">
        <cfvo type="percent" val="0"/>
        <cfvo type="num" val="0"/>
        <cfvo type="num" val="6"/>
      </iconSet>
    </cfRule>
    <cfRule type="iconSet" priority="535">
      <iconSet iconSet="3Symbols2" showValue="0">
        <cfvo type="percent" val="0"/>
        <cfvo type="num" val="&quot;0+$Y$20&quot;"/>
        <cfvo type="num" val="1"/>
      </iconSet>
    </cfRule>
    <cfRule type="cellIs" dxfId="325" priority="536" operator="equal">
      <formula>6</formula>
    </cfRule>
  </conditionalFormatting>
  <conditionalFormatting sqref="P230:BO230">
    <cfRule type="cellIs" dxfId="324" priority="523" operator="equal">
      <formula>"0-5"</formula>
    </cfRule>
    <cfRule type="iconSet" priority="524">
      <iconSet iconSet="3Symbols" showValue="0">
        <cfvo type="percent" val="0"/>
        <cfvo type="percent" val="33"/>
        <cfvo type="percent" val="67"/>
      </iconSet>
    </cfRule>
    <cfRule type="iconSet" priority="525">
      <iconSet iconSet="3Symbols">
        <cfvo type="percent" val="0"/>
        <cfvo type="percent" val="33"/>
        <cfvo type="percent" val="67"/>
      </iconSet>
    </cfRule>
  </conditionalFormatting>
  <conditionalFormatting sqref="P230:BO230">
    <cfRule type="iconSet" priority="521">
      <iconSet iconSet="3Symbols2" showValue="0">
        <cfvo type="percent" val="0"/>
        <cfvo type="num" val="&quot;0+$Y$20&quot;"/>
        <cfvo type="num" val="1"/>
      </iconSet>
    </cfRule>
    <cfRule type="cellIs" dxfId="323" priority="522" operator="equal">
      <formula>6</formula>
    </cfRule>
  </conditionalFormatting>
  <conditionalFormatting sqref="P230:BO230">
    <cfRule type="cellIs" dxfId="322" priority="519" operator="equal">
      <formula>6</formula>
    </cfRule>
    <cfRule type="iconSet" priority="520">
      <iconSet showValue="0">
        <cfvo type="percent" val="0"/>
        <cfvo type="num" val="&quot;0+$Y$20&quot;"/>
        <cfvo type="num" val="1"/>
      </iconSet>
    </cfRule>
  </conditionalFormatting>
  <conditionalFormatting sqref="P230:BO230">
    <cfRule type="iconSet" priority="516">
      <iconSet iconSet="3Symbols2" showValue="0">
        <cfvo type="percent" val="0"/>
        <cfvo type="num" val="0"/>
        <cfvo type="num" val="6"/>
      </iconSet>
    </cfRule>
    <cfRule type="iconSet" priority="517">
      <iconSet iconSet="3Symbols2" showValue="0">
        <cfvo type="percent" val="0"/>
        <cfvo type="num" val="&quot;0+$Y$20&quot;"/>
        <cfvo type="num" val="1"/>
      </iconSet>
    </cfRule>
    <cfRule type="cellIs" dxfId="321" priority="518" operator="equal">
      <formula>6</formula>
    </cfRule>
  </conditionalFormatting>
  <conditionalFormatting sqref="P230:BO230">
    <cfRule type="cellIs" dxfId="320" priority="505" operator="equal">
      <formula>5</formula>
    </cfRule>
    <cfRule type="cellIs" dxfId="319" priority="506" operator="equal">
      <formula>4</formula>
    </cfRule>
    <cfRule type="cellIs" dxfId="318" priority="507" operator="equal">
      <formula>3</formula>
    </cfRule>
    <cfRule type="cellIs" dxfId="317" priority="508" operator="equal">
      <formula>5</formula>
    </cfRule>
    <cfRule type="cellIs" dxfId="316" priority="509" operator="equal">
      <formula>4</formula>
    </cfRule>
    <cfRule type="cellIs" dxfId="315" priority="510" operator="equal">
      <formula>3</formula>
    </cfRule>
    <cfRule type="cellIs" dxfId="314" priority="511" operator="equal">
      <formula>2</formula>
    </cfRule>
    <cfRule type="cellIs" dxfId="313" priority="512" operator="equal">
      <formula>1</formula>
    </cfRule>
    <cfRule type="iconSet" priority="513">
      <iconSet iconSet="3Symbols2" showValue="0">
        <cfvo type="percent" val="0"/>
        <cfvo type="num" val="0"/>
        <cfvo type="num" val="6"/>
      </iconSet>
    </cfRule>
    <cfRule type="iconSet" priority="514">
      <iconSet iconSet="3Symbols2" showValue="0">
        <cfvo type="percent" val="0"/>
        <cfvo type="num" val="&quot;0+$Y$20&quot;"/>
        <cfvo type="num" val="1"/>
      </iconSet>
    </cfRule>
    <cfRule type="cellIs" dxfId="312" priority="515" operator="equal">
      <formula>6</formula>
    </cfRule>
  </conditionalFormatting>
  <conditionalFormatting sqref="P232:BO232">
    <cfRule type="cellIs" dxfId="311" priority="502" operator="equal">
      <formula>"0-5"</formula>
    </cfRule>
    <cfRule type="iconSet" priority="503">
      <iconSet iconSet="3Symbols" showValue="0">
        <cfvo type="percent" val="0"/>
        <cfvo type="percent" val="33"/>
        <cfvo type="percent" val="67"/>
      </iconSet>
    </cfRule>
    <cfRule type="iconSet" priority="504">
      <iconSet iconSet="3Symbols">
        <cfvo type="percent" val="0"/>
        <cfvo type="percent" val="33"/>
        <cfvo type="percent" val="67"/>
      </iconSet>
    </cfRule>
  </conditionalFormatting>
  <conditionalFormatting sqref="P232:BO232">
    <cfRule type="iconSet" priority="500">
      <iconSet iconSet="3Symbols2" showValue="0">
        <cfvo type="percent" val="0"/>
        <cfvo type="num" val="&quot;0+$Y$20&quot;"/>
        <cfvo type="num" val="1"/>
      </iconSet>
    </cfRule>
    <cfRule type="cellIs" dxfId="310" priority="501" operator="equal">
      <formula>6</formula>
    </cfRule>
  </conditionalFormatting>
  <conditionalFormatting sqref="P232:BO232">
    <cfRule type="cellIs" dxfId="309" priority="498" operator="equal">
      <formula>6</formula>
    </cfRule>
    <cfRule type="iconSet" priority="499">
      <iconSet showValue="0">
        <cfvo type="percent" val="0"/>
        <cfvo type="num" val="&quot;0+$Y$20&quot;"/>
        <cfvo type="num" val="1"/>
      </iconSet>
    </cfRule>
  </conditionalFormatting>
  <conditionalFormatting sqref="P232:BO232">
    <cfRule type="iconSet" priority="495">
      <iconSet iconSet="3Symbols2" showValue="0">
        <cfvo type="percent" val="0"/>
        <cfvo type="num" val="0"/>
        <cfvo type="num" val="6"/>
      </iconSet>
    </cfRule>
    <cfRule type="iconSet" priority="496">
      <iconSet iconSet="3Symbols2" showValue="0">
        <cfvo type="percent" val="0"/>
        <cfvo type="num" val="&quot;0+$Y$20&quot;"/>
        <cfvo type="num" val="1"/>
      </iconSet>
    </cfRule>
    <cfRule type="cellIs" dxfId="308" priority="497" operator="equal">
      <formula>6</formula>
    </cfRule>
  </conditionalFormatting>
  <conditionalFormatting sqref="P232:BO232">
    <cfRule type="cellIs" dxfId="307" priority="484" operator="equal">
      <formula>5</formula>
    </cfRule>
    <cfRule type="cellIs" dxfId="306" priority="485" operator="equal">
      <formula>4</formula>
    </cfRule>
    <cfRule type="cellIs" dxfId="305" priority="486" operator="equal">
      <formula>3</formula>
    </cfRule>
    <cfRule type="cellIs" dxfId="304" priority="487" operator="equal">
      <formula>5</formula>
    </cfRule>
    <cfRule type="cellIs" dxfId="303" priority="488" operator="equal">
      <formula>4</formula>
    </cfRule>
    <cfRule type="cellIs" dxfId="302" priority="489" operator="equal">
      <formula>3</formula>
    </cfRule>
    <cfRule type="cellIs" dxfId="301" priority="490" operator="equal">
      <formula>2</formula>
    </cfRule>
    <cfRule type="cellIs" dxfId="300" priority="491" operator="equal">
      <formula>1</formula>
    </cfRule>
    <cfRule type="iconSet" priority="492">
      <iconSet iconSet="3Symbols2" showValue="0">
        <cfvo type="percent" val="0"/>
        <cfvo type="num" val="0"/>
        <cfvo type="num" val="6"/>
      </iconSet>
    </cfRule>
    <cfRule type="iconSet" priority="493">
      <iconSet iconSet="3Symbols2" showValue="0">
        <cfvo type="percent" val="0"/>
        <cfvo type="num" val="&quot;0+$Y$20&quot;"/>
        <cfvo type="num" val="1"/>
      </iconSet>
    </cfRule>
    <cfRule type="cellIs" dxfId="299" priority="494" operator="equal">
      <formula>6</formula>
    </cfRule>
  </conditionalFormatting>
  <conditionalFormatting sqref="P234:BO234">
    <cfRule type="cellIs" dxfId="298" priority="481" operator="equal">
      <formula>"0-5"</formula>
    </cfRule>
    <cfRule type="iconSet" priority="482">
      <iconSet iconSet="3Symbols" showValue="0">
        <cfvo type="percent" val="0"/>
        <cfvo type="percent" val="33"/>
        <cfvo type="percent" val="67"/>
      </iconSet>
    </cfRule>
    <cfRule type="iconSet" priority="483">
      <iconSet iconSet="3Symbols">
        <cfvo type="percent" val="0"/>
        <cfvo type="percent" val="33"/>
        <cfvo type="percent" val="67"/>
      </iconSet>
    </cfRule>
  </conditionalFormatting>
  <conditionalFormatting sqref="P234:BO234">
    <cfRule type="iconSet" priority="479">
      <iconSet iconSet="3Symbols2" showValue="0">
        <cfvo type="percent" val="0"/>
        <cfvo type="num" val="&quot;0+$Y$20&quot;"/>
        <cfvo type="num" val="1"/>
      </iconSet>
    </cfRule>
    <cfRule type="cellIs" dxfId="297" priority="480" operator="equal">
      <formula>6</formula>
    </cfRule>
  </conditionalFormatting>
  <conditionalFormatting sqref="P234:BO234">
    <cfRule type="cellIs" dxfId="296" priority="477" operator="equal">
      <formula>6</formula>
    </cfRule>
    <cfRule type="iconSet" priority="478">
      <iconSet showValue="0">
        <cfvo type="percent" val="0"/>
        <cfvo type="num" val="&quot;0+$Y$20&quot;"/>
        <cfvo type="num" val="1"/>
      </iconSet>
    </cfRule>
  </conditionalFormatting>
  <conditionalFormatting sqref="P234:BO234">
    <cfRule type="iconSet" priority="474">
      <iconSet iconSet="3Symbols2" showValue="0">
        <cfvo type="percent" val="0"/>
        <cfvo type="num" val="0"/>
        <cfvo type="num" val="6"/>
      </iconSet>
    </cfRule>
    <cfRule type="iconSet" priority="475">
      <iconSet iconSet="3Symbols2" showValue="0">
        <cfvo type="percent" val="0"/>
        <cfvo type="num" val="&quot;0+$Y$20&quot;"/>
        <cfvo type="num" val="1"/>
      </iconSet>
    </cfRule>
    <cfRule type="cellIs" dxfId="295" priority="476" operator="equal">
      <formula>6</formula>
    </cfRule>
  </conditionalFormatting>
  <conditionalFormatting sqref="P234:BO234">
    <cfRule type="cellIs" dxfId="294" priority="463" operator="equal">
      <formula>5</formula>
    </cfRule>
    <cfRule type="cellIs" dxfId="293" priority="464" operator="equal">
      <formula>4</formula>
    </cfRule>
    <cfRule type="cellIs" dxfId="292" priority="465" operator="equal">
      <formula>3</formula>
    </cfRule>
    <cfRule type="cellIs" dxfId="291" priority="466" operator="equal">
      <formula>5</formula>
    </cfRule>
    <cfRule type="cellIs" dxfId="290" priority="467" operator="equal">
      <formula>4</formula>
    </cfRule>
    <cfRule type="cellIs" dxfId="289" priority="468" operator="equal">
      <formula>3</formula>
    </cfRule>
    <cfRule type="cellIs" dxfId="288" priority="469" operator="equal">
      <formula>2</formula>
    </cfRule>
    <cfRule type="cellIs" dxfId="287" priority="470" operator="equal">
      <formula>1</formula>
    </cfRule>
    <cfRule type="iconSet" priority="471">
      <iconSet iconSet="3Symbols2" showValue="0">
        <cfvo type="percent" val="0"/>
        <cfvo type="num" val="0"/>
        <cfvo type="num" val="6"/>
      </iconSet>
    </cfRule>
    <cfRule type="iconSet" priority="472">
      <iconSet iconSet="3Symbols2" showValue="0">
        <cfvo type="percent" val="0"/>
        <cfvo type="num" val="&quot;0+$Y$20&quot;"/>
        <cfvo type="num" val="1"/>
      </iconSet>
    </cfRule>
    <cfRule type="cellIs" dxfId="286" priority="473" operator="equal">
      <formula>6</formula>
    </cfRule>
  </conditionalFormatting>
  <conditionalFormatting sqref="P236:BO236">
    <cfRule type="cellIs" dxfId="285" priority="460" operator="equal">
      <formula>"0-5"</formula>
    </cfRule>
    <cfRule type="iconSet" priority="461">
      <iconSet iconSet="3Symbols" showValue="0">
        <cfvo type="percent" val="0"/>
        <cfvo type="percent" val="33"/>
        <cfvo type="percent" val="67"/>
      </iconSet>
    </cfRule>
    <cfRule type="iconSet" priority="462">
      <iconSet iconSet="3Symbols">
        <cfvo type="percent" val="0"/>
        <cfvo type="percent" val="33"/>
        <cfvo type="percent" val="67"/>
      </iconSet>
    </cfRule>
  </conditionalFormatting>
  <conditionalFormatting sqref="P236:BO236">
    <cfRule type="iconSet" priority="458">
      <iconSet iconSet="3Symbols2" showValue="0">
        <cfvo type="percent" val="0"/>
        <cfvo type="num" val="&quot;0+$Y$20&quot;"/>
        <cfvo type="num" val="1"/>
      </iconSet>
    </cfRule>
    <cfRule type="cellIs" dxfId="284" priority="459" operator="equal">
      <formula>6</formula>
    </cfRule>
  </conditionalFormatting>
  <conditionalFormatting sqref="P236:BO236">
    <cfRule type="cellIs" dxfId="283" priority="456" operator="equal">
      <formula>6</formula>
    </cfRule>
    <cfRule type="iconSet" priority="457">
      <iconSet showValue="0">
        <cfvo type="percent" val="0"/>
        <cfvo type="num" val="&quot;0+$Y$20&quot;"/>
        <cfvo type="num" val="1"/>
      </iconSet>
    </cfRule>
  </conditionalFormatting>
  <conditionalFormatting sqref="P236:BO236">
    <cfRule type="iconSet" priority="453">
      <iconSet iconSet="3Symbols2" showValue="0">
        <cfvo type="percent" val="0"/>
        <cfvo type="num" val="0"/>
        <cfvo type="num" val="6"/>
      </iconSet>
    </cfRule>
    <cfRule type="iconSet" priority="454">
      <iconSet iconSet="3Symbols2" showValue="0">
        <cfvo type="percent" val="0"/>
        <cfvo type="num" val="&quot;0+$Y$20&quot;"/>
        <cfvo type="num" val="1"/>
      </iconSet>
    </cfRule>
    <cfRule type="cellIs" dxfId="282" priority="455" operator="equal">
      <formula>6</formula>
    </cfRule>
  </conditionalFormatting>
  <conditionalFormatting sqref="P236:BO236">
    <cfRule type="cellIs" dxfId="281" priority="442" operator="equal">
      <formula>5</formula>
    </cfRule>
    <cfRule type="cellIs" dxfId="280" priority="443" operator="equal">
      <formula>4</formula>
    </cfRule>
    <cfRule type="cellIs" dxfId="279" priority="444" operator="equal">
      <formula>3</formula>
    </cfRule>
    <cfRule type="cellIs" dxfId="278" priority="445" operator="equal">
      <formula>5</formula>
    </cfRule>
    <cfRule type="cellIs" dxfId="277" priority="446" operator="equal">
      <formula>4</formula>
    </cfRule>
    <cfRule type="cellIs" dxfId="276" priority="447" operator="equal">
      <formula>3</formula>
    </cfRule>
    <cfRule type="cellIs" dxfId="275" priority="448" operator="equal">
      <formula>2</formula>
    </cfRule>
    <cfRule type="cellIs" dxfId="274" priority="449" operator="equal">
      <formula>1</formula>
    </cfRule>
    <cfRule type="iconSet" priority="450">
      <iconSet iconSet="3Symbols2" showValue="0">
        <cfvo type="percent" val="0"/>
        <cfvo type="num" val="0"/>
        <cfvo type="num" val="6"/>
      </iconSet>
    </cfRule>
    <cfRule type="iconSet" priority="451">
      <iconSet iconSet="3Symbols2" showValue="0">
        <cfvo type="percent" val="0"/>
        <cfvo type="num" val="&quot;0+$Y$20&quot;"/>
        <cfvo type="num" val="1"/>
      </iconSet>
    </cfRule>
    <cfRule type="cellIs" dxfId="273" priority="452" operator="equal">
      <formula>6</formula>
    </cfRule>
  </conditionalFormatting>
  <conditionalFormatting sqref="P238:BO238">
    <cfRule type="cellIs" dxfId="272" priority="439" operator="equal">
      <formula>"0-5"</formula>
    </cfRule>
    <cfRule type="iconSet" priority="440">
      <iconSet iconSet="3Symbols" showValue="0">
        <cfvo type="percent" val="0"/>
        <cfvo type="percent" val="33"/>
        <cfvo type="percent" val="67"/>
      </iconSet>
    </cfRule>
    <cfRule type="iconSet" priority="441">
      <iconSet iconSet="3Symbols">
        <cfvo type="percent" val="0"/>
        <cfvo type="percent" val="33"/>
        <cfvo type="percent" val="67"/>
      </iconSet>
    </cfRule>
  </conditionalFormatting>
  <conditionalFormatting sqref="P238:BO238">
    <cfRule type="iconSet" priority="437">
      <iconSet iconSet="3Symbols2" showValue="0">
        <cfvo type="percent" val="0"/>
        <cfvo type="num" val="&quot;0+$Y$20&quot;"/>
        <cfvo type="num" val="1"/>
      </iconSet>
    </cfRule>
    <cfRule type="cellIs" dxfId="271" priority="438" operator="equal">
      <formula>6</formula>
    </cfRule>
  </conditionalFormatting>
  <conditionalFormatting sqref="P238:BO238">
    <cfRule type="cellIs" dxfId="270" priority="435" operator="equal">
      <formula>6</formula>
    </cfRule>
    <cfRule type="iconSet" priority="436">
      <iconSet showValue="0">
        <cfvo type="percent" val="0"/>
        <cfvo type="num" val="&quot;0+$Y$20&quot;"/>
        <cfvo type="num" val="1"/>
      </iconSet>
    </cfRule>
  </conditionalFormatting>
  <conditionalFormatting sqref="P238:BO238">
    <cfRule type="iconSet" priority="432">
      <iconSet iconSet="3Symbols2" showValue="0">
        <cfvo type="percent" val="0"/>
        <cfvo type="num" val="0"/>
        <cfvo type="num" val="6"/>
      </iconSet>
    </cfRule>
    <cfRule type="iconSet" priority="433">
      <iconSet iconSet="3Symbols2" showValue="0">
        <cfvo type="percent" val="0"/>
        <cfvo type="num" val="&quot;0+$Y$20&quot;"/>
        <cfvo type="num" val="1"/>
      </iconSet>
    </cfRule>
    <cfRule type="cellIs" dxfId="269" priority="434" operator="equal">
      <formula>6</formula>
    </cfRule>
  </conditionalFormatting>
  <conditionalFormatting sqref="P238:BO238">
    <cfRule type="cellIs" dxfId="268" priority="421" operator="equal">
      <formula>5</formula>
    </cfRule>
    <cfRule type="cellIs" dxfId="267" priority="422" operator="equal">
      <formula>4</formula>
    </cfRule>
    <cfRule type="cellIs" dxfId="266" priority="423" operator="equal">
      <formula>3</formula>
    </cfRule>
    <cfRule type="cellIs" dxfId="265" priority="424" operator="equal">
      <formula>5</formula>
    </cfRule>
    <cfRule type="cellIs" dxfId="264" priority="425" operator="equal">
      <formula>4</formula>
    </cfRule>
    <cfRule type="cellIs" dxfId="263" priority="426" operator="equal">
      <formula>3</formula>
    </cfRule>
    <cfRule type="cellIs" dxfId="262" priority="427" operator="equal">
      <formula>2</formula>
    </cfRule>
    <cfRule type="cellIs" dxfId="261" priority="428" operator="equal">
      <formula>1</formula>
    </cfRule>
    <cfRule type="iconSet" priority="429">
      <iconSet iconSet="3Symbols2" showValue="0">
        <cfvo type="percent" val="0"/>
        <cfvo type="num" val="0"/>
        <cfvo type="num" val="6"/>
      </iconSet>
    </cfRule>
    <cfRule type="iconSet" priority="430">
      <iconSet iconSet="3Symbols2" showValue="0">
        <cfvo type="percent" val="0"/>
        <cfvo type="num" val="&quot;0+$Y$20&quot;"/>
        <cfvo type="num" val="1"/>
      </iconSet>
    </cfRule>
    <cfRule type="cellIs" dxfId="260" priority="431" operator="equal">
      <formula>6</formula>
    </cfRule>
  </conditionalFormatting>
  <conditionalFormatting sqref="P240:BO240">
    <cfRule type="cellIs" dxfId="259" priority="418" operator="equal">
      <formula>"0-5"</formula>
    </cfRule>
    <cfRule type="iconSet" priority="419">
      <iconSet iconSet="3Symbols" showValue="0">
        <cfvo type="percent" val="0"/>
        <cfvo type="percent" val="33"/>
        <cfvo type="percent" val="67"/>
      </iconSet>
    </cfRule>
    <cfRule type="iconSet" priority="420">
      <iconSet iconSet="3Symbols">
        <cfvo type="percent" val="0"/>
        <cfvo type="percent" val="33"/>
        <cfvo type="percent" val="67"/>
      </iconSet>
    </cfRule>
  </conditionalFormatting>
  <conditionalFormatting sqref="P240:BO240">
    <cfRule type="iconSet" priority="416">
      <iconSet iconSet="3Symbols2" showValue="0">
        <cfvo type="percent" val="0"/>
        <cfvo type="num" val="&quot;0+$Y$20&quot;"/>
        <cfvo type="num" val="1"/>
      </iconSet>
    </cfRule>
    <cfRule type="cellIs" dxfId="258" priority="417" operator="equal">
      <formula>6</formula>
    </cfRule>
  </conditionalFormatting>
  <conditionalFormatting sqref="P240:BO240">
    <cfRule type="cellIs" dxfId="257" priority="414" operator="equal">
      <formula>6</formula>
    </cfRule>
    <cfRule type="iconSet" priority="415">
      <iconSet showValue="0">
        <cfvo type="percent" val="0"/>
        <cfvo type="num" val="&quot;0+$Y$20&quot;"/>
        <cfvo type="num" val="1"/>
      </iconSet>
    </cfRule>
  </conditionalFormatting>
  <conditionalFormatting sqref="P240:BO240">
    <cfRule type="iconSet" priority="411">
      <iconSet iconSet="3Symbols2" showValue="0">
        <cfvo type="percent" val="0"/>
        <cfvo type="num" val="0"/>
        <cfvo type="num" val="6"/>
      </iconSet>
    </cfRule>
    <cfRule type="iconSet" priority="412">
      <iconSet iconSet="3Symbols2" showValue="0">
        <cfvo type="percent" val="0"/>
        <cfvo type="num" val="&quot;0+$Y$20&quot;"/>
        <cfvo type="num" val="1"/>
      </iconSet>
    </cfRule>
    <cfRule type="cellIs" dxfId="256" priority="413" operator="equal">
      <formula>6</formula>
    </cfRule>
  </conditionalFormatting>
  <conditionalFormatting sqref="P240:BO240">
    <cfRule type="cellIs" dxfId="255" priority="400" operator="equal">
      <formula>5</formula>
    </cfRule>
    <cfRule type="cellIs" dxfId="254" priority="401" operator="equal">
      <formula>4</formula>
    </cfRule>
    <cfRule type="cellIs" dxfId="253" priority="402" operator="equal">
      <formula>3</formula>
    </cfRule>
    <cfRule type="cellIs" dxfId="252" priority="403" operator="equal">
      <formula>5</formula>
    </cfRule>
    <cfRule type="cellIs" dxfId="251" priority="404" operator="equal">
      <formula>4</formula>
    </cfRule>
    <cfRule type="cellIs" dxfId="250" priority="405" operator="equal">
      <formula>3</formula>
    </cfRule>
    <cfRule type="cellIs" dxfId="249" priority="406" operator="equal">
      <formula>2</formula>
    </cfRule>
    <cfRule type="cellIs" dxfId="248" priority="407" operator="equal">
      <formula>1</formula>
    </cfRule>
    <cfRule type="iconSet" priority="408">
      <iconSet iconSet="3Symbols2" showValue="0">
        <cfvo type="percent" val="0"/>
        <cfvo type="num" val="0"/>
        <cfvo type="num" val="6"/>
      </iconSet>
    </cfRule>
    <cfRule type="iconSet" priority="409">
      <iconSet iconSet="3Symbols2" showValue="0">
        <cfvo type="percent" val="0"/>
        <cfvo type="num" val="&quot;0+$Y$20&quot;"/>
        <cfvo type="num" val="1"/>
      </iconSet>
    </cfRule>
    <cfRule type="cellIs" dxfId="247" priority="410" operator="equal">
      <formula>6</formula>
    </cfRule>
  </conditionalFormatting>
  <conditionalFormatting sqref="P242:BO242">
    <cfRule type="cellIs" dxfId="246" priority="397" operator="equal">
      <formula>"0-5"</formula>
    </cfRule>
    <cfRule type="iconSet" priority="398">
      <iconSet iconSet="3Symbols" showValue="0">
        <cfvo type="percent" val="0"/>
        <cfvo type="percent" val="33"/>
        <cfvo type="percent" val="67"/>
      </iconSet>
    </cfRule>
    <cfRule type="iconSet" priority="399">
      <iconSet iconSet="3Symbols">
        <cfvo type="percent" val="0"/>
        <cfvo type="percent" val="33"/>
        <cfvo type="percent" val="67"/>
      </iconSet>
    </cfRule>
  </conditionalFormatting>
  <conditionalFormatting sqref="P242:BO242">
    <cfRule type="iconSet" priority="395">
      <iconSet iconSet="3Symbols2" showValue="0">
        <cfvo type="percent" val="0"/>
        <cfvo type="num" val="&quot;0+$Y$20&quot;"/>
        <cfvo type="num" val="1"/>
      </iconSet>
    </cfRule>
    <cfRule type="cellIs" dxfId="245" priority="396" operator="equal">
      <formula>6</formula>
    </cfRule>
  </conditionalFormatting>
  <conditionalFormatting sqref="P242:BO242">
    <cfRule type="cellIs" dxfId="244" priority="393" operator="equal">
      <formula>6</formula>
    </cfRule>
    <cfRule type="iconSet" priority="394">
      <iconSet showValue="0">
        <cfvo type="percent" val="0"/>
        <cfvo type="num" val="&quot;0+$Y$20&quot;"/>
        <cfvo type="num" val="1"/>
      </iconSet>
    </cfRule>
  </conditionalFormatting>
  <conditionalFormatting sqref="P242:BO242">
    <cfRule type="iconSet" priority="390">
      <iconSet iconSet="3Symbols2" showValue="0">
        <cfvo type="percent" val="0"/>
        <cfvo type="num" val="0"/>
        <cfvo type="num" val="6"/>
      </iconSet>
    </cfRule>
    <cfRule type="iconSet" priority="391">
      <iconSet iconSet="3Symbols2" showValue="0">
        <cfvo type="percent" val="0"/>
        <cfvo type="num" val="&quot;0+$Y$20&quot;"/>
        <cfvo type="num" val="1"/>
      </iconSet>
    </cfRule>
    <cfRule type="cellIs" dxfId="243" priority="392" operator="equal">
      <formula>6</formula>
    </cfRule>
  </conditionalFormatting>
  <conditionalFormatting sqref="P242:BO242">
    <cfRule type="cellIs" dxfId="242" priority="379" operator="equal">
      <formula>5</formula>
    </cfRule>
    <cfRule type="cellIs" dxfId="241" priority="380" operator="equal">
      <formula>4</formula>
    </cfRule>
    <cfRule type="cellIs" dxfId="240" priority="381" operator="equal">
      <formula>3</formula>
    </cfRule>
    <cfRule type="cellIs" dxfId="239" priority="382" operator="equal">
      <formula>5</formula>
    </cfRule>
    <cfRule type="cellIs" dxfId="238" priority="383" operator="equal">
      <formula>4</formula>
    </cfRule>
    <cfRule type="cellIs" dxfId="237" priority="384" operator="equal">
      <formula>3</formula>
    </cfRule>
    <cfRule type="cellIs" dxfId="236" priority="385" operator="equal">
      <formula>2</formula>
    </cfRule>
    <cfRule type="cellIs" dxfId="235" priority="386" operator="equal">
      <formula>1</formula>
    </cfRule>
    <cfRule type="iconSet" priority="387">
      <iconSet iconSet="3Symbols2" showValue="0">
        <cfvo type="percent" val="0"/>
        <cfvo type="num" val="0"/>
        <cfvo type="num" val="6"/>
      </iconSet>
    </cfRule>
    <cfRule type="iconSet" priority="388">
      <iconSet iconSet="3Symbols2" showValue="0">
        <cfvo type="percent" val="0"/>
        <cfvo type="num" val="&quot;0+$Y$20&quot;"/>
        <cfvo type="num" val="1"/>
      </iconSet>
    </cfRule>
    <cfRule type="cellIs" dxfId="234" priority="389" operator="equal">
      <formula>6</formula>
    </cfRule>
  </conditionalFormatting>
  <conditionalFormatting sqref="P244:BO244">
    <cfRule type="cellIs" dxfId="233" priority="376" operator="equal">
      <formula>"0-5"</formula>
    </cfRule>
    <cfRule type="iconSet" priority="377">
      <iconSet iconSet="3Symbols" showValue="0">
        <cfvo type="percent" val="0"/>
        <cfvo type="percent" val="33"/>
        <cfvo type="percent" val="67"/>
      </iconSet>
    </cfRule>
    <cfRule type="iconSet" priority="378">
      <iconSet iconSet="3Symbols">
        <cfvo type="percent" val="0"/>
        <cfvo type="percent" val="33"/>
        <cfvo type="percent" val="67"/>
      </iconSet>
    </cfRule>
  </conditionalFormatting>
  <conditionalFormatting sqref="P244:BO244">
    <cfRule type="iconSet" priority="374">
      <iconSet iconSet="3Symbols2" showValue="0">
        <cfvo type="percent" val="0"/>
        <cfvo type="num" val="&quot;0+$Y$20&quot;"/>
        <cfvo type="num" val="1"/>
      </iconSet>
    </cfRule>
    <cfRule type="cellIs" dxfId="232" priority="375" operator="equal">
      <formula>6</formula>
    </cfRule>
  </conditionalFormatting>
  <conditionalFormatting sqref="P244:BO244">
    <cfRule type="cellIs" dxfId="231" priority="372" operator="equal">
      <formula>6</formula>
    </cfRule>
    <cfRule type="iconSet" priority="373">
      <iconSet showValue="0">
        <cfvo type="percent" val="0"/>
        <cfvo type="num" val="&quot;0+$Y$20&quot;"/>
        <cfvo type="num" val="1"/>
      </iconSet>
    </cfRule>
  </conditionalFormatting>
  <conditionalFormatting sqref="P244:BO244">
    <cfRule type="iconSet" priority="369">
      <iconSet iconSet="3Symbols2" showValue="0">
        <cfvo type="percent" val="0"/>
        <cfvo type="num" val="0"/>
        <cfvo type="num" val="6"/>
      </iconSet>
    </cfRule>
    <cfRule type="iconSet" priority="370">
      <iconSet iconSet="3Symbols2" showValue="0">
        <cfvo type="percent" val="0"/>
        <cfvo type="num" val="&quot;0+$Y$20&quot;"/>
        <cfvo type="num" val="1"/>
      </iconSet>
    </cfRule>
    <cfRule type="cellIs" dxfId="230" priority="371" operator="equal">
      <formula>6</formula>
    </cfRule>
  </conditionalFormatting>
  <conditionalFormatting sqref="P244:BO244">
    <cfRule type="cellIs" dxfId="229" priority="358" operator="equal">
      <formula>5</formula>
    </cfRule>
    <cfRule type="cellIs" dxfId="228" priority="359" operator="equal">
      <formula>4</formula>
    </cfRule>
    <cfRule type="cellIs" dxfId="227" priority="360" operator="equal">
      <formula>3</formula>
    </cfRule>
    <cfRule type="cellIs" dxfId="226" priority="361" operator="equal">
      <formula>5</formula>
    </cfRule>
    <cfRule type="cellIs" dxfId="225" priority="362" operator="equal">
      <formula>4</formula>
    </cfRule>
    <cfRule type="cellIs" dxfId="224" priority="363" operator="equal">
      <formula>3</formula>
    </cfRule>
    <cfRule type="cellIs" dxfId="223" priority="364" operator="equal">
      <formula>2</formula>
    </cfRule>
    <cfRule type="cellIs" dxfId="222" priority="365" operator="equal">
      <formula>1</formula>
    </cfRule>
    <cfRule type="iconSet" priority="366">
      <iconSet iconSet="3Symbols2" showValue="0">
        <cfvo type="percent" val="0"/>
        <cfvo type="num" val="0"/>
        <cfvo type="num" val="6"/>
      </iconSet>
    </cfRule>
    <cfRule type="iconSet" priority="367">
      <iconSet iconSet="3Symbols2" showValue="0">
        <cfvo type="percent" val="0"/>
        <cfvo type="num" val="&quot;0+$Y$20&quot;"/>
        <cfvo type="num" val="1"/>
      </iconSet>
    </cfRule>
    <cfRule type="cellIs" dxfId="221" priority="368" operator="equal">
      <formula>6</formula>
    </cfRule>
  </conditionalFormatting>
  <conditionalFormatting sqref="P246:BO246">
    <cfRule type="cellIs" dxfId="220" priority="355" operator="equal">
      <formula>"0-5"</formula>
    </cfRule>
    <cfRule type="iconSet" priority="356">
      <iconSet iconSet="3Symbols" showValue="0">
        <cfvo type="percent" val="0"/>
        <cfvo type="percent" val="33"/>
        <cfvo type="percent" val="67"/>
      </iconSet>
    </cfRule>
    <cfRule type="iconSet" priority="357">
      <iconSet iconSet="3Symbols">
        <cfvo type="percent" val="0"/>
        <cfvo type="percent" val="33"/>
        <cfvo type="percent" val="67"/>
      </iconSet>
    </cfRule>
  </conditionalFormatting>
  <conditionalFormatting sqref="P246:BO246">
    <cfRule type="iconSet" priority="353">
      <iconSet iconSet="3Symbols2" showValue="0">
        <cfvo type="percent" val="0"/>
        <cfvo type="num" val="&quot;0+$Y$20&quot;"/>
        <cfvo type="num" val="1"/>
      </iconSet>
    </cfRule>
    <cfRule type="cellIs" dxfId="219" priority="354" operator="equal">
      <formula>6</formula>
    </cfRule>
  </conditionalFormatting>
  <conditionalFormatting sqref="P246:BO246">
    <cfRule type="cellIs" dxfId="218" priority="351" operator="equal">
      <formula>6</formula>
    </cfRule>
    <cfRule type="iconSet" priority="352">
      <iconSet showValue="0">
        <cfvo type="percent" val="0"/>
        <cfvo type="num" val="&quot;0+$Y$20&quot;"/>
        <cfvo type="num" val="1"/>
      </iconSet>
    </cfRule>
  </conditionalFormatting>
  <conditionalFormatting sqref="P246:BO246">
    <cfRule type="iconSet" priority="348">
      <iconSet iconSet="3Symbols2" showValue="0">
        <cfvo type="percent" val="0"/>
        <cfvo type="num" val="0"/>
        <cfvo type="num" val="6"/>
      </iconSet>
    </cfRule>
    <cfRule type="iconSet" priority="349">
      <iconSet iconSet="3Symbols2" showValue="0">
        <cfvo type="percent" val="0"/>
        <cfvo type="num" val="&quot;0+$Y$20&quot;"/>
        <cfvo type="num" val="1"/>
      </iconSet>
    </cfRule>
    <cfRule type="cellIs" dxfId="217" priority="350" operator="equal">
      <formula>6</formula>
    </cfRule>
  </conditionalFormatting>
  <conditionalFormatting sqref="P246:BO246">
    <cfRule type="cellIs" dxfId="216" priority="337" operator="equal">
      <formula>5</formula>
    </cfRule>
    <cfRule type="cellIs" dxfId="215" priority="338" operator="equal">
      <formula>4</formula>
    </cfRule>
    <cfRule type="cellIs" dxfId="214" priority="339" operator="equal">
      <formula>3</formula>
    </cfRule>
    <cfRule type="cellIs" dxfId="213" priority="340" operator="equal">
      <formula>5</formula>
    </cfRule>
    <cfRule type="cellIs" dxfId="212" priority="341" operator="equal">
      <formula>4</formula>
    </cfRule>
    <cfRule type="cellIs" dxfId="211" priority="342" operator="equal">
      <formula>3</formula>
    </cfRule>
    <cfRule type="cellIs" dxfId="210" priority="343" operator="equal">
      <formula>2</formula>
    </cfRule>
    <cfRule type="cellIs" dxfId="209" priority="344" operator="equal">
      <formula>1</formula>
    </cfRule>
    <cfRule type="iconSet" priority="345">
      <iconSet iconSet="3Symbols2" showValue="0">
        <cfvo type="percent" val="0"/>
        <cfvo type="num" val="0"/>
        <cfvo type="num" val="6"/>
      </iconSet>
    </cfRule>
    <cfRule type="iconSet" priority="346">
      <iconSet iconSet="3Symbols2" showValue="0">
        <cfvo type="percent" val="0"/>
        <cfvo type="num" val="&quot;0+$Y$20&quot;"/>
        <cfvo type="num" val="1"/>
      </iconSet>
    </cfRule>
    <cfRule type="cellIs" dxfId="208" priority="347" operator="equal">
      <formula>6</formula>
    </cfRule>
  </conditionalFormatting>
  <conditionalFormatting sqref="P248:BO248">
    <cfRule type="cellIs" dxfId="207" priority="334" operator="equal">
      <formula>"0-5"</formula>
    </cfRule>
    <cfRule type="iconSet" priority="335">
      <iconSet iconSet="3Symbols" showValue="0">
        <cfvo type="percent" val="0"/>
        <cfvo type="percent" val="33"/>
        <cfvo type="percent" val="67"/>
      </iconSet>
    </cfRule>
    <cfRule type="iconSet" priority="336">
      <iconSet iconSet="3Symbols">
        <cfvo type="percent" val="0"/>
        <cfvo type="percent" val="33"/>
        <cfvo type="percent" val="67"/>
      </iconSet>
    </cfRule>
  </conditionalFormatting>
  <conditionalFormatting sqref="P248:BO248">
    <cfRule type="iconSet" priority="332">
      <iconSet iconSet="3Symbols2" showValue="0">
        <cfvo type="percent" val="0"/>
        <cfvo type="num" val="&quot;0+$Y$20&quot;"/>
        <cfvo type="num" val="1"/>
      </iconSet>
    </cfRule>
    <cfRule type="cellIs" dxfId="206" priority="333" operator="equal">
      <formula>6</formula>
    </cfRule>
  </conditionalFormatting>
  <conditionalFormatting sqref="P248:BO248">
    <cfRule type="cellIs" dxfId="205" priority="330" operator="equal">
      <formula>6</formula>
    </cfRule>
    <cfRule type="iconSet" priority="331">
      <iconSet showValue="0">
        <cfvo type="percent" val="0"/>
        <cfvo type="num" val="&quot;0+$Y$20&quot;"/>
        <cfvo type="num" val="1"/>
      </iconSet>
    </cfRule>
  </conditionalFormatting>
  <conditionalFormatting sqref="P248:BO248">
    <cfRule type="iconSet" priority="327">
      <iconSet iconSet="3Symbols2" showValue="0">
        <cfvo type="percent" val="0"/>
        <cfvo type="num" val="0"/>
        <cfvo type="num" val="6"/>
      </iconSet>
    </cfRule>
    <cfRule type="iconSet" priority="328">
      <iconSet iconSet="3Symbols2" showValue="0">
        <cfvo type="percent" val="0"/>
        <cfvo type="num" val="&quot;0+$Y$20&quot;"/>
        <cfvo type="num" val="1"/>
      </iconSet>
    </cfRule>
    <cfRule type="cellIs" dxfId="204" priority="329" operator="equal">
      <formula>6</formula>
    </cfRule>
  </conditionalFormatting>
  <conditionalFormatting sqref="P248:BO248">
    <cfRule type="cellIs" dxfId="203" priority="316" operator="equal">
      <formula>5</formula>
    </cfRule>
    <cfRule type="cellIs" dxfId="202" priority="317" operator="equal">
      <formula>4</formula>
    </cfRule>
    <cfRule type="cellIs" dxfId="201" priority="318" operator="equal">
      <formula>3</formula>
    </cfRule>
    <cfRule type="cellIs" dxfId="200" priority="319" operator="equal">
      <formula>5</formula>
    </cfRule>
    <cfRule type="cellIs" dxfId="199" priority="320" operator="equal">
      <formula>4</formula>
    </cfRule>
    <cfRule type="cellIs" dxfId="198" priority="321" operator="equal">
      <formula>3</formula>
    </cfRule>
    <cfRule type="cellIs" dxfId="197" priority="322" operator="equal">
      <formula>2</formula>
    </cfRule>
    <cfRule type="cellIs" dxfId="196" priority="323" operator="equal">
      <formula>1</formula>
    </cfRule>
    <cfRule type="iconSet" priority="324">
      <iconSet iconSet="3Symbols2" showValue="0">
        <cfvo type="percent" val="0"/>
        <cfvo type="num" val="0"/>
        <cfvo type="num" val="6"/>
      </iconSet>
    </cfRule>
    <cfRule type="iconSet" priority="325">
      <iconSet iconSet="3Symbols2" showValue="0">
        <cfvo type="percent" val="0"/>
        <cfvo type="num" val="&quot;0+$Y$20&quot;"/>
        <cfvo type="num" val="1"/>
      </iconSet>
    </cfRule>
    <cfRule type="cellIs" dxfId="195" priority="326" operator="equal">
      <formula>6</formula>
    </cfRule>
  </conditionalFormatting>
  <conditionalFormatting sqref="P250:BO250">
    <cfRule type="cellIs" dxfId="194" priority="313" operator="equal">
      <formula>"0-5"</formula>
    </cfRule>
    <cfRule type="iconSet" priority="314">
      <iconSet iconSet="3Symbols" showValue="0">
        <cfvo type="percent" val="0"/>
        <cfvo type="percent" val="33"/>
        <cfvo type="percent" val="67"/>
      </iconSet>
    </cfRule>
    <cfRule type="iconSet" priority="315">
      <iconSet iconSet="3Symbols">
        <cfvo type="percent" val="0"/>
        <cfvo type="percent" val="33"/>
        <cfvo type="percent" val="67"/>
      </iconSet>
    </cfRule>
  </conditionalFormatting>
  <conditionalFormatting sqref="P250:BO250">
    <cfRule type="iconSet" priority="311">
      <iconSet iconSet="3Symbols2" showValue="0">
        <cfvo type="percent" val="0"/>
        <cfvo type="num" val="&quot;0+$Y$20&quot;"/>
        <cfvo type="num" val="1"/>
      </iconSet>
    </cfRule>
    <cfRule type="cellIs" dxfId="193" priority="312" operator="equal">
      <formula>6</formula>
    </cfRule>
  </conditionalFormatting>
  <conditionalFormatting sqref="P250:BO250">
    <cfRule type="cellIs" dxfId="192" priority="309" operator="equal">
      <formula>6</formula>
    </cfRule>
    <cfRule type="iconSet" priority="310">
      <iconSet showValue="0">
        <cfvo type="percent" val="0"/>
        <cfvo type="num" val="&quot;0+$Y$20&quot;"/>
        <cfvo type="num" val="1"/>
      </iconSet>
    </cfRule>
  </conditionalFormatting>
  <conditionalFormatting sqref="P250:BO250">
    <cfRule type="iconSet" priority="306">
      <iconSet iconSet="3Symbols2" showValue="0">
        <cfvo type="percent" val="0"/>
        <cfvo type="num" val="0"/>
        <cfvo type="num" val="6"/>
      </iconSet>
    </cfRule>
    <cfRule type="iconSet" priority="307">
      <iconSet iconSet="3Symbols2" showValue="0">
        <cfvo type="percent" val="0"/>
        <cfvo type="num" val="&quot;0+$Y$20&quot;"/>
        <cfvo type="num" val="1"/>
      </iconSet>
    </cfRule>
    <cfRule type="cellIs" dxfId="191" priority="308" operator="equal">
      <formula>6</formula>
    </cfRule>
  </conditionalFormatting>
  <conditionalFormatting sqref="P250:BO250">
    <cfRule type="cellIs" dxfId="190" priority="295" operator="equal">
      <formula>5</formula>
    </cfRule>
    <cfRule type="cellIs" dxfId="189" priority="296" operator="equal">
      <formula>4</formula>
    </cfRule>
    <cfRule type="cellIs" dxfId="188" priority="297" operator="equal">
      <formula>3</formula>
    </cfRule>
    <cfRule type="cellIs" dxfId="187" priority="298" operator="equal">
      <formula>5</formula>
    </cfRule>
    <cfRule type="cellIs" dxfId="186" priority="299" operator="equal">
      <formula>4</formula>
    </cfRule>
    <cfRule type="cellIs" dxfId="185" priority="300" operator="equal">
      <formula>3</formula>
    </cfRule>
    <cfRule type="cellIs" dxfId="184" priority="301" operator="equal">
      <formula>2</formula>
    </cfRule>
    <cfRule type="cellIs" dxfId="183" priority="302" operator="equal">
      <formula>1</formula>
    </cfRule>
    <cfRule type="iconSet" priority="303">
      <iconSet iconSet="3Symbols2" showValue="0">
        <cfvo type="percent" val="0"/>
        <cfvo type="num" val="0"/>
        <cfvo type="num" val="6"/>
      </iconSet>
    </cfRule>
    <cfRule type="iconSet" priority="304">
      <iconSet iconSet="3Symbols2" showValue="0">
        <cfvo type="percent" val="0"/>
        <cfvo type="num" val="&quot;0+$Y$20&quot;"/>
        <cfvo type="num" val="1"/>
      </iconSet>
    </cfRule>
    <cfRule type="cellIs" dxfId="182" priority="305" operator="equal">
      <formula>6</formula>
    </cfRule>
  </conditionalFormatting>
  <conditionalFormatting sqref="P252:BO252">
    <cfRule type="cellIs" dxfId="181" priority="292" operator="equal">
      <formula>"0-5"</formula>
    </cfRule>
    <cfRule type="iconSet" priority="293">
      <iconSet iconSet="3Symbols" showValue="0">
        <cfvo type="percent" val="0"/>
        <cfvo type="percent" val="33"/>
        <cfvo type="percent" val="67"/>
      </iconSet>
    </cfRule>
    <cfRule type="iconSet" priority="294">
      <iconSet iconSet="3Symbols">
        <cfvo type="percent" val="0"/>
        <cfvo type="percent" val="33"/>
        <cfvo type="percent" val="67"/>
      </iconSet>
    </cfRule>
  </conditionalFormatting>
  <conditionalFormatting sqref="P252:BO252">
    <cfRule type="iconSet" priority="290">
      <iconSet iconSet="3Symbols2" showValue="0">
        <cfvo type="percent" val="0"/>
        <cfvo type="num" val="&quot;0+$Y$20&quot;"/>
        <cfvo type="num" val="1"/>
      </iconSet>
    </cfRule>
    <cfRule type="cellIs" dxfId="180" priority="291" operator="equal">
      <formula>6</formula>
    </cfRule>
  </conditionalFormatting>
  <conditionalFormatting sqref="P252:BO252">
    <cfRule type="cellIs" dxfId="179" priority="288" operator="equal">
      <formula>6</formula>
    </cfRule>
    <cfRule type="iconSet" priority="289">
      <iconSet showValue="0">
        <cfvo type="percent" val="0"/>
        <cfvo type="num" val="&quot;0+$Y$20&quot;"/>
        <cfvo type="num" val="1"/>
      </iconSet>
    </cfRule>
  </conditionalFormatting>
  <conditionalFormatting sqref="P252:BO252">
    <cfRule type="iconSet" priority="285">
      <iconSet iconSet="3Symbols2" showValue="0">
        <cfvo type="percent" val="0"/>
        <cfvo type="num" val="0"/>
        <cfvo type="num" val="6"/>
      </iconSet>
    </cfRule>
    <cfRule type="iconSet" priority="286">
      <iconSet iconSet="3Symbols2" showValue="0">
        <cfvo type="percent" val="0"/>
        <cfvo type="num" val="&quot;0+$Y$20&quot;"/>
        <cfvo type="num" val="1"/>
      </iconSet>
    </cfRule>
    <cfRule type="cellIs" dxfId="178" priority="287" operator="equal">
      <formula>6</formula>
    </cfRule>
  </conditionalFormatting>
  <conditionalFormatting sqref="P252:BO252">
    <cfRule type="cellIs" dxfId="177" priority="274" operator="equal">
      <formula>5</formula>
    </cfRule>
    <cfRule type="cellIs" dxfId="176" priority="275" operator="equal">
      <formula>4</formula>
    </cfRule>
    <cfRule type="cellIs" dxfId="175" priority="276" operator="equal">
      <formula>3</formula>
    </cfRule>
    <cfRule type="cellIs" dxfId="174" priority="277" operator="equal">
      <formula>5</formula>
    </cfRule>
    <cfRule type="cellIs" dxfId="173" priority="278" operator="equal">
      <formula>4</formula>
    </cfRule>
    <cfRule type="cellIs" dxfId="172" priority="279" operator="equal">
      <formula>3</formula>
    </cfRule>
    <cfRule type="cellIs" dxfId="171" priority="280" operator="equal">
      <formula>2</formula>
    </cfRule>
    <cfRule type="cellIs" dxfId="170" priority="281" operator="equal">
      <formula>1</formula>
    </cfRule>
    <cfRule type="iconSet" priority="282">
      <iconSet iconSet="3Symbols2" showValue="0">
        <cfvo type="percent" val="0"/>
        <cfvo type="num" val="0"/>
        <cfvo type="num" val="6"/>
      </iconSet>
    </cfRule>
    <cfRule type="iconSet" priority="283">
      <iconSet iconSet="3Symbols2" showValue="0">
        <cfvo type="percent" val="0"/>
        <cfvo type="num" val="&quot;0+$Y$20&quot;"/>
        <cfvo type="num" val="1"/>
      </iconSet>
    </cfRule>
    <cfRule type="cellIs" dxfId="169" priority="284" operator="equal">
      <formula>6</formula>
    </cfRule>
  </conditionalFormatting>
  <conditionalFormatting sqref="P254:BO254">
    <cfRule type="cellIs" dxfId="168" priority="271" operator="equal">
      <formula>"0-5"</formula>
    </cfRule>
    <cfRule type="iconSet" priority="272">
      <iconSet iconSet="3Symbols" showValue="0">
        <cfvo type="percent" val="0"/>
        <cfvo type="percent" val="33"/>
        <cfvo type="percent" val="67"/>
      </iconSet>
    </cfRule>
    <cfRule type="iconSet" priority="273">
      <iconSet iconSet="3Symbols">
        <cfvo type="percent" val="0"/>
        <cfvo type="percent" val="33"/>
        <cfvo type="percent" val="67"/>
      </iconSet>
    </cfRule>
  </conditionalFormatting>
  <conditionalFormatting sqref="P254:BO254">
    <cfRule type="iconSet" priority="269">
      <iconSet iconSet="3Symbols2" showValue="0">
        <cfvo type="percent" val="0"/>
        <cfvo type="num" val="&quot;0+$Y$20&quot;"/>
        <cfvo type="num" val="1"/>
      </iconSet>
    </cfRule>
    <cfRule type="cellIs" dxfId="167" priority="270" operator="equal">
      <formula>6</formula>
    </cfRule>
  </conditionalFormatting>
  <conditionalFormatting sqref="P254:BO254">
    <cfRule type="cellIs" dxfId="166" priority="267" operator="equal">
      <formula>6</formula>
    </cfRule>
    <cfRule type="iconSet" priority="268">
      <iconSet showValue="0">
        <cfvo type="percent" val="0"/>
        <cfvo type="num" val="&quot;0+$Y$20&quot;"/>
        <cfvo type="num" val="1"/>
      </iconSet>
    </cfRule>
  </conditionalFormatting>
  <conditionalFormatting sqref="P254:BO254">
    <cfRule type="iconSet" priority="264">
      <iconSet iconSet="3Symbols2" showValue="0">
        <cfvo type="percent" val="0"/>
        <cfvo type="num" val="0"/>
        <cfvo type="num" val="6"/>
      </iconSet>
    </cfRule>
    <cfRule type="iconSet" priority="265">
      <iconSet iconSet="3Symbols2" showValue="0">
        <cfvo type="percent" val="0"/>
        <cfvo type="num" val="&quot;0+$Y$20&quot;"/>
        <cfvo type="num" val="1"/>
      </iconSet>
    </cfRule>
    <cfRule type="cellIs" dxfId="165" priority="266" operator="equal">
      <formula>6</formula>
    </cfRule>
  </conditionalFormatting>
  <conditionalFormatting sqref="P254:BO254">
    <cfRule type="cellIs" dxfId="164" priority="253" operator="equal">
      <formula>5</formula>
    </cfRule>
    <cfRule type="cellIs" dxfId="163" priority="254" operator="equal">
      <formula>4</formula>
    </cfRule>
    <cfRule type="cellIs" dxfId="162" priority="255" operator="equal">
      <formula>3</formula>
    </cfRule>
    <cfRule type="cellIs" dxfId="161" priority="256" operator="equal">
      <formula>5</formula>
    </cfRule>
    <cfRule type="cellIs" dxfId="160" priority="257" operator="equal">
      <formula>4</formula>
    </cfRule>
    <cfRule type="cellIs" dxfId="159" priority="258" operator="equal">
      <formula>3</formula>
    </cfRule>
    <cfRule type="cellIs" dxfId="158" priority="259" operator="equal">
      <formula>2</formula>
    </cfRule>
    <cfRule type="cellIs" dxfId="157" priority="260" operator="equal">
      <formula>1</formula>
    </cfRule>
    <cfRule type="iconSet" priority="261">
      <iconSet iconSet="3Symbols2" showValue="0">
        <cfvo type="percent" val="0"/>
        <cfvo type="num" val="0"/>
        <cfvo type="num" val="6"/>
      </iconSet>
    </cfRule>
    <cfRule type="iconSet" priority="262">
      <iconSet iconSet="3Symbols2" showValue="0">
        <cfvo type="percent" val="0"/>
        <cfvo type="num" val="&quot;0+$Y$20&quot;"/>
        <cfvo type="num" val="1"/>
      </iconSet>
    </cfRule>
    <cfRule type="cellIs" dxfId="156" priority="263" operator="equal">
      <formula>6</formula>
    </cfRule>
  </conditionalFormatting>
  <conditionalFormatting sqref="P256:BO256">
    <cfRule type="cellIs" dxfId="155" priority="250" operator="equal">
      <formula>"0-5"</formula>
    </cfRule>
    <cfRule type="iconSet" priority="251">
      <iconSet iconSet="3Symbols" showValue="0">
        <cfvo type="percent" val="0"/>
        <cfvo type="percent" val="33"/>
        <cfvo type="percent" val="67"/>
      </iconSet>
    </cfRule>
    <cfRule type="iconSet" priority="252">
      <iconSet iconSet="3Symbols">
        <cfvo type="percent" val="0"/>
        <cfvo type="percent" val="33"/>
        <cfvo type="percent" val="67"/>
      </iconSet>
    </cfRule>
  </conditionalFormatting>
  <conditionalFormatting sqref="P256:BO256">
    <cfRule type="iconSet" priority="248">
      <iconSet iconSet="3Symbols2" showValue="0">
        <cfvo type="percent" val="0"/>
        <cfvo type="num" val="&quot;0+$Y$20&quot;"/>
        <cfvo type="num" val="1"/>
      </iconSet>
    </cfRule>
    <cfRule type="cellIs" dxfId="154" priority="249" operator="equal">
      <formula>6</formula>
    </cfRule>
  </conditionalFormatting>
  <conditionalFormatting sqref="P256:BO256">
    <cfRule type="cellIs" dxfId="153" priority="246" operator="equal">
      <formula>6</formula>
    </cfRule>
    <cfRule type="iconSet" priority="247">
      <iconSet showValue="0">
        <cfvo type="percent" val="0"/>
        <cfvo type="num" val="&quot;0+$Y$20&quot;"/>
        <cfvo type="num" val="1"/>
      </iconSet>
    </cfRule>
  </conditionalFormatting>
  <conditionalFormatting sqref="P256:BO256">
    <cfRule type="iconSet" priority="243">
      <iconSet iconSet="3Symbols2" showValue="0">
        <cfvo type="percent" val="0"/>
        <cfvo type="num" val="0"/>
        <cfvo type="num" val="6"/>
      </iconSet>
    </cfRule>
    <cfRule type="iconSet" priority="244">
      <iconSet iconSet="3Symbols2" showValue="0">
        <cfvo type="percent" val="0"/>
        <cfvo type="num" val="&quot;0+$Y$20&quot;"/>
        <cfvo type="num" val="1"/>
      </iconSet>
    </cfRule>
    <cfRule type="cellIs" dxfId="152" priority="245" operator="equal">
      <formula>6</formula>
    </cfRule>
  </conditionalFormatting>
  <conditionalFormatting sqref="P256:BO256">
    <cfRule type="cellIs" dxfId="151" priority="232" operator="equal">
      <formula>5</formula>
    </cfRule>
    <cfRule type="cellIs" dxfId="150" priority="233" operator="equal">
      <formula>4</formula>
    </cfRule>
    <cfRule type="cellIs" dxfId="149" priority="234" operator="equal">
      <formula>3</formula>
    </cfRule>
    <cfRule type="cellIs" dxfId="148" priority="235" operator="equal">
      <formula>5</formula>
    </cfRule>
    <cfRule type="cellIs" dxfId="147" priority="236" operator="equal">
      <formula>4</formula>
    </cfRule>
    <cfRule type="cellIs" dxfId="146" priority="237" operator="equal">
      <formula>3</formula>
    </cfRule>
    <cfRule type="cellIs" dxfId="145" priority="238" operator="equal">
      <formula>2</formula>
    </cfRule>
    <cfRule type="cellIs" dxfId="144" priority="239" operator="equal">
      <formula>1</formula>
    </cfRule>
    <cfRule type="iconSet" priority="240">
      <iconSet iconSet="3Symbols2" showValue="0">
        <cfvo type="percent" val="0"/>
        <cfvo type="num" val="0"/>
        <cfvo type="num" val="6"/>
      </iconSet>
    </cfRule>
    <cfRule type="iconSet" priority="241">
      <iconSet iconSet="3Symbols2" showValue="0">
        <cfvo type="percent" val="0"/>
        <cfvo type="num" val="&quot;0+$Y$20&quot;"/>
        <cfvo type="num" val="1"/>
      </iconSet>
    </cfRule>
    <cfRule type="cellIs" dxfId="143" priority="242" operator="equal">
      <formula>6</formula>
    </cfRule>
  </conditionalFormatting>
  <conditionalFormatting sqref="P258:BO258">
    <cfRule type="cellIs" dxfId="142" priority="229" operator="equal">
      <formula>"0-5"</formula>
    </cfRule>
    <cfRule type="iconSet" priority="230">
      <iconSet iconSet="3Symbols" showValue="0">
        <cfvo type="percent" val="0"/>
        <cfvo type="percent" val="33"/>
        <cfvo type="percent" val="67"/>
      </iconSet>
    </cfRule>
    <cfRule type="iconSet" priority="231">
      <iconSet iconSet="3Symbols">
        <cfvo type="percent" val="0"/>
        <cfvo type="percent" val="33"/>
        <cfvo type="percent" val="67"/>
      </iconSet>
    </cfRule>
  </conditionalFormatting>
  <conditionalFormatting sqref="P258:BO258">
    <cfRule type="iconSet" priority="227">
      <iconSet iconSet="3Symbols2" showValue="0">
        <cfvo type="percent" val="0"/>
        <cfvo type="num" val="&quot;0+$Y$20&quot;"/>
        <cfvo type="num" val="1"/>
      </iconSet>
    </cfRule>
    <cfRule type="cellIs" dxfId="141" priority="228" operator="equal">
      <formula>6</formula>
    </cfRule>
  </conditionalFormatting>
  <conditionalFormatting sqref="P258:BO258">
    <cfRule type="cellIs" dxfId="140" priority="225" operator="equal">
      <formula>6</formula>
    </cfRule>
    <cfRule type="iconSet" priority="226">
      <iconSet showValue="0">
        <cfvo type="percent" val="0"/>
        <cfvo type="num" val="&quot;0+$Y$20&quot;"/>
        <cfvo type="num" val="1"/>
      </iconSet>
    </cfRule>
  </conditionalFormatting>
  <conditionalFormatting sqref="P258:BO258">
    <cfRule type="iconSet" priority="222">
      <iconSet iconSet="3Symbols2" showValue="0">
        <cfvo type="percent" val="0"/>
        <cfvo type="num" val="0"/>
        <cfvo type="num" val="6"/>
      </iconSet>
    </cfRule>
    <cfRule type="iconSet" priority="223">
      <iconSet iconSet="3Symbols2" showValue="0">
        <cfvo type="percent" val="0"/>
        <cfvo type="num" val="&quot;0+$Y$20&quot;"/>
        <cfvo type="num" val="1"/>
      </iconSet>
    </cfRule>
    <cfRule type="cellIs" dxfId="139" priority="224" operator="equal">
      <formula>6</formula>
    </cfRule>
  </conditionalFormatting>
  <conditionalFormatting sqref="P258:BO258">
    <cfRule type="cellIs" dxfId="138" priority="211" operator="equal">
      <formula>5</formula>
    </cfRule>
    <cfRule type="cellIs" dxfId="137" priority="212" operator="equal">
      <formula>4</formula>
    </cfRule>
    <cfRule type="cellIs" dxfId="136" priority="213" operator="equal">
      <formula>3</formula>
    </cfRule>
    <cfRule type="cellIs" dxfId="135" priority="214" operator="equal">
      <formula>5</formula>
    </cfRule>
    <cfRule type="cellIs" dxfId="134" priority="215" operator="equal">
      <formula>4</formula>
    </cfRule>
    <cfRule type="cellIs" dxfId="133" priority="216" operator="equal">
      <formula>3</formula>
    </cfRule>
    <cfRule type="cellIs" dxfId="132" priority="217" operator="equal">
      <formula>2</formula>
    </cfRule>
    <cfRule type="cellIs" dxfId="131" priority="218" operator="equal">
      <formula>1</formula>
    </cfRule>
    <cfRule type="iconSet" priority="219">
      <iconSet iconSet="3Symbols2" showValue="0">
        <cfvo type="percent" val="0"/>
        <cfvo type="num" val="0"/>
        <cfvo type="num" val="6"/>
      </iconSet>
    </cfRule>
    <cfRule type="iconSet" priority="220">
      <iconSet iconSet="3Symbols2" showValue="0">
        <cfvo type="percent" val="0"/>
        <cfvo type="num" val="&quot;0+$Y$20&quot;"/>
        <cfvo type="num" val="1"/>
      </iconSet>
    </cfRule>
    <cfRule type="cellIs" dxfId="130" priority="221" operator="equal">
      <formula>6</formula>
    </cfRule>
  </conditionalFormatting>
  <conditionalFormatting sqref="P260:BO260">
    <cfRule type="cellIs" dxfId="129" priority="208" operator="equal">
      <formula>"0-5"</formula>
    </cfRule>
    <cfRule type="iconSet" priority="209">
      <iconSet iconSet="3Symbols" showValue="0">
        <cfvo type="percent" val="0"/>
        <cfvo type="percent" val="33"/>
        <cfvo type="percent" val="67"/>
      </iconSet>
    </cfRule>
    <cfRule type="iconSet" priority="210">
      <iconSet iconSet="3Symbols">
        <cfvo type="percent" val="0"/>
        <cfvo type="percent" val="33"/>
        <cfvo type="percent" val="67"/>
      </iconSet>
    </cfRule>
  </conditionalFormatting>
  <conditionalFormatting sqref="P260:BO260">
    <cfRule type="iconSet" priority="206">
      <iconSet iconSet="3Symbols2" showValue="0">
        <cfvo type="percent" val="0"/>
        <cfvo type="num" val="&quot;0+$Y$20&quot;"/>
        <cfvo type="num" val="1"/>
      </iconSet>
    </cfRule>
    <cfRule type="cellIs" dxfId="128" priority="207" operator="equal">
      <formula>6</formula>
    </cfRule>
  </conditionalFormatting>
  <conditionalFormatting sqref="P260:BO260">
    <cfRule type="cellIs" dxfId="127" priority="204" operator="equal">
      <formula>6</formula>
    </cfRule>
    <cfRule type="iconSet" priority="205">
      <iconSet showValue="0">
        <cfvo type="percent" val="0"/>
        <cfvo type="num" val="&quot;0+$Y$20&quot;"/>
        <cfvo type="num" val="1"/>
      </iconSet>
    </cfRule>
  </conditionalFormatting>
  <conditionalFormatting sqref="P260:BO260">
    <cfRule type="iconSet" priority="201">
      <iconSet iconSet="3Symbols2" showValue="0">
        <cfvo type="percent" val="0"/>
        <cfvo type="num" val="0"/>
        <cfvo type="num" val="6"/>
      </iconSet>
    </cfRule>
    <cfRule type="iconSet" priority="202">
      <iconSet iconSet="3Symbols2" showValue="0">
        <cfvo type="percent" val="0"/>
        <cfvo type="num" val="&quot;0+$Y$20&quot;"/>
        <cfvo type="num" val="1"/>
      </iconSet>
    </cfRule>
    <cfRule type="cellIs" dxfId="126" priority="203" operator="equal">
      <formula>6</formula>
    </cfRule>
  </conditionalFormatting>
  <conditionalFormatting sqref="P260:BO260">
    <cfRule type="cellIs" dxfId="125" priority="190" operator="equal">
      <formula>5</formula>
    </cfRule>
    <cfRule type="cellIs" dxfId="124" priority="191" operator="equal">
      <formula>4</formula>
    </cfRule>
    <cfRule type="cellIs" dxfId="123" priority="192" operator="equal">
      <formula>3</formula>
    </cfRule>
    <cfRule type="cellIs" dxfId="122" priority="193" operator="equal">
      <formula>5</formula>
    </cfRule>
    <cfRule type="cellIs" dxfId="121" priority="194" operator="equal">
      <formula>4</formula>
    </cfRule>
    <cfRule type="cellIs" dxfId="120" priority="195" operator="equal">
      <formula>3</formula>
    </cfRule>
    <cfRule type="cellIs" dxfId="119" priority="196" operator="equal">
      <formula>2</formula>
    </cfRule>
    <cfRule type="cellIs" dxfId="118" priority="197" operator="equal">
      <formula>1</formula>
    </cfRule>
    <cfRule type="iconSet" priority="198">
      <iconSet iconSet="3Symbols2" showValue="0">
        <cfvo type="percent" val="0"/>
        <cfvo type="num" val="0"/>
        <cfvo type="num" val="6"/>
      </iconSet>
    </cfRule>
    <cfRule type="iconSet" priority="199">
      <iconSet iconSet="3Symbols2" showValue="0">
        <cfvo type="percent" val="0"/>
        <cfvo type="num" val="&quot;0+$Y$20&quot;"/>
        <cfvo type="num" val="1"/>
      </iconSet>
    </cfRule>
    <cfRule type="cellIs" dxfId="117" priority="200" operator="equal">
      <formula>6</formula>
    </cfRule>
  </conditionalFormatting>
  <conditionalFormatting sqref="P262:BO262">
    <cfRule type="cellIs" dxfId="116" priority="187" operator="equal">
      <formula>"0-5"</formula>
    </cfRule>
    <cfRule type="iconSet" priority="188">
      <iconSet iconSet="3Symbols" showValue="0">
        <cfvo type="percent" val="0"/>
        <cfvo type="percent" val="33"/>
        <cfvo type="percent" val="67"/>
      </iconSet>
    </cfRule>
    <cfRule type="iconSet" priority="189">
      <iconSet iconSet="3Symbols">
        <cfvo type="percent" val="0"/>
        <cfvo type="percent" val="33"/>
        <cfvo type="percent" val="67"/>
      </iconSet>
    </cfRule>
  </conditionalFormatting>
  <conditionalFormatting sqref="P262:BO262">
    <cfRule type="iconSet" priority="185">
      <iconSet iconSet="3Symbols2" showValue="0">
        <cfvo type="percent" val="0"/>
        <cfvo type="num" val="&quot;0+$Y$20&quot;"/>
        <cfvo type="num" val="1"/>
      </iconSet>
    </cfRule>
    <cfRule type="cellIs" dxfId="115" priority="186" operator="equal">
      <formula>6</formula>
    </cfRule>
  </conditionalFormatting>
  <conditionalFormatting sqref="P262:BO262">
    <cfRule type="cellIs" dxfId="114" priority="183" operator="equal">
      <formula>6</formula>
    </cfRule>
    <cfRule type="iconSet" priority="184">
      <iconSet showValue="0">
        <cfvo type="percent" val="0"/>
        <cfvo type="num" val="&quot;0+$Y$20&quot;"/>
        <cfvo type="num" val="1"/>
      </iconSet>
    </cfRule>
  </conditionalFormatting>
  <conditionalFormatting sqref="P262:BO262">
    <cfRule type="iconSet" priority="180">
      <iconSet iconSet="3Symbols2" showValue="0">
        <cfvo type="percent" val="0"/>
        <cfvo type="num" val="0"/>
        <cfvo type="num" val="6"/>
      </iconSet>
    </cfRule>
    <cfRule type="iconSet" priority="181">
      <iconSet iconSet="3Symbols2" showValue="0">
        <cfvo type="percent" val="0"/>
        <cfvo type="num" val="&quot;0+$Y$20&quot;"/>
        <cfvo type="num" val="1"/>
      </iconSet>
    </cfRule>
    <cfRule type="cellIs" dxfId="113" priority="182" operator="equal">
      <formula>6</formula>
    </cfRule>
  </conditionalFormatting>
  <conditionalFormatting sqref="P262:BO262">
    <cfRule type="cellIs" dxfId="112" priority="169" operator="equal">
      <formula>5</formula>
    </cfRule>
    <cfRule type="cellIs" dxfId="111" priority="170" operator="equal">
      <formula>4</formula>
    </cfRule>
    <cfRule type="cellIs" dxfId="110" priority="171" operator="equal">
      <formula>3</formula>
    </cfRule>
    <cfRule type="cellIs" dxfId="109" priority="172" operator="equal">
      <formula>5</formula>
    </cfRule>
    <cfRule type="cellIs" dxfId="108" priority="173" operator="equal">
      <formula>4</formula>
    </cfRule>
    <cfRule type="cellIs" dxfId="107" priority="174" operator="equal">
      <formula>3</formula>
    </cfRule>
    <cfRule type="cellIs" dxfId="106" priority="175" operator="equal">
      <formula>2</formula>
    </cfRule>
    <cfRule type="cellIs" dxfId="105" priority="176" operator="equal">
      <formula>1</formula>
    </cfRule>
    <cfRule type="iconSet" priority="177">
      <iconSet iconSet="3Symbols2" showValue="0">
        <cfvo type="percent" val="0"/>
        <cfvo type="num" val="0"/>
        <cfvo type="num" val="6"/>
      </iconSet>
    </cfRule>
    <cfRule type="iconSet" priority="178">
      <iconSet iconSet="3Symbols2" showValue="0">
        <cfvo type="percent" val="0"/>
        <cfvo type="num" val="&quot;0+$Y$20&quot;"/>
        <cfvo type="num" val="1"/>
      </iconSet>
    </cfRule>
    <cfRule type="cellIs" dxfId="104" priority="179" operator="equal">
      <formula>6</formula>
    </cfRule>
  </conditionalFormatting>
  <conditionalFormatting sqref="P264:BO264">
    <cfRule type="cellIs" dxfId="103" priority="166" operator="equal">
      <formula>"0-5"</formula>
    </cfRule>
    <cfRule type="iconSet" priority="167">
      <iconSet iconSet="3Symbols" showValue="0">
        <cfvo type="percent" val="0"/>
        <cfvo type="percent" val="33"/>
        <cfvo type="percent" val="67"/>
      </iconSet>
    </cfRule>
    <cfRule type="iconSet" priority="168">
      <iconSet iconSet="3Symbols">
        <cfvo type="percent" val="0"/>
        <cfvo type="percent" val="33"/>
        <cfvo type="percent" val="67"/>
      </iconSet>
    </cfRule>
  </conditionalFormatting>
  <conditionalFormatting sqref="P264:BO264">
    <cfRule type="iconSet" priority="164">
      <iconSet iconSet="3Symbols2" showValue="0">
        <cfvo type="percent" val="0"/>
        <cfvo type="num" val="&quot;0+$Y$20&quot;"/>
        <cfvo type="num" val="1"/>
      </iconSet>
    </cfRule>
    <cfRule type="cellIs" dxfId="102" priority="165" operator="equal">
      <formula>6</formula>
    </cfRule>
  </conditionalFormatting>
  <conditionalFormatting sqref="P264:BO264">
    <cfRule type="cellIs" dxfId="101" priority="162" operator="equal">
      <formula>6</formula>
    </cfRule>
    <cfRule type="iconSet" priority="163">
      <iconSet showValue="0">
        <cfvo type="percent" val="0"/>
        <cfvo type="num" val="&quot;0+$Y$20&quot;"/>
        <cfvo type="num" val="1"/>
      </iconSet>
    </cfRule>
  </conditionalFormatting>
  <conditionalFormatting sqref="P264:BO264">
    <cfRule type="iconSet" priority="159">
      <iconSet iconSet="3Symbols2" showValue="0">
        <cfvo type="percent" val="0"/>
        <cfvo type="num" val="0"/>
        <cfvo type="num" val="6"/>
      </iconSet>
    </cfRule>
    <cfRule type="iconSet" priority="160">
      <iconSet iconSet="3Symbols2" showValue="0">
        <cfvo type="percent" val="0"/>
        <cfvo type="num" val="&quot;0+$Y$20&quot;"/>
        <cfvo type="num" val="1"/>
      </iconSet>
    </cfRule>
    <cfRule type="cellIs" dxfId="100" priority="161" operator="equal">
      <formula>6</formula>
    </cfRule>
  </conditionalFormatting>
  <conditionalFormatting sqref="P264:BO264">
    <cfRule type="cellIs" dxfId="99" priority="148" operator="equal">
      <formula>5</formula>
    </cfRule>
    <cfRule type="cellIs" dxfId="98" priority="149" operator="equal">
      <formula>4</formula>
    </cfRule>
    <cfRule type="cellIs" dxfId="97" priority="150" operator="equal">
      <formula>3</formula>
    </cfRule>
    <cfRule type="cellIs" dxfId="96" priority="151" operator="equal">
      <formula>5</formula>
    </cfRule>
    <cfRule type="cellIs" dxfId="95" priority="152" operator="equal">
      <formula>4</formula>
    </cfRule>
    <cfRule type="cellIs" dxfId="94" priority="153" operator="equal">
      <formula>3</formula>
    </cfRule>
    <cfRule type="cellIs" dxfId="93" priority="154" operator="equal">
      <formula>2</formula>
    </cfRule>
    <cfRule type="cellIs" dxfId="92" priority="155" operator="equal">
      <formula>1</formula>
    </cfRule>
    <cfRule type="iconSet" priority="156">
      <iconSet iconSet="3Symbols2" showValue="0">
        <cfvo type="percent" val="0"/>
        <cfvo type="num" val="0"/>
        <cfvo type="num" val="6"/>
      </iconSet>
    </cfRule>
    <cfRule type="iconSet" priority="157">
      <iconSet iconSet="3Symbols2" showValue="0">
        <cfvo type="percent" val="0"/>
        <cfvo type="num" val="&quot;0+$Y$20&quot;"/>
        <cfvo type="num" val="1"/>
      </iconSet>
    </cfRule>
    <cfRule type="cellIs" dxfId="91" priority="158" operator="equal">
      <formula>6</formula>
    </cfRule>
  </conditionalFormatting>
  <conditionalFormatting sqref="P266:BO266">
    <cfRule type="cellIs" dxfId="90" priority="145" operator="equal">
      <formula>"0-5"</formula>
    </cfRule>
    <cfRule type="iconSet" priority="146">
      <iconSet iconSet="3Symbols" showValue="0">
        <cfvo type="percent" val="0"/>
        <cfvo type="percent" val="33"/>
        <cfvo type="percent" val="67"/>
      </iconSet>
    </cfRule>
    <cfRule type="iconSet" priority="147">
      <iconSet iconSet="3Symbols">
        <cfvo type="percent" val="0"/>
        <cfvo type="percent" val="33"/>
        <cfvo type="percent" val="67"/>
      </iconSet>
    </cfRule>
  </conditionalFormatting>
  <conditionalFormatting sqref="P266:BO266">
    <cfRule type="iconSet" priority="143">
      <iconSet iconSet="3Symbols2" showValue="0">
        <cfvo type="percent" val="0"/>
        <cfvo type="num" val="&quot;0+$Y$20&quot;"/>
        <cfvo type="num" val="1"/>
      </iconSet>
    </cfRule>
    <cfRule type="cellIs" dxfId="89" priority="144" operator="equal">
      <formula>6</formula>
    </cfRule>
  </conditionalFormatting>
  <conditionalFormatting sqref="P266:BO266">
    <cfRule type="cellIs" dxfId="88" priority="141" operator="equal">
      <formula>6</formula>
    </cfRule>
    <cfRule type="iconSet" priority="142">
      <iconSet showValue="0">
        <cfvo type="percent" val="0"/>
        <cfvo type="num" val="&quot;0+$Y$20&quot;"/>
        <cfvo type="num" val="1"/>
      </iconSet>
    </cfRule>
  </conditionalFormatting>
  <conditionalFormatting sqref="P266:BO266">
    <cfRule type="iconSet" priority="138">
      <iconSet iconSet="3Symbols2" showValue="0">
        <cfvo type="percent" val="0"/>
        <cfvo type="num" val="0"/>
        <cfvo type="num" val="6"/>
      </iconSet>
    </cfRule>
    <cfRule type="iconSet" priority="139">
      <iconSet iconSet="3Symbols2" showValue="0">
        <cfvo type="percent" val="0"/>
        <cfvo type="num" val="&quot;0+$Y$20&quot;"/>
        <cfvo type="num" val="1"/>
      </iconSet>
    </cfRule>
    <cfRule type="cellIs" dxfId="87" priority="140" operator="equal">
      <formula>6</formula>
    </cfRule>
  </conditionalFormatting>
  <conditionalFormatting sqref="P266:BO266">
    <cfRule type="cellIs" dxfId="86" priority="127" operator="equal">
      <formula>5</formula>
    </cfRule>
    <cfRule type="cellIs" dxfId="85" priority="128" operator="equal">
      <formula>4</formula>
    </cfRule>
    <cfRule type="cellIs" dxfId="84" priority="129" operator="equal">
      <formula>3</formula>
    </cfRule>
    <cfRule type="cellIs" dxfId="83" priority="130" operator="equal">
      <formula>5</formula>
    </cfRule>
    <cfRule type="cellIs" dxfId="82" priority="131" operator="equal">
      <formula>4</formula>
    </cfRule>
    <cfRule type="cellIs" dxfId="81" priority="132" operator="equal">
      <formula>3</formula>
    </cfRule>
    <cfRule type="cellIs" dxfId="80" priority="133" operator="equal">
      <formula>2</formula>
    </cfRule>
    <cfRule type="cellIs" dxfId="79" priority="134" operator="equal">
      <formula>1</formula>
    </cfRule>
    <cfRule type="iconSet" priority="135">
      <iconSet iconSet="3Symbols2" showValue="0">
        <cfvo type="percent" val="0"/>
        <cfvo type="num" val="0"/>
        <cfvo type="num" val="6"/>
      </iconSet>
    </cfRule>
    <cfRule type="iconSet" priority="136">
      <iconSet iconSet="3Symbols2" showValue="0">
        <cfvo type="percent" val="0"/>
        <cfvo type="num" val="&quot;0+$Y$20&quot;"/>
        <cfvo type="num" val="1"/>
      </iconSet>
    </cfRule>
    <cfRule type="cellIs" dxfId="78" priority="137" operator="equal">
      <formula>6</formula>
    </cfRule>
  </conditionalFormatting>
  <conditionalFormatting sqref="P268:BO268">
    <cfRule type="cellIs" dxfId="77" priority="124" operator="equal">
      <formula>"0-5"</formula>
    </cfRule>
    <cfRule type="iconSet" priority="125">
      <iconSet iconSet="3Symbols" showValue="0">
        <cfvo type="percent" val="0"/>
        <cfvo type="percent" val="33"/>
        <cfvo type="percent" val="67"/>
      </iconSet>
    </cfRule>
    <cfRule type="iconSet" priority="126">
      <iconSet iconSet="3Symbols">
        <cfvo type="percent" val="0"/>
        <cfvo type="percent" val="33"/>
        <cfvo type="percent" val="67"/>
      </iconSet>
    </cfRule>
  </conditionalFormatting>
  <conditionalFormatting sqref="P268:BO268">
    <cfRule type="iconSet" priority="122">
      <iconSet iconSet="3Symbols2" showValue="0">
        <cfvo type="percent" val="0"/>
        <cfvo type="num" val="&quot;0+$Y$20&quot;"/>
        <cfvo type="num" val="1"/>
      </iconSet>
    </cfRule>
    <cfRule type="cellIs" dxfId="76" priority="123" operator="equal">
      <formula>6</formula>
    </cfRule>
  </conditionalFormatting>
  <conditionalFormatting sqref="P268:BO268">
    <cfRule type="cellIs" dxfId="75" priority="120" operator="equal">
      <formula>6</formula>
    </cfRule>
    <cfRule type="iconSet" priority="121">
      <iconSet showValue="0">
        <cfvo type="percent" val="0"/>
        <cfvo type="num" val="&quot;0+$Y$20&quot;"/>
        <cfvo type="num" val="1"/>
      </iconSet>
    </cfRule>
  </conditionalFormatting>
  <conditionalFormatting sqref="P268:BO268">
    <cfRule type="iconSet" priority="117">
      <iconSet iconSet="3Symbols2" showValue="0">
        <cfvo type="percent" val="0"/>
        <cfvo type="num" val="0"/>
        <cfvo type="num" val="6"/>
      </iconSet>
    </cfRule>
    <cfRule type="iconSet" priority="118">
      <iconSet iconSet="3Symbols2" showValue="0">
        <cfvo type="percent" val="0"/>
        <cfvo type="num" val="&quot;0+$Y$20&quot;"/>
        <cfvo type="num" val="1"/>
      </iconSet>
    </cfRule>
    <cfRule type="cellIs" dxfId="74" priority="119" operator="equal">
      <formula>6</formula>
    </cfRule>
  </conditionalFormatting>
  <conditionalFormatting sqref="P268:BO268">
    <cfRule type="cellIs" dxfId="73" priority="106" operator="equal">
      <formula>5</formula>
    </cfRule>
    <cfRule type="cellIs" dxfId="72" priority="107" operator="equal">
      <formula>4</formula>
    </cfRule>
    <cfRule type="cellIs" dxfId="71" priority="108" operator="equal">
      <formula>3</formula>
    </cfRule>
    <cfRule type="cellIs" dxfId="70" priority="109" operator="equal">
      <formula>5</formula>
    </cfRule>
    <cfRule type="cellIs" dxfId="69" priority="110" operator="equal">
      <formula>4</formula>
    </cfRule>
    <cfRule type="cellIs" dxfId="68" priority="111" operator="equal">
      <formula>3</formula>
    </cfRule>
    <cfRule type="cellIs" dxfId="67" priority="112" operator="equal">
      <formula>2</formula>
    </cfRule>
    <cfRule type="cellIs" dxfId="66" priority="113" operator="equal">
      <formula>1</formula>
    </cfRule>
    <cfRule type="iconSet" priority="114">
      <iconSet iconSet="3Symbols2" showValue="0">
        <cfvo type="percent" val="0"/>
        <cfvo type="num" val="0"/>
        <cfvo type="num" val="6"/>
      </iconSet>
    </cfRule>
    <cfRule type="iconSet" priority="115">
      <iconSet iconSet="3Symbols2" showValue="0">
        <cfvo type="percent" val="0"/>
        <cfvo type="num" val="&quot;0+$Y$20&quot;"/>
        <cfvo type="num" val="1"/>
      </iconSet>
    </cfRule>
    <cfRule type="cellIs" dxfId="65" priority="116" operator="equal">
      <formula>6</formula>
    </cfRule>
  </conditionalFormatting>
  <conditionalFormatting sqref="P270:BO270">
    <cfRule type="cellIs" dxfId="64" priority="103" operator="equal">
      <formula>"0-5"</formula>
    </cfRule>
    <cfRule type="iconSet" priority="104">
      <iconSet iconSet="3Symbols" showValue="0">
        <cfvo type="percent" val="0"/>
        <cfvo type="percent" val="33"/>
        <cfvo type="percent" val="67"/>
      </iconSet>
    </cfRule>
    <cfRule type="iconSet" priority="105">
      <iconSet iconSet="3Symbols">
        <cfvo type="percent" val="0"/>
        <cfvo type="percent" val="33"/>
        <cfvo type="percent" val="67"/>
      </iconSet>
    </cfRule>
  </conditionalFormatting>
  <conditionalFormatting sqref="P270:BO270">
    <cfRule type="iconSet" priority="101">
      <iconSet iconSet="3Symbols2" showValue="0">
        <cfvo type="percent" val="0"/>
        <cfvo type="num" val="&quot;0+$Y$20&quot;"/>
        <cfvo type="num" val="1"/>
      </iconSet>
    </cfRule>
    <cfRule type="cellIs" dxfId="63" priority="102" operator="equal">
      <formula>6</formula>
    </cfRule>
  </conditionalFormatting>
  <conditionalFormatting sqref="P270:BO270">
    <cfRule type="cellIs" dxfId="62" priority="99" operator="equal">
      <formula>6</formula>
    </cfRule>
    <cfRule type="iconSet" priority="100">
      <iconSet showValue="0">
        <cfvo type="percent" val="0"/>
        <cfvo type="num" val="&quot;0+$Y$20&quot;"/>
        <cfvo type="num" val="1"/>
      </iconSet>
    </cfRule>
  </conditionalFormatting>
  <conditionalFormatting sqref="P270:BO270">
    <cfRule type="iconSet" priority="96">
      <iconSet iconSet="3Symbols2" showValue="0">
        <cfvo type="percent" val="0"/>
        <cfvo type="num" val="0"/>
        <cfvo type="num" val="6"/>
      </iconSet>
    </cfRule>
    <cfRule type="iconSet" priority="97">
      <iconSet iconSet="3Symbols2" showValue="0">
        <cfvo type="percent" val="0"/>
        <cfvo type="num" val="&quot;0+$Y$20&quot;"/>
        <cfvo type="num" val="1"/>
      </iconSet>
    </cfRule>
    <cfRule type="cellIs" dxfId="61" priority="98" operator="equal">
      <formula>6</formula>
    </cfRule>
  </conditionalFormatting>
  <conditionalFormatting sqref="P270:BO270">
    <cfRule type="cellIs" dxfId="60" priority="85" operator="equal">
      <formula>5</formula>
    </cfRule>
    <cfRule type="cellIs" dxfId="59" priority="86" operator="equal">
      <formula>4</formula>
    </cfRule>
    <cfRule type="cellIs" dxfId="58" priority="87" operator="equal">
      <formula>3</formula>
    </cfRule>
    <cfRule type="cellIs" dxfId="57" priority="88" operator="equal">
      <formula>5</formula>
    </cfRule>
    <cfRule type="cellIs" dxfId="56" priority="89" operator="equal">
      <formula>4</formula>
    </cfRule>
    <cfRule type="cellIs" dxfId="55" priority="90" operator="equal">
      <formula>3</formula>
    </cfRule>
    <cfRule type="cellIs" dxfId="54" priority="91" operator="equal">
      <formula>2</formula>
    </cfRule>
    <cfRule type="cellIs" dxfId="53" priority="92" operator="equal">
      <formula>1</formula>
    </cfRule>
    <cfRule type="iconSet" priority="93">
      <iconSet iconSet="3Symbols2" showValue="0">
        <cfvo type="percent" val="0"/>
        <cfvo type="num" val="0"/>
        <cfvo type="num" val="6"/>
      </iconSet>
    </cfRule>
    <cfRule type="iconSet" priority="94">
      <iconSet iconSet="3Symbols2" showValue="0">
        <cfvo type="percent" val="0"/>
        <cfvo type="num" val="&quot;0+$Y$20&quot;"/>
        <cfvo type="num" val="1"/>
      </iconSet>
    </cfRule>
    <cfRule type="cellIs" dxfId="52" priority="95" operator="equal">
      <formula>6</formula>
    </cfRule>
  </conditionalFormatting>
  <conditionalFormatting sqref="P272:BO272">
    <cfRule type="cellIs" dxfId="51" priority="82" operator="equal">
      <formula>"0-5"</formula>
    </cfRule>
    <cfRule type="iconSet" priority="83">
      <iconSet iconSet="3Symbols" showValue="0">
        <cfvo type="percent" val="0"/>
        <cfvo type="percent" val="33"/>
        <cfvo type="percent" val="67"/>
      </iconSet>
    </cfRule>
    <cfRule type="iconSet" priority="84">
      <iconSet iconSet="3Symbols">
        <cfvo type="percent" val="0"/>
        <cfvo type="percent" val="33"/>
        <cfvo type="percent" val="67"/>
      </iconSet>
    </cfRule>
  </conditionalFormatting>
  <conditionalFormatting sqref="P272:BO272">
    <cfRule type="iconSet" priority="80">
      <iconSet iconSet="3Symbols2" showValue="0">
        <cfvo type="percent" val="0"/>
        <cfvo type="num" val="&quot;0+$Y$20&quot;"/>
        <cfvo type="num" val="1"/>
      </iconSet>
    </cfRule>
    <cfRule type="cellIs" dxfId="50" priority="81" operator="equal">
      <formula>6</formula>
    </cfRule>
  </conditionalFormatting>
  <conditionalFormatting sqref="P272:BO272">
    <cfRule type="cellIs" dxfId="49" priority="78" operator="equal">
      <formula>6</formula>
    </cfRule>
    <cfRule type="iconSet" priority="79">
      <iconSet showValue="0">
        <cfvo type="percent" val="0"/>
        <cfvo type="num" val="&quot;0+$Y$20&quot;"/>
        <cfvo type="num" val="1"/>
      </iconSet>
    </cfRule>
  </conditionalFormatting>
  <conditionalFormatting sqref="P272:BO272">
    <cfRule type="iconSet" priority="75">
      <iconSet iconSet="3Symbols2" showValue="0">
        <cfvo type="percent" val="0"/>
        <cfvo type="num" val="0"/>
        <cfvo type="num" val="6"/>
      </iconSet>
    </cfRule>
    <cfRule type="iconSet" priority="76">
      <iconSet iconSet="3Symbols2" showValue="0">
        <cfvo type="percent" val="0"/>
        <cfvo type="num" val="&quot;0+$Y$20&quot;"/>
        <cfvo type="num" val="1"/>
      </iconSet>
    </cfRule>
    <cfRule type="cellIs" dxfId="48" priority="77" operator="equal">
      <formula>6</formula>
    </cfRule>
  </conditionalFormatting>
  <conditionalFormatting sqref="P272:BO272">
    <cfRule type="cellIs" dxfId="47" priority="64" operator="equal">
      <formula>5</formula>
    </cfRule>
    <cfRule type="cellIs" dxfId="46" priority="65" operator="equal">
      <formula>4</formula>
    </cfRule>
    <cfRule type="cellIs" dxfId="45" priority="66" operator="equal">
      <formula>3</formula>
    </cfRule>
    <cfRule type="cellIs" dxfId="44" priority="67" operator="equal">
      <formula>5</formula>
    </cfRule>
    <cfRule type="cellIs" dxfId="43" priority="68" operator="equal">
      <formula>4</formula>
    </cfRule>
    <cfRule type="cellIs" dxfId="42" priority="69" operator="equal">
      <formula>3</formula>
    </cfRule>
    <cfRule type="cellIs" dxfId="41" priority="70" operator="equal">
      <formula>2</formula>
    </cfRule>
    <cfRule type="cellIs" dxfId="40" priority="71" operator="equal">
      <formula>1</formula>
    </cfRule>
    <cfRule type="iconSet" priority="72">
      <iconSet iconSet="3Symbols2" showValue="0">
        <cfvo type="percent" val="0"/>
        <cfvo type="num" val="0"/>
        <cfvo type="num" val="6"/>
      </iconSet>
    </cfRule>
    <cfRule type="iconSet" priority="73">
      <iconSet iconSet="3Symbols2" showValue="0">
        <cfvo type="percent" val="0"/>
        <cfvo type="num" val="&quot;0+$Y$20&quot;"/>
        <cfvo type="num" val="1"/>
      </iconSet>
    </cfRule>
    <cfRule type="cellIs" dxfId="39" priority="74" operator="equal">
      <formula>6</formula>
    </cfRule>
  </conditionalFormatting>
  <conditionalFormatting sqref="P274:BO274">
    <cfRule type="cellIs" dxfId="38" priority="61" operator="equal">
      <formula>"0-5"</formula>
    </cfRule>
    <cfRule type="iconSet" priority="62">
      <iconSet iconSet="3Symbols" showValue="0">
        <cfvo type="percent" val="0"/>
        <cfvo type="percent" val="33"/>
        <cfvo type="percent" val="67"/>
      </iconSet>
    </cfRule>
    <cfRule type="iconSet" priority="63">
      <iconSet iconSet="3Symbols">
        <cfvo type="percent" val="0"/>
        <cfvo type="percent" val="33"/>
        <cfvo type="percent" val="67"/>
      </iconSet>
    </cfRule>
  </conditionalFormatting>
  <conditionalFormatting sqref="P274:BO274">
    <cfRule type="iconSet" priority="59">
      <iconSet iconSet="3Symbols2" showValue="0">
        <cfvo type="percent" val="0"/>
        <cfvo type="num" val="&quot;0+$Y$20&quot;"/>
        <cfvo type="num" val="1"/>
      </iconSet>
    </cfRule>
    <cfRule type="cellIs" dxfId="37" priority="60" operator="equal">
      <formula>6</formula>
    </cfRule>
  </conditionalFormatting>
  <conditionalFormatting sqref="P274:BO274">
    <cfRule type="cellIs" dxfId="36" priority="57" operator="equal">
      <formula>6</formula>
    </cfRule>
    <cfRule type="iconSet" priority="58">
      <iconSet showValue="0">
        <cfvo type="percent" val="0"/>
        <cfvo type="num" val="&quot;0+$Y$20&quot;"/>
        <cfvo type="num" val="1"/>
      </iconSet>
    </cfRule>
  </conditionalFormatting>
  <conditionalFormatting sqref="P274:BO274">
    <cfRule type="iconSet" priority="54">
      <iconSet iconSet="3Symbols2" showValue="0">
        <cfvo type="percent" val="0"/>
        <cfvo type="num" val="0"/>
        <cfvo type="num" val="6"/>
      </iconSet>
    </cfRule>
    <cfRule type="iconSet" priority="55">
      <iconSet iconSet="3Symbols2" showValue="0">
        <cfvo type="percent" val="0"/>
        <cfvo type="num" val="&quot;0+$Y$20&quot;"/>
        <cfvo type="num" val="1"/>
      </iconSet>
    </cfRule>
    <cfRule type="cellIs" dxfId="35" priority="56" operator="equal">
      <formula>6</formula>
    </cfRule>
  </conditionalFormatting>
  <conditionalFormatting sqref="P274:BO274">
    <cfRule type="cellIs" dxfId="34" priority="43" operator="equal">
      <formula>5</formula>
    </cfRule>
    <cfRule type="cellIs" dxfId="33" priority="44" operator="equal">
      <formula>4</formula>
    </cfRule>
    <cfRule type="cellIs" dxfId="32" priority="45" operator="equal">
      <formula>3</formula>
    </cfRule>
    <cfRule type="cellIs" dxfId="31" priority="46" operator="equal">
      <formula>5</formula>
    </cfRule>
    <cfRule type="cellIs" dxfId="30" priority="47" operator="equal">
      <formula>4</formula>
    </cfRule>
    <cfRule type="cellIs" dxfId="29" priority="48" operator="equal">
      <formula>3</formula>
    </cfRule>
    <cfRule type="cellIs" dxfId="28" priority="49" operator="equal">
      <formula>2</formula>
    </cfRule>
    <cfRule type="cellIs" dxfId="27" priority="50" operator="equal">
      <formula>1</formula>
    </cfRule>
    <cfRule type="iconSet" priority="51">
      <iconSet iconSet="3Symbols2" showValue="0">
        <cfvo type="percent" val="0"/>
        <cfvo type="num" val="0"/>
        <cfvo type="num" val="6"/>
      </iconSet>
    </cfRule>
    <cfRule type="iconSet" priority="52">
      <iconSet iconSet="3Symbols2" showValue="0">
        <cfvo type="percent" val="0"/>
        <cfvo type="num" val="&quot;0+$Y$20&quot;"/>
        <cfvo type="num" val="1"/>
      </iconSet>
    </cfRule>
    <cfRule type="cellIs" dxfId="26" priority="53" operator="equal">
      <formula>6</formula>
    </cfRule>
  </conditionalFormatting>
  <conditionalFormatting sqref="P276:BO276">
    <cfRule type="cellIs" dxfId="25" priority="40" operator="equal">
      <formula>"0-5"</formula>
    </cfRule>
    <cfRule type="iconSet" priority="41">
      <iconSet iconSet="3Symbols" showValue="0">
        <cfvo type="percent" val="0"/>
        <cfvo type="percent" val="33"/>
        <cfvo type="percent" val="67"/>
      </iconSet>
    </cfRule>
    <cfRule type="iconSet" priority="42">
      <iconSet iconSet="3Symbols">
        <cfvo type="percent" val="0"/>
        <cfvo type="percent" val="33"/>
        <cfvo type="percent" val="67"/>
      </iconSet>
    </cfRule>
  </conditionalFormatting>
  <conditionalFormatting sqref="P276:BO276">
    <cfRule type="iconSet" priority="38">
      <iconSet iconSet="3Symbols2" showValue="0">
        <cfvo type="percent" val="0"/>
        <cfvo type="num" val="&quot;0+$Y$20&quot;"/>
        <cfvo type="num" val="1"/>
      </iconSet>
    </cfRule>
    <cfRule type="cellIs" dxfId="24" priority="39" operator="equal">
      <formula>6</formula>
    </cfRule>
  </conditionalFormatting>
  <conditionalFormatting sqref="P276:BO276">
    <cfRule type="cellIs" dxfId="23" priority="36" operator="equal">
      <formula>6</formula>
    </cfRule>
    <cfRule type="iconSet" priority="37">
      <iconSet showValue="0">
        <cfvo type="percent" val="0"/>
        <cfvo type="num" val="&quot;0+$Y$20&quot;"/>
        <cfvo type="num" val="1"/>
      </iconSet>
    </cfRule>
  </conditionalFormatting>
  <conditionalFormatting sqref="P276:BO276">
    <cfRule type="iconSet" priority="33">
      <iconSet iconSet="3Symbols2" showValue="0">
        <cfvo type="percent" val="0"/>
        <cfvo type="num" val="0"/>
        <cfvo type="num" val="6"/>
      </iconSet>
    </cfRule>
    <cfRule type="iconSet" priority="34">
      <iconSet iconSet="3Symbols2" showValue="0">
        <cfvo type="percent" val="0"/>
        <cfvo type="num" val="&quot;0+$Y$20&quot;"/>
        <cfvo type="num" val="1"/>
      </iconSet>
    </cfRule>
    <cfRule type="cellIs" dxfId="22" priority="35" operator="equal">
      <formula>6</formula>
    </cfRule>
  </conditionalFormatting>
  <conditionalFormatting sqref="P276:BO276">
    <cfRule type="cellIs" dxfId="21" priority="22" operator="equal">
      <formula>5</formula>
    </cfRule>
    <cfRule type="cellIs" dxfId="20" priority="23" operator="equal">
      <formula>4</formula>
    </cfRule>
    <cfRule type="cellIs" dxfId="19" priority="24" operator="equal">
      <formula>3</formula>
    </cfRule>
    <cfRule type="cellIs" dxfId="18" priority="25" operator="equal">
      <formula>5</formula>
    </cfRule>
    <cfRule type="cellIs" dxfId="17" priority="26" operator="equal">
      <formula>4</formula>
    </cfRule>
    <cfRule type="cellIs" dxfId="16" priority="27" operator="equal">
      <formula>3</formula>
    </cfRule>
    <cfRule type="cellIs" dxfId="15" priority="28" operator="equal">
      <formula>2</formula>
    </cfRule>
    <cfRule type="cellIs" dxfId="14" priority="29" operator="equal">
      <formula>1</formula>
    </cfRule>
    <cfRule type="iconSet" priority="30">
      <iconSet iconSet="3Symbols2" showValue="0">
        <cfvo type="percent" val="0"/>
        <cfvo type="num" val="0"/>
        <cfvo type="num" val="6"/>
      </iconSet>
    </cfRule>
    <cfRule type="iconSet" priority="31">
      <iconSet iconSet="3Symbols2" showValue="0">
        <cfvo type="percent" val="0"/>
        <cfvo type="num" val="&quot;0+$Y$20&quot;"/>
        <cfvo type="num" val="1"/>
      </iconSet>
    </cfRule>
    <cfRule type="cellIs" dxfId="13" priority="32" operator="equal">
      <formula>6</formula>
    </cfRule>
  </conditionalFormatting>
  <conditionalFormatting sqref="P278:BO278">
    <cfRule type="cellIs" dxfId="12" priority="19" operator="equal">
      <formula>"0-5"</formula>
    </cfRule>
    <cfRule type="iconSet" priority="20">
      <iconSet iconSet="3Symbols" showValue="0">
        <cfvo type="percent" val="0"/>
        <cfvo type="percent" val="33"/>
        <cfvo type="percent" val="67"/>
      </iconSet>
    </cfRule>
    <cfRule type="iconSet" priority="21">
      <iconSet iconSet="3Symbols">
        <cfvo type="percent" val="0"/>
        <cfvo type="percent" val="33"/>
        <cfvo type="percent" val="67"/>
      </iconSet>
    </cfRule>
  </conditionalFormatting>
  <conditionalFormatting sqref="P278:BO278">
    <cfRule type="iconSet" priority="17">
      <iconSet iconSet="3Symbols2" showValue="0">
        <cfvo type="percent" val="0"/>
        <cfvo type="num" val="&quot;0+$Y$20&quot;"/>
        <cfvo type="num" val="1"/>
      </iconSet>
    </cfRule>
    <cfRule type="cellIs" dxfId="11" priority="18" operator="equal">
      <formula>6</formula>
    </cfRule>
  </conditionalFormatting>
  <conditionalFormatting sqref="P278:BO278">
    <cfRule type="cellIs" dxfId="10" priority="15" operator="equal">
      <formula>6</formula>
    </cfRule>
    <cfRule type="iconSet" priority="16">
      <iconSet showValue="0">
        <cfvo type="percent" val="0"/>
        <cfvo type="num" val="&quot;0+$Y$20&quot;"/>
        <cfvo type="num" val="1"/>
      </iconSet>
    </cfRule>
  </conditionalFormatting>
  <conditionalFormatting sqref="P278:BO278">
    <cfRule type="iconSet" priority="12">
      <iconSet iconSet="3Symbols2" showValue="0">
        <cfvo type="percent" val="0"/>
        <cfvo type="num" val="0"/>
        <cfvo type="num" val="6"/>
      </iconSet>
    </cfRule>
    <cfRule type="iconSet" priority="13">
      <iconSet iconSet="3Symbols2" showValue="0">
        <cfvo type="percent" val="0"/>
        <cfvo type="num" val="&quot;0+$Y$20&quot;"/>
        <cfvo type="num" val="1"/>
      </iconSet>
    </cfRule>
    <cfRule type="cellIs" dxfId="9" priority="14" operator="equal">
      <formula>6</formula>
    </cfRule>
  </conditionalFormatting>
  <conditionalFormatting sqref="P278:BO278">
    <cfRule type="cellIs" dxfId="8" priority="1" operator="equal">
      <formula>5</formula>
    </cfRule>
    <cfRule type="cellIs" dxfId="7" priority="2" operator="equal">
      <formula>4</formula>
    </cfRule>
    <cfRule type="cellIs" dxfId="6" priority="3" operator="equal">
      <formula>3</formula>
    </cfRule>
    <cfRule type="cellIs" dxfId="5" priority="4" operator="equal">
      <formula>5</formula>
    </cfRule>
    <cfRule type="cellIs" dxfId="4" priority="5" operator="equal">
      <formula>4</formula>
    </cfRule>
    <cfRule type="cellIs" dxfId="3" priority="6" operator="equal">
      <formula>3</formula>
    </cfRule>
    <cfRule type="cellIs" dxfId="2" priority="7" operator="equal">
      <formula>2</formula>
    </cfRule>
    <cfRule type="cellIs" dxfId="1" priority="8" operator="equal">
      <formula>1</formula>
    </cfRule>
    <cfRule type="iconSet" priority="9">
      <iconSet iconSet="3Symbols2" showValue="0">
        <cfvo type="percent" val="0"/>
        <cfvo type="num" val="0"/>
        <cfvo type="num" val="6"/>
      </iconSet>
    </cfRule>
    <cfRule type="iconSet" priority="10">
      <iconSet iconSet="3Symbols2" showValue="0">
        <cfvo type="percent" val="0"/>
        <cfvo type="num" val="&quot;0+$Y$20&quot;"/>
        <cfvo type="num" val="1"/>
      </iconSet>
    </cfRule>
    <cfRule type="cellIs" dxfId="0" priority="11" operator="equal">
      <formula>6</formula>
    </cfRule>
  </conditionalFormatting>
  <pageMargins left="0.7" right="0.7" top="0.75" bottom="0.75" header="0.3" footer="0.3"/>
  <pageSetup paperSize="9" scale="17" orientation="landscape" r:id="rId1"/>
  <headerFooter>
    <oddFooter>&amp;C_x000D_&amp;1#&amp;"Aptos"&amp;10&amp;K000000 Internal</oddFooter>
  </headerFooter>
  <drawing r:id="rId2"/>
</worksheet>
</file>

<file path=docMetadata/LabelInfo.xml><?xml version="1.0" encoding="utf-8"?>
<clbl:labelList xmlns:clbl="http://schemas.microsoft.com/office/2020/mipLabelMetadata">
  <clbl:label id="{cbce00ce-41f4-44c4-a1e5-fbd3d5d681ea}" enabled="1" method="Standard" siteId="{e2e36961-c4a8-408f-b47f-de51ee72e33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PLAN</vt:lpstr>
      <vt:lpstr>Full</vt:lpstr>
      <vt:lpstr>Full!Print_Area</vt:lpstr>
      <vt:lpstr>PLAN!Print_Area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Yasser AbdelKhalek Basyouni</dc:creator>
  <cp:lastModifiedBy>Hany Eltantawy</cp:lastModifiedBy>
  <cp:lastPrinted>2026-01-18T11:32:55Z</cp:lastPrinted>
  <dcterms:created xsi:type="dcterms:W3CDTF">2026-01-17T15:11:46Z</dcterms:created>
  <dcterms:modified xsi:type="dcterms:W3CDTF">2026-03-09T16:58:42Z</dcterms:modified>
</cp:coreProperties>
</file>