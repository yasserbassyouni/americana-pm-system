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" state="visible" r:id="rId4"/>
  </sheets>
  <calcPr calcId="171027"/>
</workbook>
</file>

<file path=xl/sharedStrings.xml><?xml version="1.0" encoding="utf-8"?>
<sst xmlns="http://schemas.openxmlformats.org/spreadsheetml/2006/main" count="1665" uniqueCount="488">
  <si>
    <t>Smart PM Maintenance</t>
  </si>
  <si>
    <t>Preventive Maintenance System</t>
  </si>
  <si>
    <t>Total Machines</t>
  </si>
  <si>
    <t>Total PM Tasks</t>
  </si>
  <si>
    <t>Weekly</t>
  </si>
  <si>
    <t>Monthly</t>
  </si>
  <si>
    <t>Quarterly</t>
  </si>
  <si>
    <t>Semi Annual</t>
  </si>
  <si>
    <t>Annual</t>
  </si>
  <si>
    <t>Running Hours</t>
  </si>
  <si>
    <t>Line Name</t>
  </si>
  <si>
    <t>Annual Year</t>
  </si>
  <si>
    <t>Prepared By</t>
  </si>
  <si>
    <t>Approved By</t>
  </si>
  <si>
    <t>Revision</t>
  </si>
  <si>
    <t>Last Update</t>
  </si>
  <si>
    <t>Cookies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</si>
  <si>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</si>
  <si>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</si>
  <si>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</si>
  <si>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</si>
  <si>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</si>
  <si>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</si>
  <si>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</si>
  <si>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</si>
  <si>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</si>
  <si>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</si>
  <si>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</si>
  <si>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</si>
  <si>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2--8</t>
  </si>
  <si>
    <t>9--15</t>
  </si>
  <si>
    <t>16--22</t>
  </si>
  <si>
    <t>23--29</t>
  </si>
  <si>
    <t>30--5</t>
  </si>
  <si>
    <t>6--12</t>
  </si>
  <si>
    <t>13--19</t>
  </si>
  <si>
    <t>20--26</t>
  </si>
  <si>
    <t>27--5</t>
  </si>
  <si>
    <t>27--2</t>
  </si>
  <si>
    <t>3--9</t>
  </si>
  <si>
    <t>10--16</t>
  </si>
  <si>
    <t>17--23</t>
  </si>
  <si>
    <t>24--30</t>
  </si>
  <si>
    <t>1--7</t>
  </si>
  <si>
    <t>8--14</t>
  </si>
  <si>
    <t>15--21</t>
  </si>
  <si>
    <t>22--28</t>
  </si>
  <si>
    <t>29--4</t>
  </si>
  <si>
    <t>5--11</t>
  </si>
  <si>
    <t>12--18</t>
  </si>
  <si>
    <t>19--25</t>
  </si>
  <si>
    <t>26--2</t>
  </si>
  <si>
    <t>31--6</t>
  </si>
  <si>
    <t>7--13</t>
  </si>
  <si>
    <t>14--20</t>
  </si>
  <si>
    <t>21--27</t>
  </si>
  <si>
    <t>28--3</t>
  </si>
  <si>
    <t>4--10</t>
  </si>
  <si>
    <t>11--17</t>
  </si>
  <si>
    <t>18--24</t>
  </si>
  <si>
    <t>25--1</t>
  </si>
  <si>
    <t>27--3</t>
  </si>
  <si>
    <t>25--31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</si>
  <si>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</si>
  <si>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</si>
  <si>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</si>
  <si>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</si>
  <si>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</si>
  <si>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</si>
  <si>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</si>
  <si>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</si>
  <si>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</si>
  <si>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</si>
  <si>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</si>
  <si>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</si>
  <si>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</si>
  <si>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</si>
  <si>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</si>
  <si>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</si>
  <si>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</si>
  <si>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</si>
  <si>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</si>
  <si>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</si>
  <si>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</si>
  <si>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</si>
  <si>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</si>
  <si>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</si>
  <si>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</si>
  <si>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</si>
  <si>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</si>
  <si>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</si>
  <si>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</si>
  <si>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</si>
  <si>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</si>
  <si>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</si>
  <si>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</si>
  <si>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</si>
  <si>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</si>
  <si>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</si>
  <si>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</si>
  <si>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</si>
  <si>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</si>
  <si>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</si>
  <si>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</si>
  <si>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</si>
  <si>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</si>
  <si>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</si>
  <si>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</si>
  <si>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</si>
  <si>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</si>
  <si>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</si>
  <si>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</si>
  <si>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</si>
  <si>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</si>
  <si>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</si>
  <si>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</si>
  <si>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</si>
  <si>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</si>
  <si>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</si>
  <si>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</si>
  <si>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</si>
  <si>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</si>
  <si>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</si>
  <si>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</si>
  <si>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</si>
  <si>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</si>
  <si>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</si>
  <si>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</si>
  <si>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</si>
  <si>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</si>
  <si>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Mixer</t>
  </si>
  <si>
    <t>C1</t>
  </si>
  <si>
    <t>C1 Mixer</t>
  </si>
  <si>
    <t>Diosna</t>
  </si>
  <si>
    <t>Electric panel</t>
  </si>
  <si>
    <t>Check swiches,alarm lamp and all caple</t>
  </si>
  <si>
    <t>planed</t>
  </si>
  <si>
    <t>Calendar</t>
  </si>
  <si>
    <t>372dc36b-c7a8-49fb-a7df-e1a136cc05f7</t>
  </si>
  <si>
    <t>done</t>
  </si>
  <si>
    <t>Motor</t>
  </si>
  <si>
    <t>Check bearing and vibration</t>
  </si>
  <si>
    <t>08d7e267-bf15-4615-a9c4-ff088276dda5</t>
  </si>
  <si>
    <t>Bowel gear</t>
  </si>
  <si>
    <t>Change oil of gear box</t>
  </si>
  <si>
    <t>10000 hr</t>
  </si>
  <si>
    <t>845680a0-5c75-497d-8dfb-cbfc88a8fe6c</t>
  </si>
  <si>
    <t>Tool bearing, Hydraulic Cylinde, tool gear&amp; Tool Drive</t>
  </si>
  <si>
    <t>Greasing</t>
  </si>
  <si>
    <t>6000 hr</t>
  </si>
  <si>
    <t>2026-12-17</t>
  </si>
  <si>
    <t>8b4b02bf-a1c6-4eaa-8b32-1ce6f31af135</t>
  </si>
  <si>
    <t>Hydraulic cylinder</t>
  </si>
  <si>
    <t>1000 hr</t>
  </si>
  <si>
    <t>2026-03-05</t>
  </si>
  <si>
    <t>9bed073d-8ebe-4d68-a46d-bd7d8cf2b08a</t>
  </si>
  <si>
    <t>Clow Bolts</t>
  </si>
  <si>
    <t>df541b62-0e6a-47da-b823-13af91159ed3</t>
  </si>
  <si>
    <t>Bowel gear swiveral bearing &amp;Toll beearing</t>
  </si>
  <si>
    <t>d44e0116-e9c6-4e66-b661-38724dbe91b0</t>
  </si>
  <si>
    <t>Gripper clamping surface</t>
  </si>
  <si>
    <t>40 hr</t>
  </si>
  <si>
    <t>2026-01-08</t>
  </si>
  <si>
    <t>38cd4e4d-e684-4406-afe3-ff037d0c2f17</t>
  </si>
  <si>
    <t>Forming</t>
  </si>
  <si>
    <t>C2</t>
  </si>
  <si>
    <t>Egg wash</t>
  </si>
  <si>
    <t>C2 Egg wash</t>
  </si>
  <si>
    <t>Meinke</t>
  </si>
  <si>
    <t>Clean, swiches,alarm lamp and all caple</t>
  </si>
  <si>
    <t>ce84ec43-05b0-4f89-b3d1-6d8d7de7068b</t>
  </si>
  <si>
    <t>Gear box</t>
  </si>
  <si>
    <t>Check oil level ,sound and vibration</t>
  </si>
  <si>
    <t>a7b0f782-f221-4de2-99c5-e1c8edb94905</t>
  </si>
  <si>
    <t>Bearing</t>
  </si>
  <si>
    <t>Change bearing</t>
  </si>
  <si>
    <t>57bf9e37-4e7c-4035-97a9-1a400f1de21e</t>
  </si>
  <si>
    <t>C3</t>
  </si>
  <si>
    <t>Sprinkler unit</t>
  </si>
  <si>
    <t>C3 Sprinkler unit</t>
  </si>
  <si>
    <t>56e59373-8872-4fdf-b4a1-d6df83ad19e2</t>
  </si>
  <si>
    <t>bfb33a07-edd9-40a6-81be-37002e9a1e97</t>
  </si>
  <si>
    <t>Chain and gear</t>
  </si>
  <si>
    <t>Lubricate</t>
  </si>
  <si>
    <t>66dc8ba0-e748-402f-9344-a47c1c7e69ba</t>
  </si>
  <si>
    <t>C4</t>
  </si>
  <si>
    <t>Rotary shape machine</t>
  </si>
  <si>
    <t>C4 Rotary shape machine</t>
  </si>
  <si>
    <t>Buhler</t>
  </si>
  <si>
    <t>d8e36478-3593-4fef-808e-99089f78a947</t>
  </si>
  <si>
    <t>Gear &amp; Gear box</t>
  </si>
  <si>
    <t>check oil of gear box heck gearwheels and tooth racks; lubricate if require</t>
  </si>
  <si>
    <t>2000 hr</t>
  </si>
  <si>
    <t>2026-04-30</t>
  </si>
  <si>
    <t>0506376e-d4a7-4e96-8a60-6aa1e1be457b</t>
  </si>
  <si>
    <t>3e5d7197-726f-48f9-923b-c75ab99e115c</t>
  </si>
  <si>
    <t>Chain</t>
  </si>
  <si>
    <t>low-clean light barriers and reflectors with compressed air, Check slippage of conveyor belts &amp; pneumatic</t>
  </si>
  <si>
    <t>120 hr</t>
  </si>
  <si>
    <t>35c2668b-d097-4ec1-9506-def7f3ae8969</t>
  </si>
  <si>
    <t>Safety devices</t>
  </si>
  <si>
    <t xml:space="preserve">Check functioning of safety devices 
and switches (emergency stop button)</t>
  </si>
  <si>
    <t>5000 hr</t>
  </si>
  <si>
    <t>2026-10-22</t>
  </si>
  <si>
    <t>c177e63c-77b2-40cb-a125-b35ea4e24aa1</t>
  </si>
  <si>
    <t>Belt</t>
  </si>
  <si>
    <t>control &amp; adjust conveyor belt &amp; scraper</t>
  </si>
  <si>
    <t>54974292-ae89-48cd-9f20-a1c91037466d</t>
  </si>
  <si>
    <t>C5</t>
  </si>
  <si>
    <t>Vanilla ring machine</t>
  </si>
  <si>
    <t>C5 Vanilla ring machine</t>
  </si>
  <si>
    <t>035d2d5d-349c-4856-9da2-370b81d45041</t>
  </si>
  <si>
    <t>Gear boxes shaft</t>
  </si>
  <si>
    <t>Change</t>
  </si>
  <si>
    <t>05e35d30-b072-4db9-94d1-979098eb288d</t>
  </si>
  <si>
    <t>Bearing &amp; shafts</t>
  </si>
  <si>
    <t>Change bearing grease, shaft seal and elastic rim gear</t>
  </si>
  <si>
    <t>6f1e4ecb-8572-4e01-8d02-029acb0afbb4</t>
  </si>
  <si>
    <t>linear guide</t>
  </si>
  <si>
    <t>215434fe-4f06-4037-850f-4e7412ed8902</t>
  </si>
  <si>
    <t>Spindle And guide spindle</t>
  </si>
  <si>
    <t>Check and Greasing</t>
  </si>
  <si>
    <t>81935dcc-45e0-48a0-b5c5-d31e7da932d3</t>
  </si>
  <si>
    <t>Cam discs and cam rollers</t>
  </si>
  <si>
    <t>a754c90e-214d-46ca-bae6-c5ff2bed2ea2</t>
  </si>
  <si>
    <t>Greasin nozzles</t>
  </si>
  <si>
    <t>bcc25b43-9cf4-46f9-bb02-222a7f5baed1</t>
  </si>
  <si>
    <t>Rotating parts</t>
  </si>
  <si>
    <t>Greasing rotatingg parts</t>
  </si>
  <si>
    <t>7d409da7-85b6-44e3-b933-657f970f0512</t>
  </si>
  <si>
    <t>Electric</t>
  </si>
  <si>
    <t>e13521c7-5987-46bb-8eb1-e4a557b162e1</t>
  </si>
  <si>
    <t>C6</t>
  </si>
  <si>
    <t>Wire cut 1</t>
  </si>
  <si>
    <t>C6 Wire cut 1</t>
  </si>
  <si>
    <t>electric panel</t>
  </si>
  <si>
    <t>55be8a43-2a60-4596-bac4-2f5104aebb4a</t>
  </si>
  <si>
    <t>gear box</t>
  </si>
  <si>
    <t>7e07142d-6e89-42e0-ae64-fe8cf05f9e7d</t>
  </si>
  <si>
    <t>depositor head points</t>
  </si>
  <si>
    <t>8 hr</t>
  </si>
  <si>
    <t>a299ed4a-0212-4f24-828e-d85b47c6fdce</t>
  </si>
  <si>
    <t>dough conveying mechanism</t>
  </si>
  <si>
    <t>f5f5f2de-c538-41bc-83f2-818c13e75964</t>
  </si>
  <si>
    <t>bronze nut dough conveying mechanism</t>
  </si>
  <si>
    <t>4e4782a4-c513-4766-b1eb-199a9943418d</t>
  </si>
  <si>
    <t>Gears</t>
  </si>
  <si>
    <t>773a324d-1c7b-4f1c-bf87-ba6025e48837</t>
  </si>
  <si>
    <t>C7</t>
  </si>
  <si>
    <t>Wire cut 2</t>
  </si>
  <si>
    <t>C7 Wire cut 2</t>
  </si>
  <si>
    <t>8af00490-0356-4009-8caf-976367ace256</t>
  </si>
  <si>
    <t>7e8373d7-a337-43e8-a37c-6be7c4bae6f3</t>
  </si>
  <si>
    <t>Depositor head points</t>
  </si>
  <si>
    <t>0afa1d00-5729-43fb-83df-f461f119fc00</t>
  </si>
  <si>
    <t>Dough conveying mechanism</t>
  </si>
  <si>
    <t>37092152-63fb-4d33-8fc3-a59f45303da6</t>
  </si>
  <si>
    <t>Bronze nut dough conveying mechanism</t>
  </si>
  <si>
    <t>27753fd8-885b-44cf-ace9-1ea7bc2f46b8</t>
  </si>
  <si>
    <t>a4b26e2b-af2e-4f4b-af72-dffa5ec8d77e</t>
  </si>
  <si>
    <t>Baking</t>
  </si>
  <si>
    <t>C8</t>
  </si>
  <si>
    <t>oven</t>
  </si>
  <si>
    <t>C8 oven</t>
  </si>
  <si>
    <t>Meinke/Buhler</t>
  </si>
  <si>
    <t>dbaf6c7b-b303-4b95-b0fc-2dc443e19464</t>
  </si>
  <si>
    <t>Burner</t>
  </si>
  <si>
    <t>Check the burner</t>
  </si>
  <si>
    <t>e95bddf4-49f5-425c-b906-9dc2e4497669</t>
  </si>
  <si>
    <t>Clean the Burner</t>
  </si>
  <si>
    <t>0da2319f-c505-4b20-9c17-1dc79ec048d4</t>
  </si>
  <si>
    <t>38edd36f-6ec3-46c0-a2b9-1e69dec97f26</t>
  </si>
  <si>
    <t>1667062e-1819-479f-9cd2-9001a55d86c2</t>
  </si>
  <si>
    <t>Bearing and rotating parts</t>
  </si>
  <si>
    <t>Grease all bearing and rotating Parts</t>
  </si>
  <si>
    <t>7eb00af3-ee9c-42a6-98dc-c295a24b4728</t>
  </si>
  <si>
    <t>Rollers</t>
  </si>
  <si>
    <t>Check the bearing of all rollers</t>
  </si>
  <si>
    <t>fd11d06d-f566-4158-8147-ab291e8323d8</t>
  </si>
  <si>
    <t>chain</t>
  </si>
  <si>
    <t>Greasing the chain</t>
  </si>
  <si>
    <t>52502464-c751-4600-a0c9-1dc4f93dea66</t>
  </si>
  <si>
    <t>Blowers</t>
  </si>
  <si>
    <t>Check vibration</t>
  </si>
  <si>
    <t>080002f4-113e-4f36-8c74-68fe54bde313</t>
  </si>
  <si>
    <t>Steel belt</t>
  </si>
  <si>
    <t>Check rivits</t>
  </si>
  <si>
    <t>31637892-bfd7-4d1e-9242-6507f6f6b32b</t>
  </si>
  <si>
    <t>Conveyor</t>
  </si>
  <si>
    <t>C9</t>
  </si>
  <si>
    <t>Wire mesh conveyor</t>
  </si>
  <si>
    <t>C9 Wire mesh conveyor</t>
  </si>
  <si>
    <t>cf59cc3c-4ec2-41e8-b0e4-6613c6b431a3</t>
  </si>
  <si>
    <t>a2e4e565-3187-4ac8-8b8d-ee1e4e22b6eb</t>
  </si>
  <si>
    <t>019982e5-836c-4111-86ec-56fd734cbf08</t>
  </si>
  <si>
    <t>Check the bearing of all rollers, belt</t>
  </si>
  <si>
    <t>077d0a64-188a-40b5-b05d-91e16c379712</t>
  </si>
  <si>
    <t>C10</t>
  </si>
  <si>
    <t>Conveyor1</t>
  </si>
  <si>
    <t>C10 Conveyor1</t>
  </si>
  <si>
    <t>Local</t>
  </si>
  <si>
    <t>clean, swiches,alarm lamp and all caple</t>
  </si>
  <si>
    <t>679cd308-c3b9-4d7a-971b-d1021f4ba38c</t>
  </si>
  <si>
    <t>check oil level ,sound and vibration</t>
  </si>
  <si>
    <t>4f4ef520-14f4-4e8f-9ed3-6ba4287afe0b</t>
  </si>
  <si>
    <t>change oil of gear box</t>
  </si>
  <si>
    <t>b2cbd879-b477-48ad-b4d5-af2165af2e09</t>
  </si>
  <si>
    <t>Rollers &amp; belt</t>
  </si>
  <si>
    <t>check the bearing of all rollers &amp; Belt</t>
  </si>
  <si>
    <t>6a05dd7e-5ec3-4622-94fb-098a53cf7ce2</t>
  </si>
  <si>
    <t>C11</t>
  </si>
  <si>
    <t>Conveyor2</t>
  </si>
  <si>
    <t>C11 Conveyor2</t>
  </si>
  <si>
    <t>359c6d4f-c4c0-4a3d-95dc-6b968baa7dd2</t>
  </si>
  <si>
    <t>5343bdba-7f40-41bb-ab94-da5274a62fc6</t>
  </si>
  <si>
    <t>81352822-15cb-483c-9a1c-db050ad23f00</t>
  </si>
  <si>
    <t>d8698edf-0c15-4ea0-bb80-d673f5e30a57</t>
  </si>
  <si>
    <t>C12</t>
  </si>
  <si>
    <t>Conveyor3</t>
  </si>
  <si>
    <t>C12 Conveyor3</t>
  </si>
  <si>
    <t>92c3c26b-dee1-45a5-9e3c-cb8941051e8f</t>
  </si>
  <si>
    <t>1105f235-7e8f-4d3d-8c3e-60d1fc036ada</t>
  </si>
  <si>
    <t>8461378c-5d9a-4309-a955-737be4e7a306</t>
  </si>
  <si>
    <t>dfaf6672-aff7-46cc-bb3c-63bc814ac995</t>
  </si>
  <si>
    <t>C13</t>
  </si>
  <si>
    <t>Conveyor4</t>
  </si>
  <si>
    <t>C13 Conveyor4</t>
  </si>
  <si>
    <t>269f0886-76ab-4fbe-b933-12a250598b27</t>
  </si>
  <si>
    <t>dcd77060-4f51-4cbd-a7cf-aff5ee46b2bb</t>
  </si>
  <si>
    <t>6a805ed8-7edf-41fa-9eeb-15ef3113f2c5</t>
  </si>
  <si>
    <t>1260e11c-fd75-42d9-a923-34bb5fd8b595</t>
  </si>
  <si>
    <t>C14</t>
  </si>
  <si>
    <t>Conveyor5</t>
  </si>
  <si>
    <t>C14 Conveyor5</t>
  </si>
  <si>
    <t>073dd1c3-6da8-4500-80ab-64448343d408</t>
  </si>
  <si>
    <t>9b2bcde6-7d94-47ce-9243-35943026988c</t>
  </si>
  <si>
    <t>04528492-3753-4cae-8902-4971ad9f70fe</t>
  </si>
  <si>
    <t>ba743b08-97ec-421c-a442-168c3bfddbf8</t>
  </si>
  <si>
    <t>C15</t>
  </si>
  <si>
    <t>Conveyor6</t>
  </si>
  <si>
    <t>C15 Conveyor6</t>
  </si>
  <si>
    <t>dcd3964b-af4c-44fa-ac73-2a470c39fb14</t>
  </si>
  <si>
    <t>66ba0311-aeec-4c82-b72d-bf06bea2ea3d</t>
  </si>
  <si>
    <t>6948cc64-7ddd-486e-8faf-9d9bbadfc3a1</t>
  </si>
  <si>
    <t>fed08dd9-4d5f-4f39-8c53-42b50375300f</t>
  </si>
  <si>
    <t>C16</t>
  </si>
  <si>
    <t>Conveyor7</t>
  </si>
  <si>
    <t>C16 Conveyor7</t>
  </si>
  <si>
    <t>144ad42d-640e-4ea4-952f-10a405508b89</t>
  </si>
  <si>
    <t>059a8b6c-7d41-4150-8c98-15753cbe7e3d</t>
  </si>
  <si>
    <t>ed60752b-9dcd-4759-ac80-a730706a487b</t>
  </si>
  <si>
    <t>3255a561-4daf-415f-8754-f9b57b7b2cc3</t>
  </si>
  <si>
    <t>Packaging</t>
  </si>
  <si>
    <t>C17</t>
  </si>
  <si>
    <t>Flow pack mashine1</t>
  </si>
  <si>
    <t>C17 Flow pack mashine1</t>
  </si>
  <si>
    <t>cavana 01</t>
  </si>
  <si>
    <t>clean, swiches,alarm lamp and all caple &amp; fans</t>
  </si>
  <si>
    <t>8f577313-2db8-4873-9c67-02dcb5724045</t>
  </si>
  <si>
    <t>249b9d4e-58ad-42d6-b691-3bd3cbd6713a</t>
  </si>
  <si>
    <t>e394ce47-9fc1-42f3-b104-4bb9f334946f</t>
  </si>
  <si>
    <t>grease all bearing and rotating Parts</t>
  </si>
  <si>
    <t>500 hr</t>
  </si>
  <si>
    <t>2026-02-05</t>
  </si>
  <si>
    <t>bf2314aa-15a0-4cd0-923d-fa7976ea6bdb</t>
  </si>
  <si>
    <t>lungtidunal sealing unit</t>
  </si>
  <si>
    <t>grease sealng wheels and bevel gear</t>
  </si>
  <si>
    <t>300 hr</t>
  </si>
  <si>
    <t>2026-01-22</t>
  </si>
  <si>
    <t>354d3d6e-b223-4238-b09b-783ef1a848e0</t>
  </si>
  <si>
    <t>Flab folder</t>
  </si>
  <si>
    <t>lubricate bevel gear</t>
  </si>
  <si>
    <t>1bf85fb9-6fec-4ab6-ab5e-2d98b3a8c8c3</t>
  </si>
  <si>
    <t>lubricate  flab folder</t>
  </si>
  <si>
    <t>a5aea696-0d2c-4ddc-8c13-1887fae8047e</t>
  </si>
  <si>
    <t>Check PIV Oil</t>
  </si>
  <si>
    <t>Check oil</t>
  </si>
  <si>
    <t>8b083340-1bdb-4b95-a50b-be707fc3594b</t>
  </si>
  <si>
    <t>Spur gears of jaws</t>
  </si>
  <si>
    <t>greasing the chain</t>
  </si>
  <si>
    <t>cbc71d42-ce5f-4dda-a132-dd3210f439ea</t>
  </si>
  <si>
    <t>Discharge unit</t>
  </si>
  <si>
    <t>grease roller</t>
  </si>
  <si>
    <t>200 hr</t>
  </si>
  <si>
    <t>2026-01-15</t>
  </si>
  <si>
    <t>ffdd2109-9e00-493a-b236-13748ae412c6</t>
  </si>
  <si>
    <t>Pusher &amp; Feeding chain</t>
  </si>
  <si>
    <t>lubricate the chain</t>
  </si>
  <si>
    <t>a2b10213-9d2c-43d8-8c4e-4cc701ca743c</t>
  </si>
  <si>
    <t>Cam &amp; Transimision Duel adjustment &amp;  internal gear</t>
  </si>
  <si>
    <t>greasing</t>
  </si>
  <si>
    <t>d623217c-886e-4fe0-b505-3bc7af4b7ed6</t>
  </si>
  <si>
    <t>Height adjustment screw</t>
  </si>
  <si>
    <t>ae0f5ddf-2836-4ea0-bd6b-2c1bca4733a2</t>
  </si>
  <si>
    <t>Pneumatic cercuit</t>
  </si>
  <si>
    <t>check air leakage</t>
  </si>
  <si>
    <t>0f659bc0-b665-4dbb-a478-021009c8771e</t>
  </si>
  <si>
    <t>check hose and filter and regulator</t>
  </si>
  <si>
    <t>908cf415-e77c-49bd-ba30-87e0c51c0262</t>
  </si>
  <si>
    <t>Exit conveyors</t>
  </si>
  <si>
    <t>Check the conveyors</t>
  </si>
  <si>
    <t>0ef5b571-3e8f-4ecb-9b97-097f38dcd494</t>
  </si>
  <si>
    <t>Jaws</t>
  </si>
  <si>
    <t>check jaws and sealing</t>
  </si>
  <si>
    <t>6eaca766-1ead-456b-b5ce-9f3660d380be</t>
  </si>
  <si>
    <t>C18</t>
  </si>
  <si>
    <t>Flow pack mashine2</t>
  </si>
  <si>
    <t>C18 Flow pack mashine2</t>
  </si>
  <si>
    <t>Cavana05</t>
  </si>
  <si>
    <t>be99e9a7-d80d-4463-b095-2be86f70908d</t>
  </si>
  <si>
    <t>Pusher &amp; Transmition and feeding chain</t>
  </si>
  <si>
    <t>27ae532d-c780-4f79-8ec9-55e29dbf424c</t>
  </si>
  <si>
    <t>Reduction unitl sealing shafet</t>
  </si>
  <si>
    <t>Oil</t>
  </si>
  <si>
    <t>f62843b3-7ece-4ff5-b488-6dd8a646ea00</t>
  </si>
  <si>
    <t>Bearing supports</t>
  </si>
  <si>
    <t>0f08c06e-d49e-469b-85e2-f99aa8d4334e</t>
  </si>
  <si>
    <t>Sealing wheel</t>
  </si>
  <si>
    <t>0195f3be-c351-4a49-9d45-136b7586dc36</t>
  </si>
  <si>
    <t>ec2d04c9-2ea5-4250-90dc-49512e424efa</t>
  </si>
  <si>
    <t>Cylindrical and bevel gears</t>
  </si>
  <si>
    <t>421d6b25-3190-41bc-98b1-84d72ee8dcee</t>
  </si>
  <si>
    <t>9d4cea3e-fe60-421d-9c43-03820bd1a185</t>
  </si>
  <si>
    <t>Spur gear</t>
  </si>
  <si>
    <t>cbaf98fc-ece0-4091-bb2e-5b6bdbf5e343</t>
  </si>
  <si>
    <t>Check air leakage</t>
  </si>
  <si>
    <t>4b10521b-423a-4aac-9507-bf87c970f597</t>
  </si>
  <si>
    <t>Check hose and filter and regulator</t>
  </si>
  <si>
    <t>8e6c38de-4fbf-45da-a109-f70fd1caf51e</t>
  </si>
  <si>
    <t>Jaws &amp; belt</t>
  </si>
  <si>
    <t>Check jaws and sealing &amp;belts</t>
  </si>
  <si>
    <t>515e4803-dd9e-4f13-9bcd-7ad21bae715c</t>
  </si>
  <si>
    <t>C19</t>
  </si>
  <si>
    <t>Tape machine</t>
  </si>
  <si>
    <t>C19 Tape machine</t>
  </si>
  <si>
    <t>Shur</t>
  </si>
  <si>
    <t>Moving parts</t>
  </si>
  <si>
    <t>Greasing cam</t>
  </si>
  <si>
    <t>7ddcfc43-9df1-454e-a753-d6d53678bfe2</t>
  </si>
  <si>
    <t>piping valves, Gaskets</t>
  </si>
  <si>
    <t>Check leakage</t>
  </si>
  <si>
    <t>ed1f4daa-f94f-4f41-b44e-e3e3a7038d15</t>
  </si>
  <si>
    <t>C20</t>
  </si>
  <si>
    <t>Conveyor8</t>
  </si>
  <si>
    <t>C20 Conveyor8</t>
  </si>
  <si>
    <t>ebbd8583-c27f-4966-8f08-f57320a38112</t>
  </si>
  <si>
    <t>3ed92936-ed78-4a5b-8fa4-6253b4d19fa1</t>
  </si>
  <si>
    <t>c8f87aed-3ce3-490e-9bfc-dd24f4c7eb79</t>
  </si>
  <si>
    <t>c864da8f-207a-4440-a622-65bcb6fd3b15</t>
  </si>
  <si>
    <t>C21</t>
  </si>
  <si>
    <t>Conveyor9</t>
  </si>
  <si>
    <t>C21 Conveyor9</t>
  </si>
  <si>
    <t>0efce1c7-a9c5-43ed-95ce-8eeacdb25b38</t>
  </si>
  <si>
    <t>53cb6c32-3f20-48ff-8ef1-2f9171e79396</t>
  </si>
  <si>
    <t>8187f96d-563f-4dcf-adae-1bc200c0f6fd</t>
  </si>
  <si>
    <t>1405dd47-f7a2-41bf-98d0-ea00f4015584</t>
  </si>
  <si>
    <t>C22</t>
  </si>
  <si>
    <t>Conveyor10</t>
  </si>
  <si>
    <t>C22 Conveyor10</t>
  </si>
  <si>
    <t>5b7fa0b2-6749-47c5-9d7a-139bc1c68d72</t>
  </si>
  <si>
    <t>cdd8836c-3a41-46f3-9719-4666e97a10ca</t>
  </si>
  <si>
    <t>b88795bc-a2cf-41b4-a8f4-25d7cb2e3e5a</t>
  </si>
  <si>
    <t>f56ae1c7-f484-4456-b53f-66c831e0c79f</t>
  </si>
  <si>
    <t>C23</t>
  </si>
  <si>
    <t>Metal detector</t>
  </si>
  <si>
    <t>C23 Metal detector</t>
  </si>
  <si>
    <t>Loma system</t>
  </si>
  <si>
    <t>023c549e-70a3-43e6-bf6d-d2f5fccf8a5c</t>
  </si>
  <si>
    <t>C24</t>
  </si>
  <si>
    <t>Check weir</t>
  </si>
  <si>
    <t>C24 Check weir</t>
  </si>
  <si>
    <t>b890278c-e75d-4b32-a3af-b88b45db15ce</t>
  </si>
  <si>
    <t>C25</t>
  </si>
  <si>
    <t>Carton Sealer</t>
  </si>
  <si>
    <t>C25 Carton Sealer</t>
  </si>
  <si>
    <t>siat</t>
  </si>
  <si>
    <t>9b303b0e-b901-4841-a8b4-b74ffc326be5</t>
  </si>
  <si>
    <t>lubricate</t>
  </si>
  <si>
    <t>78c02bc6-5a58-4bc3-8b19-1c0c1435dff8</t>
  </si>
  <si>
    <t>Blade clreaning  &amp; roller shaft&amp;cutters</t>
  </si>
  <si>
    <t>ac319f68-af70-4eb9-8def-8eddeb60a21c</t>
  </si>
  <si>
    <t>C26</t>
  </si>
  <si>
    <t>C26 Conveyor</t>
  </si>
  <si>
    <t>Zultec</t>
  </si>
  <si>
    <t>f5aef82a-dfae-4b8d-b85e-e2eaade6706c</t>
  </si>
  <si>
    <t>12b83b00-29c3-4ecf-b750-9a92b04916e3</t>
  </si>
  <si>
    <t>de4ba0fa-5269-411a-b773-2694089480bf</t>
  </si>
  <si>
    <t>e2460b22-7a34-4318-9184-7171383ef0a9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</si>
</sst>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[Green][=6]&quot;✓ Done&quot;;;;"/>
  </numFmts>
  <fonts count="11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4"/>
    </font>
    <font>
      <b/>
      <color rgb="FF000000"/>
      <sz val="10"/>
    </font>
    <font>
      <b/>
      <color rgb="FF000000"/>
      <sz val="12"/>
    </font>
    <font>
      <color rgb="FF000000"/>
      <sz val="10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3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92D050"/>
      </patternFill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8" fillId="9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164" fontId="8" fillId="1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7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16" max="67" width="8" customWidth="1"/>
    <col min="68" max="69" width="9" hidden="1" customWidth="1"/>
  </cols>
  <sheetData>
    <row r="1" ht="87" customHeight="1" spans="1:6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28" customHeight="1" spans="1:64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>
        <v>2026</v>
      </c>
      <c r="U2">
        <v>2026</v>
      </c>
      <c r="Y2">
        <v>2026</v>
      </c>
      <c r="AC2">
        <v>2026</v>
      </c>
      <c r="AG2">
        <v>2026</v>
      </c>
      <c r="AL2">
        <v>2026</v>
      </c>
      <c r="AP2">
        <v>2026</v>
      </c>
      <c r="AU2">
        <v>2026</v>
      </c>
      <c r="AY2">
        <v>2026</v>
      </c>
      <c r="BC2">
        <v>2026</v>
      </c>
      <c r="BH2">
        <v>2026</v>
      </c>
      <c r="BL2">
        <v>2026</v>
      </c>
    </row>
    <row r="3" ht="24" customHeight="1" spans="1:64" x14ac:dyDescent="0.25">
      <c r="A3" s="6">
        <v>26</v>
      </c>
      <c r="B3" s="6">
        <v>135</v>
      </c>
      <c r="C3" s="6">
        <f>COUNTIFS(H7:H507,"planed",L7:L507,"Calendar",I7:I507,1)</f>
      </c>
      <c r="D3" s="6">
        <f>COUNTIFS(H7:H507,"planed",L7:L507,"Calendar",I7:I507,2)</f>
      </c>
      <c r="E3" s="6">
        <f>COUNTIFS(H7:H507,"planed",L7:L507,"Calendar",I7:I507,3)</f>
      </c>
      <c r="F3" s="6">
        <f>COUNTIFS(H7:H507,"planed",L7:L507,"Calendar",I7:I507,4)</f>
      </c>
      <c r="G3" s="6">
        <f>COUNTIFS(H7:H507,"planed",L7:L507,"Calendar",I7:I507,5)</f>
      </c>
      <c r="H3" s="6">
        <f>COUNTIFS(H7:H507,"planed",L7:L507,"Running Hours")</f>
      </c>
      <c r="J3" s="7" t="s">
        <v>16</v>
      </c>
      <c r="K3" s="7">
        <v>2026</v>
      </c>
      <c r="L3" s="7"/>
      <c r="M3" s="7"/>
      <c r="N3" s="7"/>
      <c r="O3" s="7"/>
      <c r="P3" t="s">
        <v>17</v>
      </c>
      <c r="U3" t="s">
        <v>18</v>
      </c>
      <c r="Y3" t="s">
        <v>19</v>
      </c>
      <c r="AC3" t="s">
        <v>20</v>
      </c>
      <c r="AG3" t="s">
        <v>21</v>
      </c>
      <c r="AL3" t="s">
        <v>22</v>
      </c>
      <c r="AP3" t="s">
        <v>23</v>
      </c>
      <c r="AU3" t="s">
        <v>24</v>
      </c>
      <c r="AY3" t="s">
        <v>25</v>
      </c>
      <c r="BC3" t="s">
        <v>26</v>
      </c>
      <c r="BH3" t="s">
        <v>27</v>
      </c>
      <c r="BL3" t="s">
        <v>28</v>
      </c>
    </row>
    <row r="4" ht="22" customHeight="1" spans="16:67" x14ac:dyDescent="0.25"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34</v>
      </c>
      <c r="Z4" t="s">
        <v>35</v>
      </c>
      <c r="AA4" t="s">
        <v>36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 t="s">
        <v>49</v>
      </c>
      <c r="AN4" t="s">
        <v>50</v>
      </c>
      <c r="AO4" t="s">
        <v>51</v>
      </c>
      <c r="AP4" t="s">
        <v>39</v>
      </c>
      <c r="AQ4" t="s">
        <v>40</v>
      </c>
      <c r="AR4" t="s">
        <v>41</v>
      </c>
      <c r="AS4" t="s">
        <v>42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61</v>
      </c>
      <c r="BL4" t="s">
        <v>57</v>
      </c>
      <c r="BM4" t="s">
        <v>58</v>
      </c>
      <c r="BN4" t="s">
        <v>59</v>
      </c>
      <c r="BO4" t="s">
        <v>62</v>
      </c>
    </row>
    <row r="6" ht="32" customHeight="1" spans="1:67" x14ac:dyDescent="0.25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8" t="s">
        <v>79</v>
      </c>
      <c r="R6" s="8" t="s">
        <v>80</v>
      </c>
      <c r="S6" s="8" t="s">
        <v>81</v>
      </c>
      <c r="T6" s="8" t="s">
        <v>82</v>
      </c>
      <c r="U6" s="8" t="s">
        <v>83</v>
      </c>
      <c r="V6" s="8" t="s">
        <v>84</v>
      </c>
      <c r="W6" s="8" t="s">
        <v>85</v>
      </c>
      <c r="X6" s="8" t="s">
        <v>86</v>
      </c>
      <c r="Y6" s="8" t="s">
        <v>87</v>
      </c>
      <c r="Z6" s="8" t="s">
        <v>88</v>
      </c>
      <c r="AA6" s="8" t="s">
        <v>89</v>
      </c>
      <c r="AB6" s="8" t="s">
        <v>90</v>
      </c>
      <c r="AC6" s="8" t="s">
        <v>91</v>
      </c>
      <c r="AD6" s="8" t="s">
        <v>92</v>
      </c>
      <c r="AE6" s="8" t="s">
        <v>93</v>
      </c>
      <c r="AF6" s="8" t="s">
        <v>94</v>
      </c>
      <c r="AG6" s="8" t="s">
        <v>95</v>
      </c>
      <c r="AH6" s="8" t="s">
        <v>96</v>
      </c>
      <c r="AI6" s="8" t="s">
        <v>97</v>
      </c>
      <c r="AJ6" s="8" t="s">
        <v>98</v>
      </c>
      <c r="AK6" s="8" t="s">
        <v>99</v>
      </c>
      <c r="AL6" s="8" t="s">
        <v>100</v>
      </c>
      <c r="AM6" s="8" t="s">
        <v>101</v>
      </c>
      <c r="AN6" s="8" t="s">
        <v>102</v>
      </c>
      <c r="AO6" s="8" t="s">
        <v>103</v>
      </c>
      <c r="AP6" s="8" t="s">
        <v>104</v>
      </c>
      <c r="AQ6" s="8" t="s">
        <v>105</v>
      </c>
      <c r="AR6" s="8" t="s">
        <v>106</v>
      </c>
      <c r="AS6" s="8" t="s">
        <v>107</v>
      </c>
      <c r="AT6" s="8" t="s">
        <v>108</v>
      </c>
      <c r="AU6" s="8" t="s">
        <v>109</v>
      </c>
      <c r="AV6" s="8" t="s">
        <v>110</v>
      </c>
      <c r="AW6" s="8" t="s">
        <v>111</v>
      </c>
      <c r="AX6" s="8" t="s">
        <v>112</v>
      </c>
      <c r="AY6" s="8" t="s">
        <v>113</v>
      </c>
      <c r="AZ6" s="8" t="s">
        <v>114</v>
      </c>
      <c r="BA6" s="8" t="s">
        <v>115</v>
      </c>
      <c r="BB6" s="8" t="s">
        <v>116</v>
      </c>
      <c r="BC6" s="8" t="s">
        <v>117</v>
      </c>
      <c r="BD6" s="8" t="s">
        <v>118</v>
      </c>
      <c r="BE6" s="8" t="s">
        <v>119</v>
      </c>
      <c r="BF6" s="8" t="s">
        <v>120</v>
      </c>
      <c r="BG6" s="8" t="s">
        <v>121</v>
      </c>
      <c r="BH6" s="8" t="s">
        <v>122</v>
      </c>
      <c r="BI6" s="8" t="s">
        <v>123</v>
      </c>
      <c r="BJ6" s="8" t="s">
        <v>124</v>
      </c>
      <c r="BK6" s="8" t="s">
        <v>125</v>
      </c>
      <c r="BL6" s="8" t="s">
        <v>126</v>
      </c>
      <c r="BM6" s="8" t="s">
        <v>127</v>
      </c>
      <c r="BN6" s="8" t="s">
        <v>128</v>
      </c>
      <c r="BO6" s="8" t="s">
        <v>129</v>
      </c>
    </row>
    <row r="7" ht="28" customHeight="1" spans="1:69" x14ac:dyDescent="0.25">
      <c r="A7" s="9" t="s">
        <v>130</v>
      </c>
      <c r="B7" s="9" t="s">
        <v>131</v>
      </c>
      <c r="C7" s="9" t="s">
        <v>130</v>
      </c>
      <c r="D7" s="9" t="s">
        <v>132</v>
      </c>
      <c r="E7" s="9" t="s">
        <v>133</v>
      </c>
      <c r="F7" s="10" t="s">
        <v>134</v>
      </c>
      <c r="G7" s="10" t="s">
        <v>135</v>
      </c>
      <c r="H7" s="9" t="s">
        <v>136</v>
      </c>
      <c r="I7" s="9">
        <v>1</v>
      </c>
      <c r="J7" s="9">
        <v>1</v>
      </c>
      <c r="K7" s="9" t="s">
        <v>4</v>
      </c>
      <c r="L7" s="9" t="s">
        <v>137</v>
      </c>
      <c r="M7" s="9"/>
      <c r="N7" s="9"/>
      <c r="O7" s="10"/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1">
        <v>1</v>
      </c>
      <c r="AG7" s="11">
        <v>1</v>
      </c>
      <c r="AH7" s="11">
        <v>1</v>
      </c>
      <c r="AI7" s="11">
        <v>1</v>
      </c>
      <c r="AJ7" s="11">
        <v>1</v>
      </c>
      <c r="AK7" s="11">
        <v>1</v>
      </c>
      <c r="AL7" s="11">
        <v>1</v>
      </c>
      <c r="AM7" s="11">
        <v>1</v>
      </c>
      <c r="AN7" s="11">
        <v>1</v>
      </c>
      <c r="AO7" s="11">
        <v>1</v>
      </c>
      <c r="AP7" s="11">
        <v>1</v>
      </c>
      <c r="AQ7" s="11">
        <v>1</v>
      </c>
      <c r="AR7" s="11">
        <v>1</v>
      </c>
      <c r="AS7" s="11">
        <v>1</v>
      </c>
      <c r="AT7" s="11">
        <v>1</v>
      </c>
      <c r="AU7" s="11">
        <v>1</v>
      </c>
      <c r="AV7" s="11">
        <v>1</v>
      </c>
      <c r="AW7" s="11">
        <v>1</v>
      </c>
      <c r="AX7" s="11">
        <v>1</v>
      </c>
      <c r="AY7" s="11">
        <v>1</v>
      </c>
      <c r="AZ7" s="11">
        <v>1</v>
      </c>
      <c r="BA7" s="11">
        <v>1</v>
      </c>
      <c r="BB7" s="11">
        <v>1</v>
      </c>
      <c r="BC7" s="11">
        <v>1</v>
      </c>
      <c r="BD7" s="11">
        <v>1</v>
      </c>
      <c r="BE7" s="11">
        <v>1</v>
      </c>
      <c r="BF7" s="11">
        <v>1</v>
      </c>
      <c r="BG7" s="11">
        <v>1</v>
      </c>
      <c r="BH7" s="11">
        <v>1</v>
      </c>
      <c r="BI7" s="11">
        <v>1</v>
      </c>
      <c r="BJ7" s="11">
        <v>1</v>
      </c>
      <c r="BK7" s="11">
        <v>1</v>
      </c>
      <c r="BL7" s="11">
        <v>1</v>
      </c>
      <c r="BM7" s="11">
        <v>1</v>
      </c>
      <c r="BN7" s="11">
        <v>1</v>
      </c>
      <c r="BO7" s="11">
        <v>1</v>
      </c>
      <c r="BP7" t="s">
        <v>131</v>
      </c>
      <c r="BQ7" t="s">
        <v>138</v>
      </c>
    </row>
    <row r="8" ht="18" customHeight="1" spans="1:69" x14ac:dyDescent="0.25">
      <c r="A8" s="9"/>
      <c r="B8" s="9"/>
      <c r="C8" s="9"/>
      <c r="D8" s="9"/>
      <c r="E8" s="9"/>
      <c r="F8" s="10"/>
      <c r="G8" s="10"/>
      <c r="H8" s="9" t="s">
        <v>139</v>
      </c>
      <c r="I8" s="9"/>
      <c r="J8" s="9"/>
      <c r="K8" s="9"/>
      <c r="L8" s="9"/>
      <c r="M8" s="9"/>
      <c r="N8" s="9"/>
      <c r="O8" s="1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t="s">
        <v>131</v>
      </c>
      <c r="BQ8" t="s">
        <v>138</v>
      </c>
    </row>
    <row r="9" ht="28" customHeight="1" spans="1:69" x14ac:dyDescent="0.25">
      <c r="A9" s="9"/>
      <c r="B9" s="9"/>
      <c r="C9" s="9"/>
      <c r="D9" s="9"/>
      <c r="E9" s="9"/>
      <c r="F9" s="10" t="s">
        <v>140</v>
      </c>
      <c r="G9" s="10" t="s">
        <v>141</v>
      </c>
      <c r="H9" s="9" t="s">
        <v>136</v>
      </c>
      <c r="I9" s="9">
        <v>1</v>
      </c>
      <c r="J9" s="9">
        <v>1</v>
      </c>
      <c r="K9" s="9" t="s">
        <v>4</v>
      </c>
      <c r="L9" s="9" t="s">
        <v>137</v>
      </c>
      <c r="M9" s="9"/>
      <c r="N9" s="9"/>
      <c r="O9" s="10"/>
      <c r="P9" s="11">
        <v>1</v>
      </c>
      <c r="Q9" s="11">
        <v>1</v>
      </c>
      <c r="R9" s="11">
        <v>1</v>
      </c>
      <c r="S9" s="11">
        <v>1</v>
      </c>
      <c r="T9" s="11">
        <v>1</v>
      </c>
      <c r="U9" s="11">
        <v>1</v>
      </c>
      <c r="V9" s="11">
        <v>1</v>
      </c>
      <c r="W9" s="11">
        <v>1</v>
      </c>
      <c r="X9" s="11">
        <v>1</v>
      </c>
      <c r="Y9" s="11"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1">
        <v>1</v>
      </c>
      <c r="AG9" s="11">
        <v>1</v>
      </c>
      <c r="AH9" s="11">
        <v>1</v>
      </c>
      <c r="AI9" s="11">
        <v>1</v>
      </c>
      <c r="AJ9" s="11">
        <v>1</v>
      </c>
      <c r="AK9" s="11">
        <v>1</v>
      </c>
      <c r="AL9" s="11">
        <v>1</v>
      </c>
      <c r="AM9" s="11">
        <v>1</v>
      </c>
      <c r="AN9" s="11">
        <v>1</v>
      </c>
      <c r="AO9" s="11">
        <v>1</v>
      </c>
      <c r="AP9" s="11">
        <v>1</v>
      </c>
      <c r="AQ9" s="11">
        <v>1</v>
      </c>
      <c r="AR9" s="11">
        <v>1</v>
      </c>
      <c r="AS9" s="11">
        <v>1</v>
      </c>
      <c r="AT9" s="11">
        <v>1</v>
      </c>
      <c r="AU9" s="11">
        <v>1</v>
      </c>
      <c r="AV9" s="11">
        <v>1</v>
      </c>
      <c r="AW9" s="11">
        <v>1</v>
      </c>
      <c r="AX9" s="11">
        <v>1</v>
      </c>
      <c r="AY9" s="11">
        <v>1</v>
      </c>
      <c r="AZ9" s="11">
        <v>1</v>
      </c>
      <c r="BA9" s="11">
        <v>1</v>
      </c>
      <c r="BB9" s="11">
        <v>1</v>
      </c>
      <c r="BC9" s="11">
        <v>1</v>
      </c>
      <c r="BD9" s="11">
        <v>1</v>
      </c>
      <c r="BE9" s="11">
        <v>1</v>
      </c>
      <c r="BF9" s="11">
        <v>1</v>
      </c>
      <c r="BG9" s="11">
        <v>1</v>
      </c>
      <c r="BH9" s="11">
        <v>1</v>
      </c>
      <c r="BI9" s="11">
        <v>1</v>
      </c>
      <c r="BJ9" s="11">
        <v>1</v>
      </c>
      <c r="BK9" s="11">
        <v>1</v>
      </c>
      <c r="BL9" s="11">
        <v>1</v>
      </c>
      <c r="BM9" s="11">
        <v>1</v>
      </c>
      <c r="BN9" s="11">
        <v>1</v>
      </c>
      <c r="BO9" s="11">
        <v>1</v>
      </c>
      <c r="BP9" t="s">
        <v>131</v>
      </c>
      <c r="BQ9" t="s">
        <v>142</v>
      </c>
    </row>
    <row r="10" ht="18" customHeight="1" spans="1:69" x14ac:dyDescent="0.25">
      <c r="A10" s="9"/>
      <c r="B10" s="9"/>
      <c r="C10" s="9"/>
      <c r="D10" s="9"/>
      <c r="E10" s="9"/>
      <c r="F10" s="10"/>
      <c r="G10" s="10"/>
      <c r="H10" s="9" t="s">
        <v>139</v>
      </c>
      <c r="I10" s="9"/>
      <c r="J10" s="9"/>
      <c r="K10" s="9"/>
      <c r="L10" s="9"/>
      <c r="M10" s="9"/>
      <c r="N10" s="9"/>
      <c r="O10" s="10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t="s">
        <v>131</v>
      </c>
      <c r="BQ10" t="s">
        <v>142</v>
      </c>
    </row>
    <row r="11" ht="28" customHeight="1" spans="1:69" x14ac:dyDescent="0.25">
      <c r="A11" s="9"/>
      <c r="B11" s="9"/>
      <c r="C11" s="9"/>
      <c r="D11" s="9"/>
      <c r="E11" s="9"/>
      <c r="F11" s="10" t="s">
        <v>143</v>
      </c>
      <c r="G11" s="10" t="s">
        <v>144</v>
      </c>
      <c r="H11" s="9" t="s">
        <v>136</v>
      </c>
      <c r="I11" s="9">
        <v>5</v>
      </c>
      <c r="J11" s="9">
        <v>10000</v>
      </c>
      <c r="K11" s="9" t="s">
        <v>145</v>
      </c>
      <c r="L11" s="9" t="s">
        <v>9</v>
      </c>
      <c r="M11" s="9"/>
      <c r="N11" s="9"/>
      <c r="O11" s="10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t="s">
        <v>131</v>
      </c>
      <c r="BQ11" t="s">
        <v>146</v>
      </c>
    </row>
    <row r="12" ht="18" customHeight="1" spans="1:69" x14ac:dyDescent="0.25">
      <c r="A12" s="9"/>
      <c r="B12" s="9"/>
      <c r="C12" s="9"/>
      <c r="D12" s="9"/>
      <c r="E12" s="9"/>
      <c r="F12" s="10"/>
      <c r="G12" s="10"/>
      <c r="H12" s="9" t="s">
        <v>139</v>
      </c>
      <c r="I12" s="9"/>
      <c r="J12" s="9"/>
      <c r="K12" s="9"/>
      <c r="L12" s="9"/>
      <c r="M12" s="9"/>
      <c r="N12" s="9"/>
      <c r="O12" s="10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t="s">
        <v>131</v>
      </c>
      <c r="BQ12" t="s">
        <v>146</v>
      </c>
    </row>
    <row r="13" ht="28" customHeight="1" spans="1:69" x14ac:dyDescent="0.25">
      <c r="A13" s="9"/>
      <c r="B13" s="9"/>
      <c r="C13" s="9"/>
      <c r="D13" s="9"/>
      <c r="E13" s="9"/>
      <c r="F13" s="10" t="s">
        <v>147</v>
      </c>
      <c r="G13" s="10" t="s">
        <v>148</v>
      </c>
      <c r="H13" s="9" t="s">
        <v>136</v>
      </c>
      <c r="I13" s="9">
        <v>5</v>
      </c>
      <c r="J13" s="9">
        <v>6000</v>
      </c>
      <c r="K13" s="9" t="s">
        <v>149</v>
      </c>
      <c r="L13" s="9" t="s">
        <v>9</v>
      </c>
      <c r="M13" s="9"/>
      <c r="N13" s="9" t="s">
        <v>150</v>
      </c>
      <c r="O13" s="10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4">
        <v>5</v>
      </c>
      <c r="BO13" s="13"/>
      <c r="BP13" t="s">
        <v>131</v>
      </c>
      <c r="BQ13" t="s">
        <v>151</v>
      </c>
    </row>
    <row r="14" ht="18" customHeight="1" spans="1:69" x14ac:dyDescent="0.25">
      <c r="A14" s="9"/>
      <c r="B14" s="9"/>
      <c r="C14" s="9"/>
      <c r="D14" s="9"/>
      <c r="E14" s="9"/>
      <c r="F14" s="10"/>
      <c r="G14" s="10"/>
      <c r="H14" s="9" t="s">
        <v>139</v>
      </c>
      <c r="I14" s="9"/>
      <c r="J14" s="9"/>
      <c r="K14" s="9"/>
      <c r="L14" s="9"/>
      <c r="M14" s="9"/>
      <c r="N14" s="9"/>
      <c r="O14" s="10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t="s">
        <v>131</v>
      </c>
      <c r="BQ14" t="s">
        <v>151</v>
      </c>
    </row>
    <row r="15" ht="28" customHeight="1" spans="1:69" x14ac:dyDescent="0.25">
      <c r="A15" s="9"/>
      <c r="B15" s="9"/>
      <c r="C15" s="9"/>
      <c r="D15" s="9"/>
      <c r="E15" s="9"/>
      <c r="F15" s="10" t="s">
        <v>152</v>
      </c>
      <c r="G15" s="10" t="s">
        <v>148</v>
      </c>
      <c r="H15" s="9" t="s">
        <v>136</v>
      </c>
      <c r="I15" s="9">
        <v>3</v>
      </c>
      <c r="J15" s="9">
        <v>1000</v>
      </c>
      <c r="K15" s="9" t="s">
        <v>153</v>
      </c>
      <c r="L15" s="9" t="s">
        <v>9</v>
      </c>
      <c r="M15" s="9"/>
      <c r="N15" s="9" t="s">
        <v>154</v>
      </c>
      <c r="O15" s="10"/>
      <c r="P15" s="13"/>
      <c r="Q15" s="13"/>
      <c r="R15" s="13"/>
      <c r="S15" s="13"/>
      <c r="T15" s="13"/>
      <c r="U15" s="13"/>
      <c r="V15" s="13"/>
      <c r="W15" s="13"/>
      <c r="X15" s="13"/>
      <c r="Y15" s="15">
        <v>3</v>
      </c>
      <c r="Z15" s="13"/>
      <c r="AA15" s="13"/>
      <c r="AB15" s="13"/>
      <c r="AC15" s="13"/>
      <c r="AD15" s="13"/>
      <c r="AE15" s="13"/>
      <c r="AF15" s="13"/>
      <c r="AG15" s="13"/>
      <c r="AH15" s="15">
        <v>3</v>
      </c>
      <c r="AI15" s="13"/>
      <c r="AJ15" s="13"/>
      <c r="AK15" s="13"/>
      <c r="AL15" s="13"/>
      <c r="AM15" s="13"/>
      <c r="AN15" s="13"/>
      <c r="AO15" s="13"/>
      <c r="AP15" s="13"/>
      <c r="AQ15" s="15">
        <v>3</v>
      </c>
      <c r="AR15" s="13"/>
      <c r="AS15" s="13"/>
      <c r="AT15" s="13"/>
      <c r="AU15" s="13"/>
      <c r="AV15" s="13"/>
      <c r="AW15" s="13"/>
      <c r="AX15" s="13"/>
      <c r="AY15" s="13"/>
      <c r="AZ15" s="15">
        <v>3</v>
      </c>
      <c r="BA15" s="13"/>
      <c r="BB15" s="13"/>
      <c r="BC15" s="13"/>
      <c r="BD15" s="13"/>
      <c r="BE15" s="13"/>
      <c r="BF15" s="13"/>
      <c r="BG15" s="13"/>
      <c r="BH15" s="13"/>
      <c r="BI15" s="15">
        <v>3</v>
      </c>
      <c r="BJ15" s="13"/>
      <c r="BK15" s="13"/>
      <c r="BL15" s="13"/>
      <c r="BM15" s="13"/>
      <c r="BN15" s="13"/>
      <c r="BO15" s="13"/>
      <c r="BP15" t="s">
        <v>131</v>
      </c>
      <c r="BQ15" t="s">
        <v>155</v>
      </c>
    </row>
    <row r="16" ht="18" customHeight="1" spans="1:69" x14ac:dyDescent="0.25">
      <c r="A16" s="9"/>
      <c r="B16" s="9"/>
      <c r="C16" s="9"/>
      <c r="D16" s="9"/>
      <c r="E16" s="9"/>
      <c r="F16" s="10"/>
      <c r="G16" s="10"/>
      <c r="H16" s="9" t="s">
        <v>139</v>
      </c>
      <c r="I16" s="9"/>
      <c r="J16" s="9"/>
      <c r="K16" s="9"/>
      <c r="L16" s="9"/>
      <c r="M16" s="9"/>
      <c r="N16" s="9"/>
      <c r="O16" s="10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t="s">
        <v>131</v>
      </c>
      <c r="BQ16" t="s">
        <v>155</v>
      </c>
    </row>
    <row r="17" ht="28" customHeight="1" spans="1:69" x14ac:dyDescent="0.25">
      <c r="A17" s="9"/>
      <c r="B17" s="9"/>
      <c r="C17" s="9"/>
      <c r="D17" s="9"/>
      <c r="E17" s="9"/>
      <c r="F17" s="10" t="s">
        <v>156</v>
      </c>
      <c r="G17" s="10" t="s">
        <v>148</v>
      </c>
      <c r="H17" s="9" t="s">
        <v>136</v>
      </c>
      <c r="I17" s="9">
        <v>3</v>
      </c>
      <c r="J17" s="9">
        <v>1000</v>
      </c>
      <c r="K17" s="9" t="s">
        <v>153</v>
      </c>
      <c r="L17" s="9" t="s">
        <v>9</v>
      </c>
      <c r="M17" s="9"/>
      <c r="N17" s="9" t="s">
        <v>154</v>
      </c>
      <c r="O17" s="10"/>
      <c r="P17" s="13"/>
      <c r="Q17" s="13"/>
      <c r="R17" s="13"/>
      <c r="S17" s="13"/>
      <c r="T17" s="13"/>
      <c r="U17" s="13"/>
      <c r="V17" s="13"/>
      <c r="W17" s="13"/>
      <c r="X17" s="13"/>
      <c r="Y17" s="15">
        <v>3</v>
      </c>
      <c r="Z17" s="13"/>
      <c r="AA17" s="13"/>
      <c r="AB17" s="13"/>
      <c r="AC17" s="13"/>
      <c r="AD17" s="13"/>
      <c r="AE17" s="13"/>
      <c r="AF17" s="13"/>
      <c r="AG17" s="13"/>
      <c r="AH17" s="15">
        <v>3</v>
      </c>
      <c r="AI17" s="13"/>
      <c r="AJ17" s="13"/>
      <c r="AK17" s="13"/>
      <c r="AL17" s="13"/>
      <c r="AM17" s="13"/>
      <c r="AN17" s="13"/>
      <c r="AO17" s="13"/>
      <c r="AP17" s="13"/>
      <c r="AQ17" s="15">
        <v>3</v>
      </c>
      <c r="AR17" s="13"/>
      <c r="AS17" s="13"/>
      <c r="AT17" s="13"/>
      <c r="AU17" s="13"/>
      <c r="AV17" s="13"/>
      <c r="AW17" s="13"/>
      <c r="AX17" s="13"/>
      <c r="AY17" s="13"/>
      <c r="AZ17" s="15">
        <v>3</v>
      </c>
      <c r="BA17" s="13"/>
      <c r="BB17" s="13"/>
      <c r="BC17" s="13"/>
      <c r="BD17" s="13"/>
      <c r="BE17" s="13"/>
      <c r="BF17" s="13"/>
      <c r="BG17" s="13"/>
      <c r="BH17" s="13"/>
      <c r="BI17" s="15">
        <v>3</v>
      </c>
      <c r="BJ17" s="13"/>
      <c r="BK17" s="13"/>
      <c r="BL17" s="13"/>
      <c r="BM17" s="13"/>
      <c r="BN17" s="13"/>
      <c r="BO17" s="13"/>
      <c r="BP17" t="s">
        <v>131</v>
      </c>
      <c r="BQ17" t="s">
        <v>157</v>
      </c>
    </row>
    <row r="18" ht="18" customHeight="1" spans="1:69" x14ac:dyDescent="0.25">
      <c r="A18" s="9"/>
      <c r="B18" s="9"/>
      <c r="C18" s="9"/>
      <c r="D18" s="9"/>
      <c r="E18" s="9"/>
      <c r="F18" s="10"/>
      <c r="G18" s="10"/>
      <c r="H18" s="9" t="s">
        <v>139</v>
      </c>
      <c r="I18" s="9"/>
      <c r="J18" s="9"/>
      <c r="K18" s="9"/>
      <c r="L18" s="9"/>
      <c r="M18" s="9"/>
      <c r="N18" s="9"/>
      <c r="O18" s="10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t="s">
        <v>131</v>
      </c>
      <c r="BQ18" t="s">
        <v>157</v>
      </c>
    </row>
    <row r="19" ht="28" customHeight="1" spans="1:69" x14ac:dyDescent="0.25">
      <c r="A19" s="9"/>
      <c r="B19" s="9"/>
      <c r="C19" s="9"/>
      <c r="D19" s="9"/>
      <c r="E19" s="9"/>
      <c r="F19" s="10" t="s">
        <v>158</v>
      </c>
      <c r="G19" s="10" t="s">
        <v>148</v>
      </c>
      <c r="H19" s="9" t="s">
        <v>136</v>
      </c>
      <c r="I19" s="9">
        <v>3</v>
      </c>
      <c r="J19" s="9">
        <v>1000</v>
      </c>
      <c r="K19" s="9" t="s">
        <v>153</v>
      </c>
      <c r="L19" s="9" t="s">
        <v>9</v>
      </c>
      <c r="M19" s="9"/>
      <c r="N19" s="9" t="s">
        <v>154</v>
      </c>
      <c r="O19" s="10"/>
      <c r="P19" s="13"/>
      <c r="Q19" s="13"/>
      <c r="R19" s="13"/>
      <c r="S19" s="13"/>
      <c r="T19" s="13"/>
      <c r="U19" s="13"/>
      <c r="V19" s="13"/>
      <c r="W19" s="13"/>
      <c r="X19" s="13"/>
      <c r="Y19" s="15">
        <v>3</v>
      </c>
      <c r="Z19" s="13"/>
      <c r="AA19" s="13"/>
      <c r="AB19" s="13"/>
      <c r="AC19" s="13"/>
      <c r="AD19" s="13"/>
      <c r="AE19" s="13"/>
      <c r="AF19" s="13"/>
      <c r="AG19" s="13"/>
      <c r="AH19" s="15">
        <v>3</v>
      </c>
      <c r="AI19" s="13"/>
      <c r="AJ19" s="13"/>
      <c r="AK19" s="13"/>
      <c r="AL19" s="13"/>
      <c r="AM19" s="13"/>
      <c r="AN19" s="13"/>
      <c r="AO19" s="13"/>
      <c r="AP19" s="13"/>
      <c r="AQ19" s="15">
        <v>3</v>
      </c>
      <c r="AR19" s="13"/>
      <c r="AS19" s="13"/>
      <c r="AT19" s="13"/>
      <c r="AU19" s="13"/>
      <c r="AV19" s="13"/>
      <c r="AW19" s="13"/>
      <c r="AX19" s="13"/>
      <c r="AY19" s="13"/>
      <c r="AZ19" s="15">
        <v>3</v>
      </c>
      <c r="BA19" s="13"/>
      <c r="BB19" s="13"/>
      <c r="BC19" s="13"/>
      <c r="BD19" s="13"/>
      <c r="BE19" s="13"/>
      <c r="BF19" s="13"/>
      <c r="BG19" s="13"/>
      <c r="BH19" s="13"/>
      <c r="BI19" s="15">
        <v>3</v>
      </c>
      <c r="BJ19" s="13"/>
      <c r="BK19" s="13"/>
      <c r="BL19" s="13"/>
      <c r="BM19" s="13"/>
      <c r="BN19" s="13"/>
      <c r="BO19" s="13"/>
      <c r="BP19" t="s">
        <v>131</v>
      </c>
      <c r="BQ19" t="s">
        <v>159</v>
      </c>
    </row>
    <row r="20" ht="18" customHeight="1" spans="1:69" x14ac:dyDescent="0.25">
      <c r="A20" s="9"/>
      <c r="B20" s="9"/>
      <c r="C20" s="9"/>
      <c r="D20" s="9"/>
      <c r="E20" s="9"/>
      <c r="F20" s="10"/>
      <c r="G20" s="10"/>
      <c r="H20" s="9" t="s">
        <v>139</v>
      </c>
      <c r="I20" s="9"/>
      <c r="J20" s="9"/>
      <c r="K20" s="9"/>
      <c r="L20" s="9"/>
      <c r="M20" s="9"/>
      <c r="N20" s="9"/>
      <c r="O20" s="10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t="s">
        <v>131</v>
      </c>
      <c r="BQ20" t="s">
        <v>159</v>
      </c>
    </row>
    <row r="21" ht="28" customHeight="1" spans="1:69" x14ac:dyDescent="0.25">
      <c r="A21" s="9"/>
      <c r="B21" s="9"/>
      <c r="C21" s="9"/>
      <c r="D21" s="9"/>
      <c r="E21" s="9"/>
      <c r="F21" s="10" t="s">
        <v>160</v>
      </c>
      <c r="G21" s="10" t="s">
        <v>148</v>
      </c>
      <c r="H21" s="9" t="s">
        <v>136</v>
      </c>
      <c r="I21" s="9">
        <v>1</v>
      </c>
      <c r="J21" s="9">
        <v>40</v>
      </c>
      <c r="K21" s="9" t="s">
        <v>161</v>
      </c>
      <c r="L21" s="9" t="s">
        <v>9</v>
      </c>
      <c r="M21" s="9"/>
      <c r="N21" s="9" t="s">
        <v>162</v>
      </c>
      <c r="O21" s="10"/>
      <c r="P21" s="13"/>
      <c r="Q21" s="11">
        <v>1</v>
      </c>
      <c r="R21" s="11">
        <v>1</v>
      </c>
      <c r="S21" s="11">
        <v>1</v>
      </c>
      <c r="T21" s="11">
        <v>1</v>
      </c>
      <c r="U21" s="11">
        <v>1</v>
      </c>
      <c r="V21" s="11">
        <v>1</v>
      </c>
      <c r="W21" s="11">
        <v>1</v>
      </c>
      <c r="X21" s="11">
        <v>1</v>
      </c>
      <c r="Y21" s="11">
        <v>1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1">
        <v>1</v>
      </c>
      <c r="AG21" s="11">
        <v>1</v>
      </c>
      <c r="AH21" s="11">
        <v>1</v>
      </c>
      <c r="AI21" s="11">
        <v>1</v>
      </c>
      <c r="AJ21" s="11">
        <v>1</v>
      </c>
      <c r="AK21" s="11">
        <v>1</v>
      </c>
      <c r="AL21" s="11">
        <v>1</v>
      </c>
      <c r="AM21" s="11">
        <v>1</v>
      </c>
      <c r="AN21" s="11">
        <v>1</v>
      </c>
      <c r="AO21" s="11">
        <v>1</v>
      </c>
      <c r="AP21" s="11">
        <v>1</v>
      </c>
      <c r="AQ21" s="11">
        <v>1</v>
      </c>
      <c r="AR21" s="11">
        <v>1</v>
      </c>
      <c r="AS21" s="11">
        <v>1</v>
      </c>
      <c r="AT21" s="11">
        <v>1</v>
      </c>
      <c r="AU21" s="11">
        <v>1</v>
      </c>
      <c r="AV21" s="11">
        <v>1</v>
      </c>
      <c r="AW21" s="11">
        <v>1</v>
      </c>
      <c r="AX21" s="11">
        <v>1</v>
      </c>
      <c r="AY21" s="11">
        <v>1</v>
      </c>
      <c r="AZ21" s="11">
        <v>1</v>
      </c>
      <c r="BA21" s="11">
        <v>1</v>
      </c>
      <c r="BB21" s="11">
        <v>1</v>
      </c>
      <c r="BC21" s="11">
        <v>1</v>
      </c>
      <c r="BD21" s="11">
        <v>1</v>
      </c>
      <c r="BE21" s="11">
        <v>1</v>
      </c>
      <c r="BF21" s="11">
        <v>1</v>
      </c>
      <c r="BG21" s="11">
        <v>1</v>
      </c>
      <c r="BH21" s="11">
        <v>1</v>
      </c>
      <c r="BI21" s="11">
        <v>1</v>
      </c>
      <c r="BJ21" s="11">
        <v>1</v>
      </c>
      <c r="BK21" s="11">
        <v>1</v>
      </c>
      <c r="BL21" s="11">
        <v>1</v>
      </c>
      <c r="BM21" s="11">
        <v>1</v>
      </c>
      <c r="BN21" s="11">
        <v>1</v>
      </c>
      <c r="BO21" s="11">
        <v>1</v>
      </c>
      <c r="BP21" t="s">
        <v>131</v>
      </c>
      <c r="BQ21" t="s">
        <v>163</v>
      </c>
    </row>
    <row r="22" ht="18" customHeight="1" spans="1:69" x14ac:dyDescent="0.25">
      <c r="A22" s="9"/>
      <c r="B22" s="9"/>
      <c r="C22" s="9"/>
      <c r="D22" s="9"/>
      <c r="E22" s="9"/>
      <c r="F22" s="10"/>
      <c r="G22" s="10"/>
      <c r="H22" s="9" t="s">
        <v>139</v>
      </c>
      <c r="I22" s="9"/>
      <c r="J22" s="9"/>
      <c r="K22" s="9"/>
      <c r="L22" s="9"/>
      <c r="M22" s="9"/>
      <c r="N22" s="9"/>
      <c r="O22" s="10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t="s">
        <v>131</v>
      </c>
      <c r="BQ22" t="s">
        <v>163</v>
      </c>
    </row>
    <row r="23" ht="28" customHeight="1" spans="1:69" x14ac:dyDescent="0.25">
      <c r="A23" s="9" t="s">
        <v>164</v>
      </c>
      <c r="B23" s="9" t="s">
        <v>165</v>
      </c>
      <c r="C23" s="9" t="s">
        <v>166</v>
      </c>
      <c r="D23" s="9" t="s">
        <v>167</v>
      </c>
      <c r="E23" s="9" t="s">
        <v>168</v>
      </c>
      <c r="F23" s="10" t="s">
        <v>134</v>
      </c>
      <c r="G23" s="10" t="s">
        <v>169</v>
      </c>
      <c r="H23" s="9" t="s">
        <v>136</v>
      </c>
      <c r="I23" s="9">
        <v>1</v>
      </c>
      <c r="J23" s="9">
        <v>1</v>
      </c>
      <c r="K23" s="9" t="s">
        <v>4</v>
      </c>
      <c r="L23" s="9" t="s">
        <v>137</v>
      </c>
      <c r="M23" s="9"/>
      <c r="N23" s="9"/>
      <c r="O23" s="10"/>
      <c r="P23" s="11">
        <v>1</v>
      </c>
      <c r="Q23" s="11">
        <v>1</v>
      </c>
      <c r="R23" s="11">
        <v>1</v>
      </c>
      <c r="S23" s="11">
        <v>1</v>
      </c>
      <c r="T23" s="11">
        <v>1</v>
      </c>
      <c r="U23" s="11">
        <v>1</v>
      </c>
      <c r="V23" s="11">
        <v>1</v>
      </c>
      <c r="W23" s="11">
        <v>1</v>
      </c>
      <c r="X23" s="11">
        <v>1</v>
      </c>
      <c r="Y23" s="11">
        <v>1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1">
        <v>1</v>
      </c>
      <c r="AG23" s="11">
        <v>1</v>
      </c>
      <c r="AH23" s="11">
        <v>1</v>
      </c>
      <c r="AI23" s="11">
        <v>1</v>
      </c>
      <c r="AJ23" s="11">
        <v>1</v>
      </c>
      <c r="AK23" s="11">
        <v>1</v>
      </c>
      <c r="AL23" s="11">
        <v>1</v>
      </c>
      <c r="AM23" s="11">
        <v>1</v>
      </c>
      <c r="AN23" s="11">
        <v>1</v>
      </c>
      <c r="AO23" s="11">
        <v>1</v>
      </c>
      <c r="AP23" s="11">
        <v>1</v>
      </c>
      <c r="AQ23" s="11">
        <v>1</v>
      </c>
      <c r="AR23" s="11">
        <v>1</v>
      </c>
      <c r="AS23" s="11">
        <v>1</v>
      </c>
      <c r="AT23" s="11">
        <v>1</v>
      </c>
      <c r="AU23" s="11">
        <v>1</v>
      </c>
      <c r="AV23" s="11">
        <v>1</v>
      </c>
      <c r="AW23" s="11">
        <v>1</v>
      </c>
      <c r="AX23" s="11">
        <v>1</v>
      </c>
      <c r="AY23" s="11">
        <v>1</v>
      </c>
      <c r="AZ23" s="11">
        <v>1</v>
      </c>
      <c r="BA23" s="11">
        <v>1</v>
      </c>
      <c r="BB23" s="11">
        <v>1</v>
      </c>
      <c r="BC23" s="11">
        <v>1</v>
      </c>
      <c r="BD23" s="11">
        <v>1</v>
      </c>
      <c r="BE23" s="11">
        <v>1</v>
      </c>
      <c r="BF23" s="11">
        <v>1</v>
      </c>
      <c r="BG23" s="11">
        <v>1</v>
      </c>
      <c r="BH23" s="11">
        <v>1</v>
      </c>
      <c r="BI23" s="11">
        <v>1</v>
      </c>
      <c r="BJ23" s="11">
        <v>1</v>
      </c>
      <c r="BK23" s="11">
        <v>1</v>
      </c>
      <c r="BL23" s="11">
        <v>1</v>
      </c>
      <c r="BM23" s="11">
        <v>1</v>
      </c>
      <c r="BN23" s="11">
        <v>1</v>
      </c>
      <c r="BO23" s="11">
        <v>1</v>
      </c>
      <c r="BP23" t="s">
        <v>165</v>
      </c>
      <c r="BQ23" t="s">
        <v>170</v>
      </c>
    </row>
    <row r="24" ht="18" customHeight="1" spans="1:69" x14ac:dyDescent="0.25">
      <c r="A24" s="9"/>
      <c r="B24" s="9"/>
      <c r="C24" s="9"/>
      <c r="D24" s="9"/>
      <c r="E24" s="9"/>
      <c r="F24" s="10"/>
      <c r="G24" s="10"/>
      <c r="H24" s="9" t="s">
        <v>139</v>
      </c>
      <c r="I24" s="9"/>
      <c r="J24" s="9"/>
      <c r="K24" s="9"/>
      <c r="L24" s="9"/>
      <c r="M24" s="9"/>
      <c r="N24" s="9"/>
      <c r="O24" s="10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t="s">
        <v>165</v>
      </c>
      <c r="BQ24" t="s">
        <v>170</v>
      </c>
    </row>
    <row r="25" ht="28" customHeight="1" spans="1:69" x14ac:dyDescent="0.25">
      <c r="A25" s="9"/>
      <c r="B25" s="9"/>
      <c r="C25" s="9"/>
      <c r="D25" s="9"/>
      <c r="E25" s="9"/>
      <c r="F25" s="10" t="s">
        <v>171</v>
      </c>
      <c r="G25" s="10" t="s">
        <v>172</v>
      </c>
      <c r="H25" s="9" t="s">
        <v>136</v>
      </c>
      <c r="I25" s="9">
        <v>5</v>
      </c>
      <c r="J25" s="9">
        <v>10000</v>
      </c>
      <c r="K25" s="9" t="s">
        <v>145</v>
      </c>
      <c r="L25" s="9" t="s">
        <v>9</v>
      </c>
      <c r="M25" s="9"/>
      <c r="N25" s="9"/>
      <c r="O25" s="10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t="s">
        <v>165</v>
      </c>
      <c r="BQ25" t="s">
        <v>173</v>
      </c>
    </row>
    <row r="26" ht="18" customHeight="1" spans="1:69" x14ac:dyDescent="0.25">
      <c r="A26" s="9"/>
      <c r="B26" s="9"/>
      <c r="C26" s="9"/>
      <c r="D26" s="9"/>
      <c r="E26" s="9"/>
      <c r="F26" s="10"/>
      <c r="G26" s="10"/>
      <c r="H26" s="9" t="s">
        <v>139</v>
      </c>
      <c r="I26" s="9"/>
      <c r="J26" s="9"/>
      <c r="K26" s="9"/>
      <c r="L26" s="9"/>
      <c r="M26" s="9"/>
      <c r="N26" s="9"/>
      <c r="O26" s="10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t="s">
        <v>165</v>
      </c>
      <c r="BQ26" t="s">
        <v>173</v>
      </c>
    </row>
    <row r="27" ht="28" customHeight="1" spans="1:69" x14ac:dyDescent="0.25">
      <c r="A27" s="9"/>
      <c r="B27" s="9"/>
      <c r="C27" s="9"/>
      <c r="D27" s="9"/>
      <c r="E27" s="9"/>
      <c r="F27" s="10" t="s">
        <v>174</v>
      </c>
      <c r="G27" s="10" t="s">
        <v>175</v>
      </c>
      <c r="H27" s="9" t="s">
        <v>136</v>
      </c>
      <c r="I27" s="9">
        <v>2</v>
      </c>
      <c r="J27" s="9">
        <v>1</v>
      </c>
      <c r="K27" s="9" t="s">
        <v>5</v>
      </c>
      <c r="L27" s="9" t="s">
        <v>137</v>
      </c>
      <c r="M27" s="9"/>
      <c r="N27" s="9"/>
      <c r="O27" s="10"/>
      <c r="P27" s="13"/>
      <c r="Q27" s="13"/>
      <c r="R27" s="16">
        <v>2</v>
      </c>
      <c r="S27" s="13"/>
      <c r="T27" s="13"/>
      <c r="U27" s="13"/>
      <c r="V27" s="13"/>
      <c r="W27" s="16">
        <v>2</v>
      </c>
      <c r="X27" s="13"/>
      <c r="Y27" s="13"/>
      <c r="Z27" s="13"/>
      <c r="AA27" s="16">
        <v>2</v>
      </c>
      <c r="AB27" s="13"/>
      <c r="AC27" s="13"/>
      <c r="AD27" s="13"/>
      <c r="AE27" s="16">
        <v>2</v>
      </c>
      <c r="AF27" s="13"/>
      <c r="AG27" s="13"/>
      <c r="AH27" s="13"/>
      <c r="AI27" s="16">
        <v>2</v>
      </c>
      <c r="AJ27" s="13"/>
      <c r="AK27" s="13"/>
      <c r="AL27" s="13"/>
      <c r="AM27" s="13"/>
      <c r="AN27" s="16">
        <v>2</v>
      </c>
      <c r="AO27" s="13"/>
      <c r="AP27" s="13"/>
      <c r="AQ27" s="13"/>
      <c r="AR27" s="16">
        <v>2</v>
      </c>
      <c r="AS27" s="13"/>
      <c r="AT27" s="13"/>
      <c r="AU27" s="13"/>
      <c r="AV27" s="13"/>
      <c r="AW27" s="16">
        <v>2</v>
      </c>
      <c r="AX27" s="13"/>
      <c r="AY27" s="13"/>
      <c r="AZ27" s="13"/>
      <c r="BA27" s="16">
        <v>2</v>
      </c>
      <c r="BB27" s="13"/>
      <c r="BC27" s="13"/>
      <c r="BD27" s="13"/>
      <c r="BE27" s="16">
        <v>2</v>
      </c>
      <c r="BF27" s="13"/>
      <c r="BG27" s="13"/>
      <c r="BH27" s="13"/>
      <c r="BI27" s="13"/>
      <c r="BJ27" s="16">
        <v>2</v>
      </c>
      <c r="BK27" s="13"/>
      <c r="BL27" s="13"/>
      <c r="BM27" s="13"/>
      <c r="BN27" s="16">
        <v>2</v>
      </c>
      <c r="BO27" s="13"/>
      <c r="BP27" t="s">
        <v>165</v>
      </c>
      <c r="BQ27" t="s">
        <v>176</v>
      </c>
    </row>
    <row r="28" ht="18" customHeight="1" spans="1:69" x14ac:dyDescent="0.25">
      <c r="A28" s="9"/>
      <c r="B28" s="9"/>
      <c r="C28" s="9"/>
      <c r="D28" s="9"/>
      <c r="E28" s="9"/>
      <c r="F28" s="10"/>
      <c r="G28" s="10"/>
      <c r="H28" s="9" t="s">
        <v>139</v>
      </c>
      <c r="I28" s="9"/>
      <c r="J28" s="9"/>
      <c r="K28" s="9"/>
      <c r="L28" s="9"/>
      <c r="M28" s="9"/>
      <c r="N28" s="9"/>
      <c r="O28" s="10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t="s">
        <v>165</v>
      </c>
      <c r="BQ28" t="s">
        <v>176</v>
      </c>
    </row>
    <row r="29" ht="28" customHeight="1" spans="1:69" x14ac:dyDescent="0.25">
      <c r="A29" s="9"/>
      <c r="B29" s="9" t="s">
        <v>177</v>
      </c>
      <c r="C29" s="9" t="s">
        <v>178</v>
      </c>
      <c r="D29" s="9" t="s">
        <v>179</v>
      </c>
      <c r="E29" s="9" t="s">
        <v>168</v>
      </c>
      <c r="F29" s="10" t="s">
        <v>134</v>
      </c>
      <c r="G29" s="10" t="s">
        <v>169</v>
      </c>
      <c r="H29" s="9" t="s">
        <v>136</v>
      </c>
      <c r="I29" s="9">
        <v>1</v>
      </c>
      <c r="J29" s="9">
        <v>1</v>
      </c>
      <c r="K29" s="9" t="s">
        <v>4</v>
      </c>
      <c r="L29" s="9" t="s">
        <v>137</v>
      </c>
      <c r="M29" s="9"/>
      <c r="N29" s="9"/>
      <c r="O29" s="10"/>
      <c r="P29" s="11">
        <v>1</v>
      </c>
      <c r="Q29" s="11">
        <v>1</v>
      </c>
      <c r="R29" s="11">
        <v>1</v>
      </c>
      <c r="S29" s="11">
        <v>1</v>
      </c>
      <c r="T29" s="11">
        <v>1</v>
      </c>
      <c r="U29" s="11">
        <v>1</v>
      </c>
      <c r="V29" s="11">
        <v>1</v>
      </c>
      <c r="W29" s="11">
        <v>1</v>
      </c>
      <c r="X29" s="11">
        <v>1</v>
      </c>
      <c r="Y29" s="11">
        <v>1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1">
        <v>1</v>
      </c>
      <c r="AG29" s="11">
        <v>1</v>
      </c>
      <c r="AH29" s="11">
        <v>1</v>
      </c>
      <c r="AI29" s="11">
        <v>1</v>
      </c>
      <c r="AJ29" s="11">
        <v>1</v>
      </c>
      <c r="AK29" s="11">
        <v>1</v>
      </c>
      <c r="AL29" s="11">
        <v>1</v>
      </c>
      <c r="AM29" s="11">
        <v>1</v>
      </c>
      <c r="AN29" s="11">
        <v>1</v>
      </c>
      <c r="AO29" s="11">
        <v>1</v>
      </c>
      <c r="AP29" s="11">
        <v>1</v>
      </c>
      <c r="AQ29" s="11">
        <v>1</v>
      </c>
      <c r="AR29" s="11">
        <v>1</v>
      </c>
      <c r="AS29" s="11">
        <v>1</v>
      </c>
      <c r="AT29" s="11">
        <v>1</v>
      </c>
      <c r="AU29" s="11">
        <v>1</v>
      </c>
      <c r="AV29" s="11">
        <v>1</v>
      </c>
      <c r="AW29" s="11">
        <v>1</v>
      </c>
      <c r="AX29" s="11">
        <v>1</v>
      </c>
      <c r="AY29" s="11">
        <v>1</v>
      </c>
      <c r="AZ29" s="11">
        <v>1</v>
      </c>
      <c r="BA29" s="11">
        <v>1</v>
      </c>
      <c r="BB29" s="11">
        <v>1</v>
      </c>
      <c r="BC29" s="11">
        <v>1</v>
      </c>
      <c r="BD29" s="11">
        <v>1</v>
      </c>
      <c r="BE29" s="11">
        <v>1</v>
      </c>
      <c r="BF29" s="11">
        <v>1</v>
      </c>
      <c r="BG29" s="11">
        <v>1</v>
      </c>
      <c r="BH29" s="11">
        <v>1</v>
      </c>
      <c r="BI29" s="11">
        <v>1</v>
      </c>
      <c r="BJ29" s="11">
        <v>1</v>
      </c>
      <c r="BK29" s="11">
        <v>1</v>
      </c>
      <c r="BL29" s="11">
        <v>1</v>
      </c>
      <c r="BM29" s="11">
        <v>1</v>
      </c>
      <c r="BN29" s="11">
        <v>1</v>
      </c>
      <c r="BO29" s="11">
        <v>1</v>
      </c>
      <c r="BP29" t="s">
        <v>177</v>
      </c>
      <c r="BQ29" t="s">
        <v>180</v>
      </c>
    </row>
    <row r="30" ht="18" customHeight="1" spans="1:69" x14ac:dyDescent="0.25">
      <c r="A30" s="9"/>
      <c r="B30" s="9"/>
      <c r="C30" s="9"/>
      <c r="D30" s="9"/>
      <c r="E30" s="9"/>
      <c r="F30" s="10"/>
      <c r="G30" s="10"/>
      <c r="H30" s="9" t="s">
        <v>139</v>
      </c>
      <c r="I30" s="9"/>
      <c r="J30" s="9"/>
      <c r="K30" s="9"/>
      <c r="L30" s="9"/>
      <c r="M30" s="9"/>
      <c r="N30" s="9"/>
      <c r="O30" s="10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t="s">
        <v>177</v>
      </c>
      <c r="BQ30" t="s">
        <v>180</v>
      </c>
    </row>
    <row r="31" ht="28" customHeight="1" spans="1:69" x14ac:dyDescent="0.25">
      <c r="A31" s="9"/>
      <c r="B31" s="9"/>
      <c r="C31" s="9"/>
      <c r="D31" s="9"/>
      <c r="E31" s="9"/>
      <c r="F31" s="10" t="s">
        <v>171</v>
      </c>
      <c r="G31" s="10" t="s">
        <v>172</v>
      </c>
      <c r="H31" s="9" t="s">
        <v>136</v>
      </c>
      <c r="I31" s="9">
        <v>5</v>
      </c>
      <c r="J31" s="9">
        <v>10000</v>
      </c>
      <c r="K31" s="9" t="s">
        <v>145</v>
      </c>
      <c r="L31" s="9" t="s">
        <v>9</v>
      </c>
      <c r="M31" s="9"/>
      <c r="N31" s="9"/>
      <c r="O31" s="10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t="s">
        <v>177</v>
      </c>
      <c r="BQ31" t="s">
        <v>181</v>
      </c>
    </row>
    <row r="32" ht="18" customHeight="1" spans="1:69" x14ac:dyDescent="0.25">
      <c r="A32" s="9"/>
      <c r="B32" s="9"/>
      <c r="C32" s="9"/>
      <c r="D32" s="9"/>
      <c r="E32" s="9"/>
      <c r="F32" s="10"/>
      <c r="G32" s="10"/>
      <c r="H32" s="9" t="s">
        <v>139</v>
      </c>
      <c r="I32" s="9"/>
      <c r="J32" s="9"/>
      <c r="K32" s="9"/>
      <c r="L32" s="9"/>
      <c r="M32" s="9"/>
      <c r="N32" s="9"/>
      <c r="O32" s="10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t="s">
        <v>177</v>
      </c>
      <c r="BQ32" t="s">
        <v>181</v>
      </c>
    </row>
    <row r="33" ht="28" customHeight="1" spans="1:69" x14ac:dyDescent="0.25">
      <c r="A33" s="9"/>
      <c r="B33" s="9"/>
      <c r="C33" s="9"/>
      <c r="D33" s="9"/>
      <c r="E33" s="9"/>
      <c r="F33" s="10" t="s">
        <v>182</v>
      </c>
      <c r="G33" s="10" t="s">
        <v>183</v>
      </c>
      <c r="H33" s="9" t="s">
        <v>136</v>
      </c>
      <c r="I33" s="9">
        <v>2</v>
      </c>
      <c r="J33" s="9">
        <v>1</v>
      </c>
      <c r="K33" s="9" t="s">
        <v>5</v>
      </c>
      <c r="L33" s="9" t="s">
        <v>137</v>
      </c>
      <c r="M33" s="9"/>
      <c r="N33" s="9"/>
      <c r="O33" s="10"/>
      <c r="P33" s="13"/>
      <c r="Q33" s="13"/>
      <c r="R33" s="16">
        <v>2</v>
      </c>
      <c r="S33" s="13"/>
      <c r="T33" s="13"/>
      <c r="U33" s="13"/>
      <c r="V33" s="13"/>
      <c r="W33" s="16">
        <v>2</v>
      </c>
      <c r="X33" s="13"/>
      <c r="Y33" s="13"/>
      <c r="Z33" s="13"/>
      <c r="AA33" s="16">
        <v>2</v>
      </c>
      <c r="AB33" s="13"/>
      <c r="AC33" s="13"/>
      <c r="AD33" s="13"/>
      <c r="AE33" s="16">
        <v>2</v>
      </c>
      <c r="AF33" s="13"/>
      <c r="AG33" s="13"/>
      <c r="AH33" s="13"/>
      <c r="AI33" s="16">
        <v>2</v>
      </c>
      <c r="AJ33" s="13"/>
      <c r="AK33" s="13"/>
      <c r="AL33" s="13"/>
      <c r="AM33" s="13"/>
      <c r="AN33" s="16">
        <v>2</v>
      </c>
      <c r="AO33" s="13"/>
      <c r="AP33" s="13"/>
      <c r="AQ33" s="13"/>
      <c r="AR33" s="16">
        <v>2</v>
      </c>
      <c r="AS33" s="13"/>
      <c r="AT33" s="13"/>
      <c r="AU33" s="13"/>
      <c r="AV33" s="13"/>
      <c r="AW33" s="16">
        <v>2</v>
      </c>
      <c r="AX33" s="13"/>
      <c r="AY33" s="13"/>
      <c r="AZ33" s="13"/>
      <c r="BA33" s="16">
        <v>2</v>
      </c>
      <c r="BB33" s="13"/>
      <c r="BC33" s="13"/>
      <c r="BD33" s="13"/>
      <c r="BE33" s="16">
        <v>2</v>
      </c>
      <c r="BF33" s="13"/>
      <c r="BG33" s="13"/>
      <c r="BH33" s="13"/>
      <c r="BI33" s="13"/>
      <c r="BJ33" s="16">
        <v>2</v>
      </c>
      <c r="BK33" s="13"/>
      <c r="BL33" s="13"/>
      <c r="BM33" s="13"/>
      <c r="BN33" s="16">
        <v>2</v>
      </c>
      <c r="BO33" s="13"/>
      <c r="BP33" t="s">
        <v>177</v>
      </c>
      <c r="BQ33" t="s">
        <v>184</v>
      </c>
    </row>
    <row r="34" ht="18" customHeight="1" spans="1:69" x14ac:dyDescent="0.25">
      <c r="A34" s="9"/>
      <c r="B34" s="9"/>
      <c r="C34" s="9"/>
      <c r="D34" s="9"/>
      <c r="E34" s="9"/>
      <c r="F34" s="10"/>
      <c r="G34" s="10"/>
      <c r="H34" s="9" t="s">
        <v>139</v>
      </c>
      <c r="I34" s="9"/>
      <c r="J34" s="9"/>
      <c r="K34" s="9"/>
      <c r="L34" s="9"/>
      <c r="M34" s="9"/>
      <c r="N34" s="9"/>
      <c r="O34" s="10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t="s">
        <v>177</v>
      </c>
      <c r="BQ34" t="s">
        <v>184</v>
      </c>
    </row>
    <row r="35" ht="28" customHeight="1" spans="1:69" x14ac:dyDescent="0.25">
      <c r="A35" s="9"/>
      <c r="B35" s="9" t="s">
        <v>185</v>
      </c>
      <c r="C35" s="9" t="s">
        <v>186</v>
      </c>
      <c r="D35" s="9" t="s">
        <v>187</v>
      </c>
      <c r="E35" s="9" t="s">
        <v>188</v>
      </c>
      <c r="F35" s="10" t="s">
        <v>134</v>
      </c>
      <c r="G35" s="10" t="s">
        <v>169</v>
      </c>
      <c r="H35" s="9" t="s">
        <v>136</v>
      </c>
      <c r="I35" s="9">
        <v>1</v>
      </c>
      <c r="J35" s="9">
        <v>1</v>
      </c>
      <c r="K35" s="9" t="s">
        <v>4</v>
      </c>
      <c r="L35" s="9" t="s">
        <v>137</v>
      </c>
      <c r="M35" s="9"/>
      <c r="N35" s="9"/>
      <c r="O35" s="10"/>
      <c r="P35" s="11">
        <v>1</v>
      </c>
      <c r="Q35" s="11">
        <v>1</v>
      </c>
      <c r="R35" s="11">
        <v>1</v>
      </c>
      <c r="S35" s="11">
        <v>1</v>
      </c>
      <c r="T35" s="11">
        <v>1</v>
      </c>
      <c r="U35" s="11">
        <v>1</v>
      </c>
      <c r="V35" s="11">
        <v>1</v>
      </c>
      <c r="W35" s="11">
        <v>1</v>
      </c>
      <c r="X35" s="11">
        <v>1</v>
      </c>
      <c r="Y35" s="11">
        <v>1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1">
        <v>1</v>
      </c>
      <c r="AG35" s="11">
        <v>1</v>
      </c>
      <c r="AH35" s="11">
        <v>1</v>
      </c>
      <c r="AI35" s="11">
        <v>1</v>
      </c>
      <c r="AJ35" s="11">
        <v>1</v>
      </c>
      <c r="AK35" s="11">
        <v>1</v>
      </c>
      <c r="AL35" s="11">
        <v>1</v>
      </c>
      <c r="AM35" s="11">
        <v>1</v>
      </c>
      <c r="AN35" s="11">
        <v>1</v>
      </c>
      <c r="AO35" s="11">
        <v>1</v>
      </c>
      <c r="AP35" s="11">
        <v>1</v>
      </c>
      <c r="AQ35" s="11">
        <v>1</v>
      </c>
      <c r="AR35" s="11">
        <v>1</v>
      </c>
      <c r="AS35" s="11">
        <v>1</v>
      </c>
      <c r="AT35" s="11">
        <v>1</v>
      </c>
      <c r="AU35" s="11">
        <v>1</v>
      </c>
      <c r="AV35" s="11">
        <v>1</v>
      </c>
      <c r="AW35" s="11">
        <v>1</v>
      </c>
      <c r="AX35" s="11">
        <v>1</v>
      </c>
      <c r="AY35" s="11">
        <v>1</v>
      </c>
      <c r="AZ35" s="11">
        <v>1</v>
      </c>
      <c r="BA35" s="11">
        <v>1</v>
      </c>
      <c r="BB35" s="11">
        <v>1</v>
      </c>
      <c r="BC35" s="11">
        <v>1</v>
      </c>
      <c r="BD35" s="11">
        <v>1</v>
      </c>
      <c r="BE35" s="11">
        <v>1</v>
      </c>
      <c r="BF35" s="11">
        <v>1</v>
      </c>
      <c r="BG35" s="11">
        <v>1</v>
      </c>
      <c r="BH35" s="11">
        <v>1</v>
      </c>
      <c r="BI35" s="11">
        <v>1</v>
      </c>
      <c r="BJ35" s="11">
        <v>1</v>
      </c>
      <c r="BK35" s="11">
        <v>1</v>
      </c>
      <c r="BL35" s="11">
        <v>1</v>
      </c>
      <c r="BM35" s="11">
        <v>1</v>
      </c>
      <c r="BN35" s="11">
        <v>1</v>
      </c>
      <c r="BO35" s="11">
        <v>1</v>
      </c>
      <c r="BP35" t="s">
        <v>185</v>
      </c>
      <c r="BQ35" t="s">
        <v>189</v>
      </c>
    </row>
    <row r="36" ht="18" customHeight="1" spans="1:69" x14ac:dyDescent="0.25">
      <c r="A36" s="9"/>
      <c r="B36" s="9"/>
      <c r="C36" s="9"/>
      <c r="D36" s="9"/>
      <c r="E36" s="9"/>
      <c r="F36" s="10"/>
      <c r="G36" s="10"/>
      <c r="H36" s="9" t="s">
        <v>139</v>
      </c>
      <c r="I36" s="9"/>
      <c r="J36" s="9"/>
      <c r="K36" s="9"/>
      <c r="L36" s="9"/>
      <c r="M36" s="9"/>
      <c r="N36" s="9"/>
      <c r="O36" s="10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t="s">
        <v>185</v>
      </c>
      <c r="BQ36" t="s">
        <v>189</v>
      </c>
    </row>
    <row r="37" ht="28" customHeight="1" spans="1:69" x14ac:dyDescent="0.25">
      <c r="A37" s="9"/>
      <c r="B37" s="9"/>
      <c r="C37" s="9"/>
      <c r="D37" s="9"/>
      <c r="E37" s="9"/>
      <c r="F37" s="10" t="s">
        <v>190</v>
      </c>
      <c r="G37" s="10" t="s">
        <v>191</v>
      </c>
      <c r="H37" s="9" t="s">
        <v>136</v>
      </c>
      <c r="I37" s="9">
        <v>3</v>
      </c>
      <c r="J37" s="9">
        <v>2000</v>
      </c>
      <c r="K37" s="9" t="s">
        <v>192</v>
      </c>
      <c r="L37" s="9" t="s">
        <v>9</v>
      </c>
      <c r="M37" s="9"/>
      <c r="N37" s="9" t="s">
        <v>193</v>
      </c>
      <c r="O37" s="10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5">
        <v>3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5">
        <v>3</v>
      </c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5">
        <v>3</v>
      </c>
      <c r="BP37" t="s">
        <v>185</v>
      </c>
      <c r="BQ37" t="s">
        <v>194</v>
      </c>
    </row>
    <row r="38" ht="18" customHeight="1" spans="1:69" x14ac:dyDescent="0.25">
      <c r="A38" s="9"/>
      <c r="B38" s="9"/>
      <c r="C38" s="9"/>
      <c r="D38" s="9"/>
      <c r="E38" s="9"/>
      <c r="F38" s="10"/>
      <c r="G38" s="10"/>
      <c r="H38" s="9" t="s">
        <v>139</v>
      </c>
      <c r="I38" s="9"/>
      <c r="J38" s="9"/>
      <c r="K38" s="9"/>
      <c r="L38" s="9"/>
      <c r="M38" s="9"/>
      <c r="N38" s="9"/>
      <c r="O38" s="10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t="s">
        <v>185</v>
      </c>
      <c r="BQ38" t="s">
        <v>194</v>
      </c>
    </row>
    <row r="39" ht="28" customHeight="1" spans="1:69" x14ac:dyDescent="0.25">
      <c r="A39" s="9"/>
      <c r="B39" s="9"/>
      <c r="C39" s="9"/>
      <c r="D39" s="9"/>
      <c r="E39" s="9"/>
      <c r="F39" s="10" t="s">
        <v>190</v>
      </c>
      <c r="G39" s="10" t="s">
        <v>144</v>
      </c>
      <c r="H39" s="9" t="s">
        <v>136</v>
      </c>
      <c r="I39" s="9">
        <v>5</v>
      </c>
      <c r="J39" s="9">
        <v>10000</v>
      </c>
      <c r="K39" s="9" t="s">
        <v>145</v>
      </c>
      <c r="L39" s="9" t="s">
        <v>9</v>
      </c>
      <c r="M39" s="9"/>
      <c r="N39" s="9"/>
      <c r="O39" s="10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t="s">
        <v>185</v>
      </c>
      <c r="BQ39" t="s">
        <v>195</v>
      </c>
    </row>
    <row r="40" ht="18" customHeight="1" spans="1:69" x14ac:dyDescent="0.25">
      <c r="A40" s="9"/>
      <c r="B40" s="9"/>
      <c r="C40" s="9"/>
      <c r="D40" s="9"/>
      <c r="E40" s="9"/>
      <c r="F40" s="10"/>
      <c r="G40" s="10"/>
      <c r="H40" s="9" t="s">
        <v>139</v>
      </c>
      <c r="I40" s="9"/>
      <c r="J40" s="9"/>
      <c r="K40" s="9"/>
      <c r="L40" s="9"/>
      <c r="M40" s="9"/>
      <c r="N40" s="9"/>
      <c r="O40" s="10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t="s">
        <v>185</v>
      </c>
      <c r="BQ40" t="s">
        <v>195</v>
      </c>
    </row>
    <row r="41" ht="28" customHeight="1" spans="1:69" x14ac:dyDescent="0.25">
      <c r="A41" s="9"/>
      <c r="B41" s="9"/>
      <c r="C41" s="9"/>
      <c r="D41" s="9"/>
      <c r="E41" s="9"/>
      <c r="F41" s="10" t="s">
        <v>196</v>
      </c>
      <c r="G41" s="10" t="s">
        <v>197</v>
      </c>
      <c r="H41" s="9" t="s">
        <v>136</v>
      </c>
      <c r="I41" s="9">
        <v>1</v>
      </c>
      <c r="J41" s="9">
        <v>120</v>
      </c>
      <c r="K41" s="9" t="s">
        <v>198</v>
      </c>
      <c r="L41" s="9" t="s">
        <v>9</v>
      </c>
      <c r="M41" s="9"/>
      <c r="N41" s="9" t="s">
        <v>162</v>
      </c>
      <c r="O41" s="10"/>
      <c r="P41" s="13"/>
      <c r="Q41" s="11">
        <v>1</v>
      </c>
      <c r="R41" s="11">
        <v>1</v>
      </c>
      <c r="S41" s="11">
        <v>1</v>
      </c>
      <c r="T41" s="11">
        <v>1</v>
      </c>
      <c r="U41" s="11">
        <v>1</v>
      </c>
      <c r="V41" s="11">
        <v>1</v>
      </c>
      <c r="W41" s="11">
        <v>1</v>
      </c>
      <c r="X41" s="11">
        <v>1</v>
      </c>
      <c r="Y41" s="11">
        <v>1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1">
        <v>1</v>
      </c>
      <c r="AG41" s="11">
        <v>1</v>
      </c>
      <c r="AH41" s="11">
        <v>1</v>
      </c>
      <c r="AI41" s="11">
        <v>1</v>
      </c>
      <c r="AJ41" s="11">
        <v>1</v>
      </c>
      <c r="AK41" s="11">
        <v>1</v>
      </c>
      <c r="AL41" s="11">
        <v>1</v>
      </c>
      <c r="AM41" s="11">
        <v>1</v>
      </c>
      <c r="AN41" s="11">
        <v>1</v>
      </c>
      <c r="AO41" s="11">
        <v>1</v>
      </c>
      <c r="AP41" s="11">
        <v>1</v>
      </c>
      <c r="AQ41" s="11">
        <v>1</v>
      </c>
      <c r="AR41" s="11">
        <v>1</v>
      </c>
      <c r="AS41" s="11">
        <v>1</v>
      </c>
      <c r="AT41" s="11">
        <v>1</v>
      </c>
      <c r="AU41" s="11">
        <v>1</v>
      </c>
      <c r="AV41" s="11">
        <v>1</v>
      </c>
      <c r="AW41" s="11">
        <v>1</v>
      </c>
      <c r="AX41" s="11">
        <v>1</v>
      </c>
      <c r="AY41" s="11">
        <v>1</v>
      </c>
      <c r="AZ41" s="11">
        <v>1</v>
      </c>
      <c r="BA41" s="11">
        <v>1</v>
      </c>
      <c r="BB41" s="11">
        <v>1</v>
      </c>
      <c r="BC41" s="11">
        <v>1</v>
      </c>
      <c r="BD41" s="11">
        <v>1</v>
      </c>
      <c r="BE41" s="11">
        <v>1</v>
      </c>
      <c r="BF41" s="11">
        <v>1</v>
      </c>
      <c r="BG41" s="11">
        <v>1</v>
      </c>
      <c r="BH41" s="11">
        <v>1</v>
      </c>
      <c r="BI41" s="11">
        <v>1</v>
      </c>
      <c r="BJ41" s="11">
        <v>1</v>
      </c>
      <c r="BK41" s="11">
        <v>1</v>
      </c>
      <c r="BL41" s="11">
        <v>1</v>
      </c>
      <c r="BM41" s="11">
        <v>1</v>
      </c>
      <c r="BN41" s="11">
        <v>1</v>
      </c>
      <c r="BO41" s="11">
        <v>1</v>
      </c>
      <c r="BP41" t="s">
        <v>185</v>
      </c>
      <c r="BQ41" t="s">
        <v>199</v>
      </c>
    </row>
    <row r="42" ht="18" customHeight="1" spans="1:69" x14ac:dyDescent="0.25">
      <c r="A42" s="9"/>
      <c r="B42" s="9"/>
      <c r="C42" s="9"/>
      <c r="D42" s="9"/>
      <c r="E42" s="9"/>
      <c r="F42" s="10"/>
      <c r="G42" s="10"/>
      <c r="H42" s="9" t="s">
        <v>139</v>
      </c>
      <c r="I42" s="9"/>
      <c r="J42" s="9"/>
      <c r="K42" s="9"/>
      <c r="L42" s="9"/>
      <c r="M42" s="9"/>
      <c r="N42" s="9"/>
      <c r="O42" s="10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t="s">
        <v>185</v>
      </c>
      <c r="BQ42" t="s">
        <v>199</v>
      </c>
    </row>
    <row r="43" ht="28" customHeight="1" spans="1:69" x14ac:dyDescent="0.25">
      <c r="A43" s="9"/>
      <c r="B43" s="9"/>
      <c r="C43" s="9"/>
      <c r="D43" s="9"/>
      <c r="E43" s="9"/>
      <c r="F43" s="10" t="s">
        <v>200</v>
      </c>
      <c r="G43" s="10" t="s">
        <v>201</v>
      </c>
      <c r="H43" s="9" t="s">
        <v>136</v>
      </c>
      <c r="I43" s="9">
        <v>5</v>
      </c>
      <c r="J43" s="9">
        <v>5000</v>
      </c>
      <c r="K43" s="9" t="s">
        <v>202</v>
      </c>
      <c r="L43" s="9" t="s">
        <v>9</v>
      </c>
      <c r="M43" s="9"/>
      <c r="N43" s="9" t="s">
        <v>203</v>
      </c>
      <c r="O43" s="10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4">
        <v>5</v>
      </c>
      <c r="BG43" s="13"/>
      <c r="BH43" s="13"/>
      <c r="BI43" s="13"/>
      <c r="BJ43" s="13"/>
      <c r="BK43" s="13"/>
      <c r="BL43" s="13"/>
      <c r="BM43" s="13"/>
      <c r="BN43" s="13"/>
      <c r="BO43" s="13"/>
      <c r="BP43" t="s">
        <v>185</v>
      </c>
      <c r="BQ43" t="s">
        <v>204</v>
      </c>
    </row>
    <row r="44" ht="18" customHeight="1" spans="1:69" x14ac:dyDescent="0.25">
      <c r="A44" s="9"/>
      <c r="B44" s="9"/>
      <c r="C44" s="9"/>
      <c r="D44" s="9"/>
      <c r="E44" s="9"/>
      <c r="F44" s="10"/>
      <c r="G44" s="10"/>
      <c r="H44" s="9" t="s">
        <v>139</v>
      </c>
      <c r="I44" s="9"/>
      <c r="J44" s="9"/>
      <c r="K44" s="9"/>
      <c r="L44" s="9"/>
      <c r="M44" s="9"/>
      <c r="N44" s="9"/>
      <c r="O44" s="10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t="s">
        <v>185</v>
      </c>
      <c r="BQ44" t="s">
        <v>204</v>
      </c>
    </row>
    <row r="45" ht="28" customHeight="1" spans="1:69" x14ac:dyDescent="0.25">
      <c r="A45" s="9"/>
      <c r="B45" s="9"/>
      <c r="C45" s="9"/>
      <c r="D45" s="9"/>
      <c r="E45" s="9"/>
      <c r="F45" s="10" t="s">
        <v>205</v>
      </c>
      <c r="G45" s="10" t="s">
        <v>206</v>
      </c>
      <c r="H45" s="9" t="s">
        <v>136</v>
      </c>
      <c r="I45" s="9">
        <v>2</v>
      </c>
      <c r="J45" s="9">
        <v>1</v>
      </c>
      <c r="K45" s="9" t="s">
        <v>5</v>
      </c>
      <c r="L45" s="9" t="s">
        <v>137</v>
      </c>
      <c r="M45" s="9"/>
      <c r="N45" s="9"/>
      <c r="O45" s="10"/>
      <c r="P45" s="13"/>
      <c r="Q45" s="13"/>
      <c r="R45" s="16">
        <v>2</v>
      </c>
      <c r="S45" s="13"/>
      <c r="T45" s="13"/>
      <c r="U45" s="13"/>
      <c r="V45" s="13"/>
      <c r="W45" s="16">
        <v>2</v>
      </c>
      <c r="X45" s="13"/>
      <c r="Y45" s="13"/>
      <c r="Z45" s="13"/>
      <c r="AA45" s="16">
        <v>2</v>
      </c>
      <c r="AB45" s="13"/>
      <c r="AC45" s="13"/>
      <c r="AD45" s="13"/>
      <c r="AE45" s="16">
        <v>2</v>
      </c>
      <c r="AF45" s="13"/>
      <c r="AG45" s="13"/>
      <c r="AH45" s="13"/>
      <c r="AI45" s="16">
        <v>2</v>
      </c>
      <c r="AJ45" s="13"/>
      <c r="AK45" s="13"/>
      <c r="AL45" s="13"/>
      <c r="AM45" s="13"/>
      <c r="AN45" s="16">
        <v>2</v>
      </c>
      <c r="AO45" s="13"/>
      <c r="AP45" s="13"/>
      <c r="AQ45" s="13"/>
      <c r="AR45" s="16">
        <v>2</v>
      </c>
      <c r="AS45" s="13"/>
      <c r="AT45" s="13"/>
      <c r="AU45" s="13"/>
      <c r="AV45" s="13"/>
      <c r="AW45" s="16">
        <v>2</v>
      </c>
      <c r="AX45" s="13"/>
      <c r="AY45" s="13"/>
      <c r="AZ45" s="13"/>
      <c r="BA45" s="16">
        <v>2</v>
      </c>
      <c r="BB45" s="13"/>
      <c r="BC45" s="13"/>
      <c r="BD45" s="13"/>
      <c r="BE45" s="16">
        <v>2</v>
      </c>
      <c r="BF45" s="13"/>
      <c r="BG45" s="13"/>
      <c r="BH45" s="13"/>
      <c r="BI45" s="13"/>
      <c r="BJ45" s="16">
        <v>2</v>
      </c>
      <c r="BK45" s="13"/>
      <c r="BL45" s="13"/>
      <c r="BM45" s="13"/>
      <c r="BN45" s="16">
        <v>2</v>
      </c>
      <c r="BO45" s="13"/>
      <c r="BP45" t="s">
        <v>185</v>
      </c>
      <c r="BQ45" t="s">
        <v>207</v>
      </c>
    </row>
    <row r="46" ht="18" customHeight="1" spans="1:69" x14ac:dyDescent="0.25">
      <c r="A46" s="9"/>
      <c r="B46" s="9"/>
      <c r="C46" s="9"/>
      <c r="D46" s="9"/>
      <c r="E46" s="9"/>
      <c r="F46" s="10"/>
      <c r="G46" s="10"/>
      <c r="H46" s="9" t="s">
        <v>139</v>
      </c>
      <c r="I46" s="9"/>
      <c r="J46" s="9"/>
      <c r="K46" s="9"/>
      <c r="L46" s="9"/>
      <c r="M46" s="9"/>
      <c r="N46" s="9"/>
      <c r="O46" s="10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t="s">
        <v>185</v>
      </c>
      <c r="BQ46" t="s">
        <v>207</v>
      </c>
    </row>
    <row r="47" ht="28" customHeight="1" spans="1:69" x14ac:dyDescent="0.25">
      <c r="A47" s="9"/>
      <c r="B47" s="9" t="s">
        <v>208</v>
      </c>
      <c r="C47" s="9" t="s">
        <v>209</v>
      </c>
      <c r="D47" s="9" t="s">
        <v>210</v>
      </c>
      <c r="E47" s="9" t="s">
        <v>188</v>
      </c>
      <c r="F47" s="10" t="s">
        <v>134</v>
      </c>
      <c r="G47" s="10" t="s">
        <v>169</v>
      </c>
      <c r="H47" s="9" t="s">
        <v>136</v>
      </c>
      <c r="I47" s="9">
        <v>1</v>
      </c>
      <c r="J47" s="9">
        <v>1</v>
      </c>
      <c r="K47" s="9" t="s">
        <v>4</v>
      </c>
      <c r="L47" s="9" t="s">
        <v>137</v>
      </c>
      <c r="M47" s="9"/>
      <c r="N47" s="9"/>
      <c r="O47" s="10"/>
      <c r="P47" s="11">
        <v>1</v>
      </c>
      <c r="Q47" s="11">
        <v>1</v>
      </c>
      <c r="R47" s="11">
        <v>1</v>
      </c>
      <c r="S47" s="11">
        <v>1</v>
      </c>
      <c r="T47" s="11">
        <v>1</v>
      </c>
      <c r="U47" s="11">
        <v>1</v>
      </c>
      <c r="V47" s="11">
        <v>1</v>
      </c>
      <c r="W47" s="11">
        <v>1</v>
      </c>
      <c r="X47" s="11">
        <v>1</v>
      </c>
      <c r="Y47" s="11">
        <v>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1">
        <v>1</v>
      </c>
      <c r="AG47" s="11">
        <v>1</v>
      </c>
      <c r="AH47" s="11">
        <v>1</v>
      </c>
      <c r="AI47" s="11">
        <v>1</v>
      </c>
      <c r="AJ47" s="11">
        <v>1</v>
      </c>
      <c r="AK47" s="11">
        <v>1</v>
      </c>
      <c r="AL47" s="11">
        <v>1</v>
      </c>
      <c r="AM47" s="11">
        <v>1</v>
      </c>
      <c r="AN47" s="11">
        <v>1</v>
      </c>
      <c r="AO47" s="11">
        <v>1</v>
      </c>
      <c r="AP47" s="11">
        <v>1</v>
      </c>
      <c r="AQ47" s="11">
        <v>1</v>
      </c>
      <c r="AR47" s="11">
        <v>1</v>
      </c>
      <c r="AS47" s="11">
        <v>1</v>
      </c>
      <c r="AT47" s="11">
        <v>1</v>
      </c>
      <c r="AU47" s="11">
        <v>1</v>
      </c>
      <c r="AV47" s="11">
        <v>1</v>
      </c>
      <c r="AW47" s="11">
        <v>1</v>
      </c>
      <c r="AX47" s="11">
        <v>1</v>
      </c>
      <c r="AY47" s="11">
        <v>1</v>
      </c>
      <c r="AZ47" s="11">
        <v>1</v>
      </c>
      <c r="BA47" s="11">
        <v>1</v>
      </c>
      <c r="BB47" s="11">
        <v>1</v>
      </c>
      <c r="BC47" s="11">
        <v>1</v>
      </c>
      <c r="BD47" s="11">
        <v>1</v>
      </c>
      <c r="BE47" s="11">
        <v>1</v>
      </c>
      <c r="BF47" s="11">
        <v>1</v>
      </c>
      <c r="BG47" s="11">
        <v>1</v>
      </c>
      <c r="BH47" s="11">
        <v>1</v>
      </c>
      <c r="BI47" s="11">
        <v>1</v>
      </c>
      <c r="BJ47" s="11">
        <v>1</v>
      </c>
      <c r="BK47" s="11">
        <v>1</v>
      </c>
      <c r="BL47" s="11">
        <v>1</v>
      </c>
      <c r="BM47" s="11">
        <v>1</v>
      </c>
      <c r="BN47" s="11">
        <v>1</v>
      </c>
      <c r="BO47" s="11">
        <v>1</v>
      </c>
      <c r="BP47" t="s">
        <v>208</v>
      </c>
      <c r="BQ47" t="s">
        <v>211</v>
      </c>
    </row>
    <row r="48" ht="18" customHeight="1" spans="1:69" x14ac:dyDescent="0.25">
      <c r="A48" s="9"/>
      <c r="B48" s="9"/>
      <c r="C48" s="9"/>
      <c r="D48" s="9"/>
      <c r="E48" s="9"/>
      <c r="F48" s="10"/>
      <c r="G48" s="10"/>
      <c r="H48" s="9" t="s">
        <v>139</v>
      </c>
      <c r="I48" s="9"/>
      <c r="J48" s="9"/>
      <c r="K48" s="9"/>
      <c r="L48" s="9"/>
      <c r="M48" s="9"/>
      <c r="N48" s="9"/>
      <c r="O48" s="10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t="s">
        <v>208</v>
      </c>
      <c r="BQ48" t="s">
        <v>211</v>
      </c>
    </row>
    <row r="49" ht="28" customHeight="1" spans="1:69" x14ac:dyDescent="0.25">
      <c r="A49" s="9"/>
      <c r="B49" s="9"/>
      <c r="C49" s="9"/>
      <c r="D49" s="9"/>
      <c r="E49" s="9"/>
      <c r="F49" s="10" t="s">
        <v>212</v>
      </c>
      <c r="G49" s="10" t="s">
        <v>213</v>
      </c>
      <c r="H49" s="9" t="s">
        <v>136</v>
      </c>
      <c r="I49" s="9">
        <v>5</v>
      </c>
      <c r="J49" s="9">
        <v>6000</v>
      </c>
      <c r="K49" s="9" t="s">
        <v>149</v>
      </c>
      <c r="L49" s="9" t="s">
        <v>9</v>
      </c>
      <c r="M49" s="9"/>
      <c r="N49" s="9" t="s">
        <v>150</v>
      </c>
      <c r="O49" s="10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4">
        <v>5</v>
      </c>
      <c r="BO49" s="13"/>
      <c r="BP49" t="s">
        <v>208</v>
      </c>
      <c r="BQ49" t="s">
        <v>214</v>
      </c>
    </row>
    <row r="50" ht="18" customHeight="1" spans="1:69" x14ac:dyDescent="0.25">
      <c r="A50" s="9"/>
      <c r="B50" s="9"/>
      <c r="C50" s="9"/>
      <c r="D50" s="9"/>
      <c r="E50" s="9"/>
      <c r="F50" s="10"/>
      <c r="G50" s="10"/>
      <c r="H50" s="9" t="s">
        <v>139</v>
      </c>
      <c r="I50" s="9"/>
      <c r="J50" s="9"/>
      <c r="K50" s="9"/>
      <c r="L50" s="9"/>
      <c r="M50" s="9"/>
      <c r="N50" s="9"/>
      <c r="O50" s="10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t="s">
        <v>208</v>
      </c>
      <c r="BQ50" t="s">
        <v>214</v>
      </c>
    </row>
    <row r="51" ht="28" customHeight="1" spans="1:69" x14ac:dyDescent="0.25">
      <c r="A51" s="9"/>
      <c r="B51" s="9"/>
      <c r="C51" s="9"/>
      <c r="D51" s="9"/>
      <c r="E51" s="9"/>
      <c r="F51" s="10" t="s">
        <v>215</v>
      </c>
      <c r="G51" s="10" t="s">
        <v>216</v>
      </c>
      <c r="H51" s="9" t="s">
        <v>136</v>
      </c>
      <c r="I51" s="9">
        <v>5</v>
      </c>
      <c r="J51" s="9">
        <v>10000</v>
      </c>
      <c r="K51" s="9" t="s">
        <v>145</v>
      </c>
      <c r="L51" s="9" t="s">
        <v>9</v>
      </c>
      <c r="M51" s="9"/>
      <c r="N51" s="9"/>
      <c r="O51" s="10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t="s">
        <v>208</v>
      </c>
      <c r="BQ51" t="s">
        <v>217</v>
      </c>
    </row>
    <row r="52" ht="18" customHeight="1" spans="1:69" x14ac:dyDescent="0.25">
      <c r="A52" s="9"/>
      <c r="B52" s="9"/>
      <c r="C52" s="9"/>
      <c r="D52" s="9"/>
      <c r="E52" s="9"/>
      <c r="F52" s="10"/>
      <c r="G52" s="10"/>
      <c r="H52" s="9" t="s">
        <v>139</v>
      </c>
      <c r="I52" s="9"/>
      <c r="J52" s="9"/>
      <c r="K52" s="9"/>
      <c r="L52" s="9"/>
      <c r="M52" s="9"/>
      <c r="N52" s="9"/>
      <c r="O52" s="10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t="s">
        <v>208</v>
      </c>
      <c r="BQ52" t="s">
        <v>217</v>
      </c>
    </row>
    <row r="53" ht="28" customHeight="1" spans="1:69" x14ac:dyDescent="0.25">
      <c r="A53" s="9"/>
      <c r="B53" s="9"/>
      <c r="C53" s="9"/>
      <c r="D53" s="9"/>
      <c r="E53" s="9"/>
      <c r="F53" s="10" t="s">
        <v>218</v>
      </c>
      <c r="G53" s="10" t="s">
        <v>148</v>
      </c>
      <c r="H53" s="9" t="s">
        <v>136</v>
      </c>
      <c r="I53" s="9">
        <v>1</v>
      </c>
      <c r="J53" s="9">
        <v>120</v>
      </c>
      <c r="K53" s="9" t="s">
        <v>198</v>
      </c>
      <c r="L53" s="9" t="s">
        <v>9</v>
      </c>
      <c r="M53" s="9"/>
      <c r="N53" s="9" t="s">
        <v>162</v>
      </c>
      <c r="O53" s="10"/>
      <c r="P53" s="13"/>
      <c r="Q53" s="11">
        <v>1</v>
      </c>
      <c r="R53" s="11">
        <v>1</v>
      </c>
      <c r="S53" s="11">
        <v>1</v>
      </c>
      <c r="T53" s="11">
        <v>1</v>
      </c>
      <c r="U53" s="11">
        <v>1</v>
      </c>
      <c r="V53" s="11">
        <v>1</v>
      </c>
      <c r="W53" s="11">
        <v>1</v>
      </c>
      <c r="X53" s="11">
        <v>1</v>
      </c>
      <c r="Y53" s="11">
        <v>1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1">
        <v>1</v>
      </c>
      <c r="AG53" s="11">
        <v>1</v>
      </c>
      <c r="AH53" s="11">
        <v>1</v>
      </c>
      <c r="AI53" s="11">
        <v>1</v>
      </c>
      <c r="AJ53" s="11">
        <v>1</v>
      </c>
      <c r="AK53" s="11">
        <v>1</v>
      </c>
      <c r="AL53" s="11">
        <v>1</v>
      </c>
      <c r="AM53" s="11">
        <v>1</v>
      </c>
      <c r="AN53" s="11">
        <v>1</v>
      </c>
      <c r="AO53" s="11">
        <v>1</v>
      </c>
      <c r="AP53" s="11">
        <v>1</v>
      </c>
      <c r="AQ53" s="11">
        <v>1</v>
      </c>
      <c r="AR53" s="11">
        <v>1</v>
      </c>
      <c r="AS53" s="11">
        <v>1</v>
      </c>
      <c r="AT53" s="11">
        <v>1</v>
      </c>
      <c r="AU53" s="11">
        <v>1</v>
      </c>
      <c r="AV53" s="11">
        <v>1</v>
      </c>
      <c r="AW53" s="11">
        <v>1</v>
      </c>
      <c r="AX53" s="11">
        <v>1</v>
      </c>
      <c r="AY53" s="11">
        <v>1</v>
      </c>
      <c r="AZ53" s="11">
        <v>1</v>
      </c>
      <c r="BA53" s="11">
        <v>1</v>
      </c>
      <c r="BB53" s="11">
        <v>1</v>
      </c>
      <c r="BC53" s="11">
        <v>1</v>
      </c>
      <c r="BD53" s="11">
        <v>1</v>
      </c>
      <c r="BE53" s="11">
        <v>1</v>
      </c>
      <c r="BF53" s="11">
        <v>1</v>
      </c>
      <c r="BG53" s="11">
        <v>1</v>
      </c>
      <c r="BH53" s="11">
        <v>1</v>
      </c>
      <c r="BI53" s="11">
        <v>1</v>
      </c>
      <c r="BJ53" s="11">
        <v>1</v>
      </c>
      <c r="BK53" s="11">
        <v>1</v>
      </c>
      <c r="BL53" s="11">
        <v>1</v>
      </c>
      <c r="BM53" s="11">
        <v>1</v>
      </c>
      <c r="BN53" s="11">
        <v>1</v>
      </c>
      <c r="BO53" s="11">
        <v>1</v>
      </c>
      <c r="BP53" t="s">
        <v>208</v>
      </c>
      <c r="BQ53" t="s">
        <v>219</v>
      </c>
    </row>
    <row r="54" ht="18" customHeight="1" spans="1:69" x14ac:dyDescent="0.25">
      <c r="A54" s="9"/>
      <c r="B54" s="9"/>
      <c r="C54" s="9"/>
      <c r="D54" s="9"/>
      <c r="E54" s="9"/>
      <c r="F54" s="10"/>
      <c r="G54" s="10"/>
      <c r="H54" s="9" t="s">
        <v>139</v>
      </c>
      <c r="I54" s="9"/>
      <c r="J54" s="9"/>
      <c r="K54" s="9"/>
      <c r="L54" s="9"/>
      <c r="M54" s="9"/>
      <c r="N54" s="9"/>
      <c r="O54" s="10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t="s">
        <v>208</v>
      </c>
      <c r="BQ54" t="s">
        <v>219</v>
      </c>
    </row>
    <row r="55" ht="28" customHeight="1" spans="1:69" x14ac:dyDescent="0.25">
      <c r="A55" s="9"/>
      <c r="B55" s="9"/>
      <c r="C55" s="9"/>
      <c r="D55" s="9"/>
      <c r="E55" s="9"/>
      <c r="F55" s="10" t="s">
        <v>220</v>
      </c>
      <c r="G55" s="10" t="s">
        <v>221</v>
      </c>
      <c r="H55" s="9" t="s">
        <v>136</v>
      </c>
      <c r="I55" s="9">
        <v>1</v>
      </c>
      <c r="J55" s="9">
        <v>120</v>
      </c>
      <c r="K55" s="9" t="s">
        <v>198</v>
      </c>
      <c r="L55" s="9" t="s">
        <v>9</v>
      </c>
      <c r="M55" s="9"/>
      <c r="N55" s="9" t="s">
        <v>162</v>
      </c>
      <c r="O55" s="10"/>
      <c r="P55" s="13"/>
      <c r="Q55" s="11">
        <v>1</v>
      </c>
      <c r="R55" s="11">
        <v>1</v>
      </c>
      <c r="S55" s="11">
        <v>1</v>
      </c>
      <c r="T55" s="11">
        <v>1</v>
      </c>
      <c r="U55" s="11">
        <v>1</v>
      </c>
      <c r="V55" s="11">
        <v>1</v>
      </c>
      <c r="W55" s="11">
        <v>1</v>
      </c>
      <c r="X55" s="11">
        <v>1</v>
      </c>
      <c r="Y55" s="11">
        <v>1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1">
        <v>1</v>
      </c>
      <c r="AG55" s="11">
        <v>1</v>
      </c>
      <c r="AH55" s="11">
        <v>1</v>
      </c>
      <c r="AI55" s="11">
        <v>1</v>
      </c>
      <c r="AJ55" s="11">
        <v>1</v>
      </c>
      <c r="AK55" s="11">
        <v>1</v>
      </c>
      <c r="AL55" s="11">
        <v>1</v>
      </c>
      <c r="AM55" s="11">
        <v>1</v>
      </c>
      <c r="AN55" s="11">
        <v>1</v>
      </c>
      <c r="AO55" s="11">
        <v>1</v>
      </c>
      <c r="AP55" s="11">
        <v>1</v>
      </c>
      <c r="AQ55" s="11">
        <v>1</v>
      </c>
      <c r="AR55" s="11">
        <v>1</v>
      </c>
      <c r="AS55" s="11">
        <v>1</v>
      </c>
      <c r="AT55" s="11">
        <v>1</v>
      </c>
      <c r="AU55" s="11">
        <v>1</v>
      </c>
      <c r="AV55" s="11">
        <v>1</v>
      </c>
      <c r="AW55" s="11">
        <v>1</v>
      </c>
      <c r="AX55" s="11">
        <v>1</v>
      </c>
      <c r="AY55" s="11">
        <v>1</v>
      </c>
      <c r="AZ55" s="11">
        <v>1</v>
      </c>
      <c r="BA55" s="11">
        <v>1</v>
      </c>
      <c r="BB55" s="11">
        <v>1</v>
      </c>
      <c r="BC55" s="11">
        <v>1</v>
      </c>
      <c r="BD55" s="11">
        <v>1</v>
      </c>
      <c r="BE55" s="11">
        <v>1</v>
      </c>
      <c r="BF55" s="11">
        <v>1</v>
      </c>
      <c r="BG55" s="11">
        <v>1</v>
      </c>
      <c r="BH55" s="11">
        <v>1</v>
      </c>
      <c r="BI55" s="11">
        <v>1</v>
      </c>
      <c r="BJ55" s="11">
        <v>1</v>
      </c>
      <c r="BK55" s="11">
        <v>1</v>
      </c>
      <c r="BL55" s="11">
        <v>1</v>
      </c>
      <c r="BM55" s="11">
        <v>1</v>
      </c>
      <c r="BN55" s="11">
        <v>1</v>
      </c>
      <c r="BO55" s="11">
        <v>1</v>
      </c>
      <c r="BP55" t="s">
        <v>208</v>
      </c>
      <c r="BQ55" t="s">
        <v>222</v>
      </c>
    </row>
    <row r="56" ht="18" customHeight="1" spans="1:69" x14ac:dyDescent="0.25">
      <c r="A56" s="9"/>
      <c r="B56" s="9"/>
      <c r="C56" s="9"/>
      <c r="D56" s="9"/>
      <c r="E56" s="9"/>
      <c r="F56" s="10"/>
      <c r="G56" s="10"/>
      <c r="H56" s="9" t="s">
        <v>139</v>
      </c>
      <c r="I56" s="9"/>
      <c r="J56" s="9"/>
      <c r="K56" s="9"/>
      <c r="L56" s="9"/>
      <c r="M56" s="9"/>
      <c r="N56" s="9"/>
      <c r="O56" s="10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t="s">
        <v>208</v>
      </c>
      <c r="BQ56" t="s">
        <v>222</v>
      </c>
    </row>
    <row r="57" ht="28" customHeight="1" spans="1:69" x14ac:dyDescent="0.25">
      <c r="A57" s="9"/>
      <c r="B57" s="9"/>
      <c r="C57" s="9"/>
      <c r="D57" s="9"/>
      <c r="E57" s="9"/>
      <c r="F57" s="10" t="s">
        <v>223</v>
      </c>
      <c r="G57" s="10" t="s">
        <v>148</v>
      </c>
      <c r="H57" s="9" t="s">
        <v>136</v>
      </c>
      <c r="I57" s="9">
        <v>1</v>
      </c>
      <c r="J57" s="9">
        <v>120</v>
      </c>
      <c r="K57" s="9" t="s">
        <v>198</v>
      </c>
      <c r="L57" s="9" t="s">
        <v>9</v>
      </c>
      <c r="M57" s="9"/>
      <c r="N57" s="9" t="s">
        <v>162</v>
      </c>
      <c r="O57" s="10"/>
      <c r="P57" s="13"/>
      <c r="Q57" s="11">
        <v>1</v>
      </c>
      <c r="R57" s="11">
        <v>1</v>
      </c>
      <c r="S57" s="11">
        <v>1</v>
      </c>
      <c r="T57" s="11">
        <v>1</v>
      </c>
      <c r="U57" s="11">
        <v>1</v>
      </c>
      <c r="V57" s="11">
        <v>1</v>
      </c>
      <c r="W57" s="11">
        <v>1</v>
      </c>
      <c r="X57" s="11">
        <v>1</v>
      </c>
      <c r="Y57" s="11">
        <v>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1">
        <v>1</v>
      </c>
      <c r="AG57" s="11">
        <v>1</v>
      </c>
      <c r="AH57" s="11">
        <v>1</v>
      </c>
      <c r="AI57" s="11">
        <v>1</v>
      </c>
      <c r="AJ57" s="11">
        <v>1</v>
      </c>
      <c r="AK57" s="11">
        <v>1</v>
      </c>
      <c r="AL57" s="11">
        <v>1</v>
      </c>
      <c r="AM57" s="11">
        <v>1</v>
      </c>
      <c r="AN57" s="11">
        <v>1</v>
      </c>
      <c r="AO57" s="11">
        <v>1</v>
      </c>
      <c r="AP57" s="11">
        <v>1</v>
      </c>
      <c r="AQ57" s="11">
        <v>1</v>
      </c>
      <c r="AR57" s="11">
        <v>1</v>
      </c>
      <c r="AS57" s="11">
        <v>1</v>
      </c>
      <c r="AT57" s="11">
        <v>1</v>
      </c>
      <c r="AU57" s="11">
        <v>1</v>
      </c>
      <c r="AV57" s="11">
        <v>1</v>
      </c>
      <c r="AW57" s="11">
        <v>1</v>
      </c>
      <c r="AX57" s="11">
        <v>1</v>
      </c>
      <c r="AY57" s="11">
        <v>1</v>
      </c>
      <c r="AZ57" s="11">
        <v>1</v>
      </c>
      <c r="BA57" s="11">
        <v>1</v>
      </c>
      <c r="BB57" s="11">
        <v>1</v>
      </c>
      <c r="BC57" s="11">
        <v>1</v>
      </c>
      <c r="BD57" s="11">
        <v>1</v>
      </c>
      <c r="BE57" s="11">
        <v>1</v>
      </c>
      <c r="BF57" s="11">
        <v>1</v>
      </c>
      <c r="BG57" s="11">
        <v>1</v>
      </c>
      <c r="BH57" s="11">
        <v>1</v>
      </c>
      <c r="BI57" s="11">
        <v>1</v>
      </c>
      <c r="BJ57" s="11">
        <v>1</v>
      </c>
      <c r="BK57" s="11">
        <v>1</v>
      </c>
      <c r="BL57" s="11">
        <v>1</v>
      </c>
      <c r="BM57" s="11">
        <v>1</v>
      </c>
      <c r="BN57" s="11">
        <v>1</v>
      </c>
      <c r="BO57" s="11">
        <v>1</v>
      </c>
      <c r="BP57" t="s">
        <v>208</v>
      </c>
      <c r="BQ57" t="s">
        <v>224</v>
      </c>
    </row>
    <row r="58" ht="18" customHeight="1" spans="1:69" x14ac:dyDescent="0.25">
      <c r="A58" s="9"/>
      <c r="B58" s="9"/>
      <c r="C58" s="9"/>
      <c r="D58" s="9"/>
      <c r="E58" s="9"/>
      <c r="F58" s="10"/>
      <c r="G58" s="10"/>
      <c r="H58" s="9" t="s">
        <v>139</v>
      </c>
      <c r="I58" s="9"/>
      <c r="J58" s="9"/>
      <c r="K58" s="9"/>
      <c r="L58" s="9"/>
      <c r="M58" s="9"/>
      <c r="N58" s="9"/>
      <c r="O58" s="10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t="s">
        <v>208</v>
      </c>
      <c r="BQ58" t="s">
        <v>224</v>
      </c>
    </row>
    <row r="59" ht="28" customHeight="1" spans="1:69" x14ac:dyDescent="0.25">
      <c r="A59" s="9"/>
      <c r="B59" s="9"/>
      <c r="C59" s="9"/>
      <c r="D59" s="9"/>
      <c r="E59" s="9"/>
      <c r="F59" s="10" t="s">
        <v>174</v>
      </c>
      <c r="G59" s="10" t="s">
        <v>225</v>
      </c>
      <c r="H59" s="9" t="s">
        <v>136</v>
      </c>
      <c r="I59" s="9">
        <v>1</v>
      </c>
      <c r="J59" s="9">
        <v>1</v>
      </c>
      <c r="K59" s="9" t="s">
        <v>4</v>
      </c>
      <c r="L59" s="9" t="s">
        <v>137</v>
      </c>
      <c r="M59" s="9"/>
      <c r="N59" s="9"/>
      <c r="O59" s="10"/>
      <c r="P59" s="11">
        <v>1</v>
      </c>
      <c r="Q59" s="11">
        <v>1</v>
      </c>
      <c r="R59" s="11">
        <v>1</v>
      </c>
      <c r="S59" s="11">
        <v>1</v>
      </c>
      <c r="T59" s="11">
        <v>1</v>
      </c>
      <c r="U59" s="11">
        <v>1</v>
      </c>
      <c r="V59" s="11">
        <v>1</v>
      </c>
      <c r="W59" s="11">
        <v>1</v>
      </c>
      <c r="X59" s="11">
        <v>1</v>
      </c>
      <c r="Y59" s="11">
        <v>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1">
        <v>1</v>
      </c>
      <c r="AG59" s="11">
        <v>1</v>
      </c>
      <c r="AH59" s="11">
        <v>1</v>
      </c>
      <c r="AI59" s="11">
        <v>1</v>
      </c>
      <c r="AJ59" s="11">
        <v>1</v>
      </c>
      <c r="AK59" s="11">
        <v>1</v>
      </c>
      <c r="AL59" s="11">
        <v>1</v>
      </c>
      <c r="AM59" s="11">
        <v>1</v>
      </c>
      <c r="AN59" s="11">
        <v>1</v>
      </c>
      <c r="AO59" s="11">
        <v>1</v>
      </c>
      <c r="AP59" s="11">
        <v>1</v>
      </c>
      <c r="AQ59" s="11">
        <v>1</v>
      </c>
      <c r="AR59" s="11">
        <v>1</v>
      </c>
      <c r="AS59" s="11">
        <v>1</v>
      </c>
      <c r="AT59" s="11">
        <v>1</v>
      </c>
      <c r="AU59" s="11">
        <v>1</v>
      </c>
      <c r="AV59" s="11">
        <v>1</v>
      </c>
      <c r="AW59" s="11">
        <v>1</v>
      </c>
      <c r="AX59" s="11">
        <v>1</v>
      </c>
      <c r="AY59" s="11">
        <v>1</v>
      </c>
      <c r="AZ59" s="11">
        <v>1</v>
      </c>
      <c r="BA59" s="11">
        <v>1</v>
      </c>
      <c r="BB59" s="11">
        <v>1</v>
      </c>
      <c r="BC59" s="11">
        <v>1</v>
      </c>
      <c r="BD59" s="11">
        <v>1</v>
      </c>
      <c r="BE59" s="11">
        <v>1</v>
      </c>
      <c r="BF59" s="11">
        <v>1</v>
      </c>
      <c r="BG59" s="11">
        <v>1</v>
      </c>
      <c r="BH59" s="11">
        <v>1</v>
      </c>
      <c r="BI59" s="11">
        <v>1</v>
      </c>
      <c r="BJ59" s="11">
        <v>1</v>
      </c>
      <c r="BK59" s="11">
        <v>1</v>
      </c>
      <c r="BL59" s="11">
        <v>1</v>
      </c>
      <c r="BM59" s="11">
        <v>1</v>
      </c>
      <c r="BN59" s="11">
        <v>1</v>
      </c>
      <c r="BO59" s="11">
        <v>1</v>
      </c>
      <c r="BP59" t="s">
        <v>208</v>
      </c>
      <c r="BQ59" t="s">
        <v>226</v>
      </c>
    </row>
    <row r="60" ht="18" customHeight="1" spans="1:69" x14ac:dyDescent="0.25">
      <c r="A60" s="9"/>
      <c r="B60" s="9"/>
      <c r="C60" s="9"/>
      <c r="D60" s="9"/>
      <c r="E60" s="9"/>
      <c r="F60" s="10"/>
      <c r="G60" s="10"/>
      <c r="H60" s="9" t="s">
        <v>139</v>
      </c>
      <c r="I60" s="9"/>
      <c r="J60" s="9"/>
      <c r="K60" s="9"/>
      <c r="L60" s="9"/>
      <c r="M60" s="9"/>
      <c r="N60" s="9"/>
      <c r="O60" s="10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t="s">
        <v>208</v>
      </c>
      <c r="BQ60" t="s">
        <v>226</v>
      </c>
    </row>
    <row r="61" ht="28" customHeight="1" spans="1:69" x14ac:dyDescent="0.25">
      <c r="A61" s="9"/>
      <c r="B61" s="9"/>
      <c r="C61" s="9"/>
      <c r="D61" s="9"/>
      <c r="E61" s="9"/>
      <c r="F61" s="10" t="s">
        <v>227</v>
      </c>
      <c r="G61" s="10" t="s">
        <v>228</v>
      </c>
      <c r="H61" s="9" t="s">
        <v>136</v>
      </c>
      <c r="I61" s="9">
        <v>1</v>
      </c>
      <c r="J61" s="9">
        <v>1</v>
      </c>
      <c r="K61" s="9" t="s">
        <v>4</v>
      </c>
      <c r="L61" s="9" t="s">
        <v>137</v>
      </c>
      <c r="M61" s="9"/>
      <c r="N61" s="9"/>
      <c r="O61" s="10"/>
      <c r="P61" s="11">
        <v>1</v>
      </c>
      <c r="Q61" s="11">
        <v>1</v>
      </c>
      <c r="R61" s="11">
        <v>1</v>
      </c>
      <c r="S61" s="11">
        <v>1</v>
      </c>
      <c r="T61" s="11">
        <v>1</v>
      </c>
      <c r="U61" s="11">
        <v>1</v>
      </c>
      <c r="V61" s="11">
        <v>1</v>
      </c>
      <c r="W61" s="11">
        <v>1</v>
      </c>
      <c r="X61" s="11">
        <v>1</v>
      </c>
      <c r="Y61" s="11">
        <v>1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1">
        <v>1</v>
      </c>
      <c r="AG61" s="11">
        <v>1</v>
      </c>
      <c r="AH61" s="11">
        <v>1</v>
      </c>
      <c r="AI61" s="11">
        <v>1</v>
      </c>
      <c r="AJ61" s="11">
        <v>1</v>
      </c>
      <c r="AK61" s="11">
        <v>1</v>
      </c>
      <c r="AL61" s="11">
        <v>1</v>
      </c>
      <c r="AM61" s="11">
        <v>1</v>
      </c>
      <c r="AN61" s="11">
        <v>1</v>
      </c>
      <c r="AO61" s="11">
        <v>1</v>
      </c>
      <c r="AP61" s="11">
        <v>1</v>
      </c>
      <c r="AQ61" s="11">
        <v>1</v>
      </c>
      <c r="AR61" s="11">
        <v>1</v>
      </c>
      <c r="AS61" s="11">
        <v>1</v>
      </c>
      <c r="AT61" s="11">
        <v>1</v>
      </c>
      <c r="AU61" s="11">
        <v>1</v>
      </c>
      <c r="AV61" s="11">
        <v>1</v>
      </c>
      <c r="AW61" s="11">
        <v>1</v>
      </c>
      <c r="AX61" s="11">
        <v>1</v>
      </c>
      <c r="AY61" s="11">
        <v>1</v>
      </c>
      <c r="AZ61" s="11">
        <v>1</v>
      </c>
      <c r="BA61" s="11">
        <v>1</v>
      </c>
      <c r="BB61" s="11">
        <v>1</v>
      </c>
      <c r="BC61" s="11">
        <v>1</v>
      </c>
      <c r="BD61" s="11">
        <v>1</v>
      </c>
      <c r="BE61" s="11">
        <v>1</v>
      </c>
      <c r="BF61" s="11">
        <v>1</v>
      </c>
      <c r="BG61" s="11">
        <v>1</v>
      </c>
      <c r="BH61" s="11">
        <v>1</v>
      </c>
      <c r="BI61" s="11">
        <v>1</v>
      </c>
      <c r="BJ61" s="11">
        <v>1</v>
      </c>
      <c r="BK61" s="11">
        <v>1</v>
      </c>
      <c r="BL61" s="11">
        <v>1</v>
      </c>
      <c r="BM61" s="11">
        <v>1</v>
      </c>
      <c r="BN61" s="11">
        <v>1</v>
      </c>
      <c r="BO61" s="11">
        <v>1</v>
      </c>
      <c r="BP61" t="s">
        <v>208</v>
      </c>
      <c r="BQ61" t="s">
        <v>229</v>
      </c>
    </row>
    <row r="62" ht="18" customHeight="1" spans="1:69" x14ac:dyDescent="0.25">
      <c r="A62" s="9"/>
      <c r="B62" s="9"/>
      <c r="C62" s="9"/>
      <c r="D62" s="9"/>
      <c r="E62" s="9"/>
      <c r="F62" s="10"/>
      <c r="G62" s="10"/>
      <c r="H62" s="9" t="s">
        <v>139</v>
      </c>
      <c r="I62" s="9"/>
      <c r="J62" s="9"/>
      <c r="K62" s="9"/>
      <c r="L62" s="9"/>
      <c r="M62" s="9"/>
      <c r="N62" s="9"/>
      <c r="O62" s="10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t="s">
        <v>208</v>
      </c>
      <c r="BQ62" t="s">
        <v>229</v>
      </c>
    </row>
    <row r="63" ht="28" customHeight="1" spans="1:69" x14ac:dyDescent="0.25">
      <c r="A63" s="9"/>
      <c r="B63" s="9"/>
      <c r="C63" s="9"/>
      <c r="D63" s="9"/>
      <c r="E63" s="9"/>
      <c r="F63" s="10" t="s">
        <v>230</v>
      </c>
      <c r="G63" s="10" t="s">
        <v>201</v>
      </c>
      <c r="H63" s="9" t="s">
        <v>136</v>
      </c>
      <c r="I63" s="9">
        <v>5</v>
      </c>
      <c r="J63" s="9">
        <v>5000</v>
      </c>
      <c r="K63" s="9" t="s">
        <v>202</v>
      </c>
      <c r="L63" s="9" t="s">
        <v>9</v>
      </c>
      <c r="M63" s="9"/>
      <c r="N63" s="9" t="s">
        <v>203</v>
      </c>
      <c r="O63" s="10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4">
        <v>5</v>
      </c>
      <c r="BG63" s="13"/>
      <c r="BH63" s="13"/>
      <c r="BI63" s="13"/>
      <c r="BJ63" s="13"/>
      <c r="BK63" s="13"/>
      <c r="BL63" s="13"/>
      <c r="BM63" s="13"/>
      <c r="BN63" s="13"/>
      <c r="BO63" s="13"/>
      <c r="BP63" t="s">
        <v>208</v>
      </c>
      <c r="BQ63" t="s">
        <v>231</v>
      </c>
    </row>
    <row r="64" ht="18" customHeight="1" spans="1:69" x14ac:dyDescent="0.25">
      <c r="A64" s="9"/>
      <c r="B64" s="9"/>
      <c r="C64" s="9"/>
      <c r="D64" s="9"/>
      <c r="E64" s="9"/>
      <c r="F64" s="10"/>
      <c r="G64" s="10"/>
      <c r="H64" s="9" t="s">
        <v>139</v>
      </c>
      <c r="I64" s="9"/>
      <c r="J64" s="9"/>
      <c r="K64" s="9"/>
      <c r="L64" s="9"/>
      <c r="M64" s="9"/>
      <c r="N64" s="9"/>
      <c r="O64" s="10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t="s">
        <v>208</v>
      </c>
      <c r="BQ64" t="s">
        <v>231</v>
      </c>
    </row>
    <row r="65" ht="28" customHeight="1" spans="1:69" x14ac:dyDescent="0.25">
      <c r="A65" s="9"/>
      <c r="B65" s="9" t="s">
        <v>232</v>
      </c>
      <c r="C65" s="9" t="s">
        <v>233</v>
      </c>
      <c r="D65" s="9" t="s">
        <v>234</v>
      </c>
      <c r="E65" s="9" t="s">
        <v>168</v>
      </c>
      <c r="F65" s="10" t="s">
        <v>235</v>
      </c>
      <c r="G65" s="10" t="s">
        <v>169</v>
      </c>
      <c r="H65" s="9" t="s">
        <v>136</v>
      </c>
      <c r="I65" s="9">
        <v>1</v>
      </c>
      <c r="J65" s="9">
        <v>1</v>
      </c>
      <c r="K65" s="9" t="s">
        <v>4</v>
      </c>
      <c r="L65" s="9" t="s">
        <v>137</v>
      </c>
      <c r="M65" s="9"/>
      <c r="N65" s="9"/>
      <c r="O65" s="10"/>
      <c r="P65" s="11">
        <v>1</v>
      </c>
      <c r="Q65" s="11">
        <v>1</v>
      </c>
      <c r="R65" s="11">
        <v>1</v>
      </c>
      <c r="S65" s="11">
        <v>1</v>
      </c>
      <c r="T65" s="11">
        <v>1</v>
      </c>
      <c r="U65" s="11">
        <v>1</v>
      </c>
      <c r="V65" s="11">
        <v>1</v>
      </c>
      <c r="W65" s="11">
        <v>1</v>
      </c>
      <c r="X65" s="11">
        <v>1</v>
      </c>
      <c r="Y65" s="11">
        <v>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1">
        <v>1</v>
      </c>
      <c r="AG65" s="11">
        <v>1</v>
      </c>
      <c r="AH65" s="11">
        <v>1</v>
      </c>
      <c r="AI65" s="11">
        <v>1</v>
      </c>
      <c r="AJ65" s="11">
        <v>1</v>
      </c>
      <c r="AK65" s="11">
        <v>1</v>
      </c>
      <c r="AL65" s="11">
        <v>1</v>
      </c>
      <c r="AM65" s="11">
        <v>1</v>
      </c>
      <c r="AN65" s="11">
        <v>1</v>
      </c>
      <c r="AO65" s="11">
        <v>1</v>
      </c>
      <c r="AP65" s="11">
        <v>1</v>
      </c>
      <c r="AQ65" s="11">
        <v>1</v>
      </c>
      <c r="AR65" s="11">
        <v>1</v>
      </c>
      <c r="AS65" s="11">
        <v>1</v>
      </c>
      <c r="AT65" s="11">
        <v>1</v>
      </c>
      <c r="AU65" s="11">
        <v>1</v>
      </c>
      <c r="AV65" s="11">
        <v>1</v>
      </c>
      <c r="AW65" s="11">
        <v>1</v>
      </c>
      <c r="AX65" s="11">
        <v>1</v>
      </c>
      <c r="AY65" s="11">
        <v>1</v>
      </c>
      <c r="AZ65" s="11">
        <v>1</v>
      </c>
      <c r="BA65" s="11">
        <v>1</v>
      </c>
      <c r="BB65" s="11">
        <v>1</v>
      </c>
      <c r="BC65" s="11">
        <v>1</v>
      </c>
      <c r="BD65" s="11">
        <v>1</v>
      </c>
      <c r="BE65" s="11">
        <v>1</v>
      </c>
      <c r="BF65" s="11">
        <v>1</v>
      </c>
      <c r="BG65" s="11">
        <v>1</v>
      </c>
      <c r="BH65" s="11">
        <v>1</v>
      </c>
      <c r="BI65" s="11">
        <v>1</v>
      </c>
      <c r="BJ65" s="11">
        <v>1</v>
      </c>
      <c r="BK65" s="11">
        <v>1</v>
      </c>
      <c r="BL65" s="11">
        <v>1</v>
      </c>
      <c r="BM65" s="11">
        <v>1</v>
      </c>
      <c r="BN65" s="11">
        <v>1</v>
      </c>
      <c r="BO65" s="11">
        <v>1</v>
      </c>
      <c r="BP65" t="s">
        <v>232</v>
      </c>
      <c r="BQ65" t="s">
        <v>236</v>
      </c>
    </row>
    <row r="66" ht="18" customHeight="1" spans="1:69" x14ac:dyDescent="0.25">
      <c r="A66" s="9"/>
      <c r="B66" s="9"/>
      <c r="C66" s="9"/>
      <c r="D66" s="9"/>
      <c r="E66" s="9"/>
      <c r="F66" s="10"/>
      <c r="G66" s="10"/>
      <c r="H66" s="9" t="s">
        <v>139</v>
      </c>
      <c r="I66" s="9"/>
      <c r="J66" s="9"/>
      <c r="K66" s="9"/>
      <c r="L66" s="9"/>
      <c r="M66" s="9"/>
      <c r="N66" s="9"/>
      <c r="O66" s="10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t="s">
        <v>232</v>
      </c>
      <c r="BQ66" t="s">
        <v>236</v>
      </c>
    </row>
    <row r="67" ht="28" customHeight="1" spans="1:69" x14ac:dyDescent="0.25">
      <c r="A67" s="9"/>
      <c r="B67" s="9"/>
      <c r="C67" s="9"/>
      <c r="D67" s="9"/>
      <c r="E67" s="9"/>
      <c r="F67" s="10" t="s">
        <v>237</v>
      </c>
      <c r="G67" s="10" t="s">
        <v>144</v>
      </c>
      <c r="H67" s="9" t="s">
        <v>136</v>
      </c>
      <c r="I67" s="9">
        <v>5</v>
      </c>
      <c r="J67" s="9">
        <v>10000</v>
      </c>
      <c r="K67" s="9" t="s">
        <v>145</v>
      </c>
      <c r="L67" s="9" t="s">
        <v>9</v>
      </c>
      <c r="M67" s="9"/>
      <c r="N67" s="9"/>
      <c r="O67" s="10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t="s">
        <v>232</v>
      </c>
      <c r="BQ67" t="s">
        <v>238</v>
      </c>
    </row>
    <row r="68" ht="18" customHeight="1" spans="1:69" x14ac:dyDescent="0.25">
      <c r="A68" s="9"/>
      <c r="B68" s="9"/>
      <c r="C68" s="9"/>
      <c r="D68" s="9"/>
      <c r="E68" s="9"/>
      <c r="F68" s="10"/>
      <c r="G68" s="10"/>
      <c r="H68" s="9" t="s">
        <v>139</v>
      </c>
      <c r="I68" s="9"/>
      <c r="J68" s="9"/>
      <c r="K68" s="9"/>
      <c r="L68" s="9"/>
      <c r="M68" s="9"/>
      <c r="N68" s="9"/>
      <c r="O68" s="10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t="s">
        <v>232</v>
      </c>
      <c r="BQ68" t="s">
        <v>238</v>
      </c>
    </row>
    <row r="69" ht="28" customHeight="1" spans="1:69" x14ac:dyDescent="0.25">
      <c r="A69" s="9"/>
      <c r="B69" s="9"/>
      <c r="C69" s="9"/>
      <c r="D69" s="9"/>
      <c r="E69" s="9"/>
      <c r="F69" s="10" t="s">
        <v>239</v>
      </c>
      <c r="G69" s="10" t="s">
        <v>183</v>
      </c>
      <c r="H69" s="9" t="s">
        <v>136</v>
      </c>
      <c r="I69" s="9">
        <v>1</v>
      </c>
      <c r="J69" s="9">
        <v>8</v>
      </c>
      <c r="K69" s="9" t="s">
        <v>240</v>
      </c>
      <c r="L69" s="9" t="s">
        <v>9</v>
      </c>
      <c r="M69" s="9"/>
      <c r="N69" s="9" t="s">
        <v>162</v>
      </c>
      <c r="O69" s="10"/>
      <c r="P69" s="13"/>
      <c r="Q69" s="11">
        <v>1</v>
      </c>
      <c r="R69" s="11">
        <v>1</v>
      </c>
      <c r="S69" s="11">
        <v>1</v>
      </c>
      <c r="T69" s="11">
        <v>1</v>
      </c>
      <c r="U69" s="11">
        <v>1</v>
      </c>
      <c r="V69" s="11">
        <v>1</v>
      </c>
      <c r="W69" s="11">
        <v>1</v>
      </c>
      <c r="X69" s="11">
        <v>1</v>
      </c>
      <c r="Y69" s="11">
        <v>1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1">
        <v>1</v>
      </c>
      <c r="AG69" s="11">
        <v>1</v>
      </c>
      <c r="AH69" s="11">
        <v>1</v>
      </c>
      <c r="AI69" s="11">
        <v>1</v>
      </c>
      <c r="AJ69" s="11">
        <v>1</v>
      </c>
      <c r="AK69" s="11">
        <v>1</v>
      </c>
      <c r="AL69" s="11">
        <v>1</v>
      </c>
      <c r="AM69" s="11">
        <v>1</v>
      </c>
      <c r="AN69" s="11">
        <v>1</v>
      </c>
      <c r="AO69" s="11">
        <v>1</v>
      </c>
      <c r="AP69" s="11">
        <v>1</v>
      </c>
      <c r="AQ69" s="11">
        <v>1</v>
      </c>
      <c r="AR69" s="11">
        <v>1</v>
      </c>
      <c r="AS69" s="11">
        <v>1</v>
      </c>
      <c r="AT69" s="11">
        <v>1</v>
      </c>
      <c r="AU69" s="11">
        <v>1</v>
      </c>
      <c r="AV69" s="11">
        <v>1</v>
      </c>
      <c r="AW69" s="11">
        <v>1</v>
      </c>
      <c r="AX69" s="11">
        <v>1</v>
      </c>
      <c r="AY69" s="11">
        <v>1</v>
      </c>
      <c r="AZ69" s="11">
        <v>1</v>
      </c>
      <c r="BA69" s="11">
        <v>1</v>
      </c>
      <c r="BB69" s="11">
        <v>1</v>
      </c>
      <c r="BC69" s="11">
        <v>1</v>
      </c>
      <c r="BD69" s="11">
        <v>1</v>
      </c>
      <c r="BE69" s="11">
        <v>1</v>
      </c>
      <c r="BF69" s="11">
        <v>1</v>
      </c>
      <c r="BG69" s="11">
        <v>1</v>
      </c>
      <c r="BH69" s="11">
        <v>1</v>
      </c>
      <c r="BI69" s="11">
        <v>1</v>
      </c>
      <c r="BJ69" s="11">
        <v>1</v>
      </c>
      <c r="BK69" s="11">
        <v>1</v>
      </c>
      <c r="BL69" s="11">
        <v>1</v>
      </c>
      <c r="BM69" s="11">
        <v>1</v>
      </c>
      <c r="BN69" s="11">
        <v>1</v>
      </c>
      <c r="BO69" s="11">
        <v>1</v>
      </c>
      <c r="BP69" t="s">
        <v>232</v>
      </c>
      <c r="BQ69" t="s">
        <v>241</v>
      </c>
    </row>
    <row r="70" ht="18" customHeight="1" spans="1:69" x14ac:dyDescent="0.25">
      <c r="A70" s="9"/>
      <c r="B70" s="9"/>
      <c r="C70" s="9"/>
      <c r="D70" s="9"/>
      <c r="E70" s="9"/>
      <c r="F70" s="10"/>
      <c r="G70" s="10"/>
      <c r="H70" s="9" t="s">
        <v>139</v>
      </c>
      <c r="I70" s="9"/>
      <c r="J70" s="9"/>
      <c r="K70" s="9"/>
      <c r="L70" s="9"/>
      <c r="M70" s="9"/>
      <c r="N70" s="9"/>
      <c r="O70" s="10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t="s">
        <v>232</v>
      </c>
      <c r="BQ70" t="s">
        <v>241</v>
      </c>
    </row>
    <row r="71" ht="28" customHeight="1" spans="1:69" x14ac:dyDescent="0.25">
      <c r="A71" s="9"/>
      <c r="B71" s="9"/>
      <c r="C71" s="9"/>
      <c r="D71" s="9"/>
      <c r="E71" s="9"/>
      <c r="F71" s="10" t="s">
        <v>242</v>
      </c>
      <c r="G71" s="10" t="s">
        <v>183</v>
      </c>
      <c r="H71" s="9" t="s">
        <v>136</v>
      </c>
      <c r="I71" s="9">
        <v>1</v>
      </c>
      <c r="J71" s="9">
        <v>40</v>
      </c>
      <c r="K71" s="9" t="s">
        <v>161</v>
      </c>
      <c r="L71" s="9" t="s">
        <v>9</v>
      </c>
      <c r="M71" s="9"/>
      <c r="N71" s="9" t="s">
        <v>162</v>
      </c>
      <c r="O71" s="10"/>
      <c r="P71" s="13"/>
      <c r="Q71" s="11">
        <v>1</v>
      </c>
      <c r="R71" s="11">
        <v>1</v>
      </c>
      <c r="S71" s="11">
        <v>1</v>
      </c>
      <c r="T71" s="11">
        <v>1</v>
      </c>
      <c r="U71" s="11">
        <v>1</v>
      </c>
      <c r="V71" s="11">
        <v>1</v>
      </c>
      <c r="W71" s="11">
        <v>1</v>
      </c>
      <c r="X71" s="11">
        <v>1</v>
      </c>
      <c r="Y71" s="11">
        <v>1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1">
        <v>1</v>
      </c>
      <c r="AG71" s="11">
        <v>1</v>
      </c>
      <c r="AH71" s="11">
        <v>1</v>
      </c>
      <c r="AI71" s="11">
        <v>1</v>
      </c>
      <c r="AJ71" s="11">
        <v>1</v>
      </c>
      <c r="AK71" s="11">
        <v>1</v>
      </c>
      <c r="AL71" s="11">
        <v>1</v>
      </c>
      <c r="AM71" s="11">
        <v>1</v>
      </c>
      <c r="AN71" s="11">
        <v>1</v>
      </c>
      <c r="AO71" s="11">
        <v>1</v>
      </c>
      <c r="AP71" s="11">
        <v>1</v>
      </c>
      <c r="AQ71" s="11">
        <v>1</v>
      </c>
      <c r="AR71" s="11">
        <v>1</v>
      </c>
      <c r="AS71" s="11">
        <v>1</v>
      </c>
      <c r="AT71" s="11">
        <v>1</v>
      </c>
      <c r="AU71" s="11">
        <v>1</v>
      </c>
      <c r="AV71" s="11">
        <v>1</v>
      </c>
      <c r="AW71" s="11">
        <v>1</v>
      </c>
      <c r="AX71" s="11">
        <v>1</v>
      </c>
      <c r="AY71" s="11">
        <v>1</v>
      </c>
      <c r="AZ71" s="11">
        <v>1</v>
      </c>
      <c r="BA71" s="11">
        <v>1</v>
      </c>
      <c r="BB71" s="11">
        <v>1</v>
      </c>
      <c r="BC71" s="11">
        <v>1</v>
      </c>
      <c r="BD71" s="11">
        <v>1</v>
      </c>
      <c r="BE71" s="11">
        <v>1</v>
      </c>
      <c r="BF71" s="11">
        <v>1</v>
      </c>
      <c r="BG71" s="11">
        <v>1</v>
      </c>
      <c r="BH71" s="11">
        <v>1</v>
      </c>
      <c r="BI71" s="11">
        <v>1</v>
      </c>
      <c r="BJ71" s="11">
        <v>1</v>
      </c>
      <c r="BK71" s="11">
        <v>1</v>
      </c>
      <c r="BL71" s="11">
        <v>1</v>
      </c>
      <c r="BM71" s="11">
        <v>1</v>
      </c>
      <c r="BN71" s="11">
        <v>1</v>
      </c>
      <c r="BO71" s="11">
        <v>1</v>
      </c>
      <c r="BP71" t="s">
        <v>232</v>
      </c>
      <c r="BQ71" t="s">
        <v>243</v>
      </c>
    </row>
    <row r="72" ht="18" customHeight="1" spans="1:69" x14ac:dyDescent="0.25">
      <c r="A72" s="9"/>
      <c r="B72" s="9"/>
      <c r="C72" s="9"/>
      <c r="D72" s="9"/>
      <c r="E72" s="9"/>
      <c r="F72" s="10"/>
      <c r="G72" s="10"/>
      <c r="H72" s="9" t="s">
        <v>139</v>
      </c>
      <c r="I72" s="9"/>
      <c r="J72" s="9"/>
      <c r="K72" s="9"/>
      <c r="L72" s="9"/>
      <c r="M72" s="9"/>
      <c r="N72" s="9"/>
      <c r="O72" s="10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t="s">
        <v>232</v>
      </c>
      <c r="BQ72" t="s">
        <v>243</v>
      </c>
    </row>
    <row r="73" ht="28" customHeight="1" spans="1:69" x14ac:dyDescent="0.25">
      <c r="A73" s="9"/>
      <c r="B73" s="9"/>
      <c r="C73" s="9"/>
      <c r="D73" s="9"/>
      <c r="E73" s="9"/>
      <c r="F73" s="10" t="s">
        <v>244</v>
      </c>
      <c r="G73" s="10" t="s">
        <v>183</v>
      </c>
      <c r="H73" s="9" t="s">
        <v>136</v>
      </c>
      <c r="I73" s="9">
        <v>1</v>
      </c>
      <c r="J73" s="9">
        <v>120</v>
      </c>
      <c r="K73" s="9" t="s">
        <v>198</v>
      </c>
      <c r="L73" s="9" t="s">
        <v>9</v>
      </c>
      <c r="M73" s="9"/>
      <c r="N73" s="9" t="s">
        <v>162</v>
      </c>
      <c r="O73" s="10"/>
      <c r="P73" s="13"/>
      <c r="Q73" s="11">
        <v>1</v>
      </c>
      <c r="R73" s="11">
        <v>1</v>
      </c>
      <c r="S73" s="11">
        <v>1</v>
      </c>
      <c r="T73" s="11">
        <v>1</v>
      </c>
      <c r="U73" s="11">
        <v>1</v>
      </c>
      <c r="V73" s="11">
        <v>1</v>
      </c>
      <c r="W73" s="11">
        <v>1</v>
      </c>
      <c r="X73" s="11">
        <v>1</v>
      </c>
      <c r="Y73" s="11">
        <v>1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11">
        <v>1</v>
      </c>
      <c r="AG73" s="11">
        <v>1</v>
      </c>
      <c r="AH73" s="11">
        <v>1</v>
      </c>
      <c r="AI73" s="11">
        <v>1</v>
      </c>
      <c r="AJ73" s="11">
        <v>1</v>
      </c>
      <c r="AK73" s="11">
        <v>1</v>
      </c>
      <c r="AL73" s="11">
        <v>1</v>
      </c>
      <c r="AM73" s="11">
        <v>1</v>
      </c>
      <c r="AN73" s="11">
        <v>1</v>
      </c>
      <c r="AO73" s="11">
        <v>1</v>
      </c>
      <c r="AP73" s="11">
        <v>1</v>
      </c>
      <c r="AQ73" s="11">
        <v>1</v>
      </c>
      <c r="AR73" s="11">
        <v>1</v>
      </c>
      <c r="AS73" s="11">
        <v>1</v>
      </c>
      <c r="AT73" s="11">
        <v>1</v>
      </c>
      <c r="AU73" s="11">
        <v>1</v>
      </c>
      <c r="AV73" s="11">
        <v>1</v>
      </c>
      <c r="AW73" s="11">
        <v>1</v>
      </c>
      <c r="AX73" s="11">
        <v>1</v>
      </c>
      <c r="AY73" s="11">
        <v>1</v>
      </c>
      <c r="AZ73" s="11">
        <v>1</v>
      </c>
      <c r="BA73" s="11">
        <v>1</v>
      </c>
      <c r="BB73" s="11">
        <v>1</v>
      </c>
      <c r="BC73" s="11">
        <v>1</v>
      </c>
      <c r="BD73" s="11">
        <v>1</v>
      </c>
      <c r="BE73" s="11">
        <v>1</v>
      </c>
      <c r="BF73" s="11">
        <v>1</v>
      </c>
      <c r="BG73" s="11">
        <v>1</v>
      </c>
      <c r="BH73" s="11">
        <v>1</v>
      </c>
      <c r="BI73" s="11">
        <v>1</v>
      </c>
      <c r="BJ73" s="11">
        <v>1</v>
      </c>
      <c r="BK73" s="11">
        <v>1</v>
      </c>
      <c r="BL73" s="11">
        <v>1</v>
      </c>
      <c r="BM73" s="11">
        <v>1</v>
      </c>
      <c r="BN73" s="11">
        <v>1</v>
      </c>
      <c r="BO73" s="11">
        <v>1</v>
      </c>
      <c r="BP73" t="s">
        <v>232</v>
      </c>
      <c r="BQ73" t="s">
        <v>245</v>
      </c>
    </row>
    <row r="74" ht="18" customHeight="1" spans="1:69" x14ac:dyDescent="0.25">
      <c r="A74" s="9"/>
      <c r="B74" s="9"/>
      <c r="C74" s="9"/>
      <c r="D74" s="9"/>
      <c r="E74" s="9"/>
      <c r="F74" s="10"/>
      <c r="G74" s="10"/>
      <c r="H74" s="9" t="s">
        <v>139</v>
      </c>
      <c r="I74" s="9"/>
      <c r="J74" s="9"/>
      <c r="K74" s="9"/>
      <c r="L74" s="9"/>
      <c r="M74" s="9"/>
      <c r="N74" s="9"/>
      <c r="O74" s="10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t="s">
        <v>232</v>
      </c>
      <c r="BQ74" t="s">
        <v>245</v>
      </c>
    </row>
    <row r="75" ht="28" customHeight="1" spans="1:69" x14ac:dyDescent="0.25">
      <c r="A75" s="9"/>
      <c r="B75" s="9"/>
      <c r="C75" s="9"/>
      <c r="D75" s="9"/>
      <c r="E75" s="9"/>
      <c r="F75" s="10" t="s">
        <v>246</v>
      </c>
      <c r="G75" s="10" t="s">
        <v>183</v>
      </c>
      <c r="H75" s="9" t="s">
        <v>136</v>
      </c>
      <c r="I75" s="9">
        <v>1</v>
      </c>
      <c r="J75" s="9">
        <v>1</v>
      </c>
      <c r="K75" s="9" t="s">
        <v>4</v>
      </c>
      <c r="L75" s="9" t="s">
        <v>137</v>
      </c>
      <c r="M75" s="9"/>
      <c r="N75" s="9"/>
      <c r="O75" s="10"/>
      <c r="P75" s="11">
        <v>1</v>
      </c>
      <c r="Q75" s="11">
        <v>1</v>
      </c>
      <c r="R75" s="11">
        <v>1</v>
      </c>
      <c r="S75" s="11">
        <v>1</v>
      </c>
      <c r="T75" s="11">
        <v>1</v>
      </c>
      <c r="U75" s="11">
        <v>1</v>
      </c>
      <c r="V75" s="11">
        <v>1</v>
      </c>
      <c r="W75" s="11">
        <v>1</v>
      </c>
      <c r="X75" s="11">
        <v>1</v>
      </c>
      <c r="Y75" s="11">
        <v>1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11">
        <v>1</v>
      </c>
      <c r="AG75" s="11">
        <v>1</v>
      </c>
      <c r="AH75" s="11">
        <v>1</v>
      </c>
      <c r="AI75" s="11">
        <v>1</v>
      </c>
      <c r="AJ75" s="11">
        <v>1</v>
      </c>
      <c r="AK75" s="11">
        <v>1</v>
      </c>
      <c r="AL75" s="11">
        <v>1</v>
      </c>
      <c r="AM75" s="11">
        <v>1</v>
      </c>
      <c r="AN75" s="11">
        <v>1</v>
      </c>
      <c r="AO75" s="11">
        <v>1</v>
      </c>
      <c r="AP75" s="11">
        <v>1</v>
      </c>
      <c r="AQ75" s="11">
        <v>1</v>
      </c>
      <c r="AR75" s="11">
        <v>1</v>
      </c>
      <c r="AS75" s="11">
        <v>1</v>
      </c>
      <c r="AT75" s="11">
        <v>1</v>
      </c>
      <c r="AU75" s="11">
        <v>1</v>
      </c>
      <c r="AV75" s="11">
        <v>1</v>
      </c>
      <c r="AW75" s="11">
        <v>1</v>
      </c>
      <c r="AX75" s="11">
        <v>1</v>
      </c>
      <c r="AY75" s="11">
        <v>1</v>
      </c>
      <c r="AZ75" s="11">
        <v>1</v>
      </c>
      <c r="BA75" s="11">
        <v>1</v>
      </c>
      <c r="BB75" s="11">
        <v>1</v>
      </c>
      <c r="BC75" s="11">
        <v>1</v>
      </c>
      <c r="BD75" s="11">
        <v>1</v>
      </c>
      <c r="BE75" s="11">
        <v>1</v>
      </c>
      <c r="BF75" s="11">
        <v>1</v>
      </c>
      <c r="BG75" s="11">
        <v>1</v>
      </c>
      <c r="BH75" s="11">
        <v>1</v>
      </c>
      <c r="BI75" s="11">
        <v>1</v>
      </c>
      <c r="BJ75" s="11">
        <v>1</v>
      </c>
      <c r="BK75" s="11">
        <v>1</v>
      </c>
      <c r="BL75" s="11">
        <v>1</v>
      </c>
      <c r="BM75" s="11">
        <v>1</v>
      </c>
      <c r="BN75" s="11">
        <v>1</v>
      </c>
      <c r="BO75" s="11">
        <v>1</v>
      </c>
      <c r="BP75" t="s">
        <v>232</v>
      </c>
      <c r="BQ75" t="s">
        <v>247</v>
      </c>
    </row>
    <row r="76" ht="18" customHeight="1" spans="1:69" x14ac:dyDescent="0.25">
      <c r="A76" s="9"/>
      <c r="B76" s="9"/>
      <c r="C76" s="9"/>
      <c r="D76" s="9"/>
      <c r="E76" s="9"/>
      <c r="F76" s="10"/>
      <c r="G76" s="10"/>
      <c r="H76" s="9" t="s">
        <v>139</v>
      </c>
      <c r="I76" s="9"/>
      <c r="J76" s="9"/>
      <c r="K76" s="9"/>
      <c r="L76" s="9"/>
      <c r="M76" s="9"/>
      <c r="N76" s="9"/>
      <c r="O76" s="10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t="s">
        <v>232</v>
      </c>
      <c r="BQ76" t="s">
        <v>247</v>
      </c>
    </row>
    <row r="77" ht="28" customHeight="1" spans="1:69" x14ac:dyDescent="0.25">
      <c r="A77" s="9"/>
      <c r="B77" s="9" t="s">
        <v>248</v>
      </c>
      <c r="C77" s="9" t="s">
        <v>249</v>
      </c>
      <c r="D77" s="9" t="s">
        <v>250</v>
      </c>
      <c r="E77" s="9" t="s">
        <v>168</v>
      </c>
      <c r="F77" s="10" t="s">
        <v>134</v>
      </c>
      <c r="G77" s="10" t="s">
        <v>169</v>
      </c>
      <c r="H77" s="9" t="s">
        <v>136</v>
      </c>
      <c r="I77" s="9">
        <v>1</v>
      </c>
      <c r="J77" s="9">
        <v>1</v>
      </c>
      <c r="K77" s="9" t="s">
        <v>4</v>
      </c>
      <c r="L77" s="9" t="s">
        <v>137</v>
      </c>
      <c r="M77" s="9"/>
      <c r="N77" s="9"/>
      <c r="O77" s="10"/>
      <c r="P77" s="11">
        <v>1</v>
      </c>
      <c r="Q77" s="11">
        <v>1</v>
      </c>
      <c r="R77" s="11">
        <v>1</v>
      </c>
      <c r="S77" s="11">
        <v>1</v>
      </c>
      <c r="T77" s="11">
        <v>1</v>
      </c>
      <c r="U77" s="11">
        <v>1</v>
      </c>
      <c r="V77" s="11">
        <v>1</v>
      </c>
      <c r="W77" s="11">
        <v>1</v>
      </c>
      <c r="X77" s="11">
        <v>1</v>
      </c>
      <c r="Y77" s="11">
        <v>1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11">
        <v>1</v>
      </c>
      <c r="AG77" s="11">
        <v>1</v>
      </c>
      <c r="AH77" s="11">
        <v>1</v>
      </c>
      <c r="AI77" s="11">
        <v>1</v>
      </c>
      <c r="AJ77" s="11">
        <v>1</v>
      </c>
      <c r="AK77" s="11">
        <v>1</v>
      </c>
      <c r="AL77" s="11">
        <v>1</v>
      </c>
      <c r="AM77" s="11">
        <v>1</v>
      </c>
      <c r="AN77" s="11">
        <v>1</v>
      </c>
      <c r="AO77" s="11">
        <v>1</v>
      </c>
      <c r="AP77" s="11">
        <v>1</v>
      </c>
      <c r="AQ77" s="11">
        <v>1</v>
      </c>
      <c r="AR77" s="11">
        <v>1</v>
      </c>
      <c r="AS77" s="11">
        <v>1</v>
      </c>
      <c r="AT77" s="11">
        <v>1</v>
      </c>
      <c r="AU77" s="11">
        <v>1</v>
      </c>
      <c r="AV77" s="11">
        <v>1</v>
      </c>
      <c r="AW77" s="11">
        <v>1</v>
      </c>
      <c r="AX77" s="11">
        <v>1</v>
      </c>
      <c r="AY77" s="11">
        <v>1</v>
      </c>
      <c r="AZ77" s="11">
        <v>1</v>
      </c>
      <c r="BA77" s="11">
        <v>1</v>
      </c>
      <c r="BB77" s="11">
        <v>1</v>
      </c>
      <c r="BC77" s="11">
        <v>1</v>
      </c>
      <c r="BD77" s="11">
        <v>1</v>
      </c>
      <c r="BE77" s="11">
        <v>1</v>
      </c>
      <c r="BF77" s="11">
        <v>1</v>
      </c>
      <c r="BG77" s="11">
        <v>1</v>
      </c>
      <c r="BH77" s="11">
        <v>1</v>
      </c>
      <c r="BI77" s="11">
        <v>1</v>
      </c>
      <c r="BJ77" s="11">
        <v>1</v>
      </c>
      <c r="BK77" s="11">
        <v>1</v>
      </c>
      <c r="BL77" s="11">
        <v>1</v>
      </c>
      <c r="BM77" s="11">
        <v>1</v>
      </c>
      <c r="BN77" s="11">
        <v>1</v>
      </c>
      <c r="BO77" s="11">
        <v>1</v>
      </c>
      <c r="BP77" t="s">
        <v>248</v>
      </c>
      <c r="BQ77" t="s">
        <v>251</v>
      </c>
    </row>
    <row r="78" ht="18" customHeight="1" spans="1:69" x14ac:dyDescent="0.25">
      <c r="A78" s="9"/>
      <c r="B78" s="9"/>
      <c r="C78" s="9"/>
      <c r="D78" s="9"/>
      <c r="E78" s="9"/>
      <c r="F78" s="10"/>
      <c r="G78" s="10"/>
      <c r="H78" s="9" t="s">
        <v>139</v>
      </c>
      <c r="I78" s="9"/>
      <c r="J78" s="9"/>
      <c r="K78" s="9"/>
      <c r="L78" s="9"/>
      <c r="M78" s="9"/>
      <c r="N78" s="9"/>
      <c r="O78" s="10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t="s">
        <v>248</v>
      </c>
      <c r="BQ78" t="s">
        <v>251</v>
      </c>
    </row>
    <row r="79" ht="28" customHeight="1" spans="1:69" x14ac:dyDescent="0.25">
      <c r="A79" s="9"/>
      <c r="B79" s="9"/>
      <c r="C79" s="9"/>
      <c r="D79" s="9"/>
      <c r="E79" s="9"/>
      <c r="F79" s="10" t="s">
        <v>171</v>
      </c>
      <c r="G79" s="10" t="s">
        <v>144</v>
      </c>
      <c r="H79" s="9" t="s">
        <v>136</v>
      </c>
      <c r="I79" s="9">
        <v>5</v>
      </c>
      <c r="J79" s="9">
        <v>10000</v>
      </c>
      <c r="K79" s="9" t="s">
        <v>145</v>
      </c>
      <c r="L79" s="9" t="s">
        <v>9</v>
      </c>
      <c r="M79" s="9"/>
      <c r="N79" s="9"/>
      <c r="O79" s="10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t="s">
        <v>248</v>
      </c>
      <c r="BQ79" t="s">
        <v>252</v>
      </c>
    </row>
    <row r="80" ht="18" customHeight="1" spans="1:69" x14ac:dyDescent="0.25">
      <c r="A80" s="9"/>
      <c r="B80" s="9"/>
      <c r="C80" s="9"/>
      <c r="D80" s="9"/>
      <c r="E80" s="9"/>
      <c r="F80" s="10"/>
      <c r="G80" s="10"/>
      <c r="H80" s="9" t="s">
        <v>139</v>
      </c>
      <c r="I80" s="9"/>
      <c r="J80" s="9"/>
      <c r="K80" s="9"/>
      <c r="L80" s="9"/>
      <c r="M80" s="9"/>
      <c r="N80" s="9"/>
      <c r="O80" s="10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t="s">
        <v>248</v>
      </c>
      <c r="BQ80" t="s">
        <v>252</v>
      </c>
    </row>
    <row r="81" ht="28" customHeight="1" spans="1:69" x14ac:dyDescent="0.25">
      <c r="A81" s="9"/>
      <c r="B81" s="9"/>
      <c r="C81" s="9"/>
      <c r="D81" s="9"/>
      <c r="E81" s="9"/>
      <c r="F81" s="10" t="s">
        <v>253</v>
      </c>
      <c r="G81" s="10" t="s">
        <v>183</v>
      </c>
      <c r="H81" s="9" t="s">
        <v>136</v>
      </c>
      <c r="I81" s="9">
        <v>1</v>
      </c>
      <c r="J81" s="9">
        <v>8</v>
      </c>
      <c r="K81" s="9" t="s">
        <v>240</v>
      </c>
      <c r="L81" s="9" t="s">
        <v>9</v>
      </c>
      <c r="M81" s="9"/>
      <c r="N81" s="9" t="s">
        <v>162</v>
      </c>
      <c r="O81" s="10"/>
      <c r="P81" s="13"/>
      <c r="Q81" s="11">
        <v>1</v>
      </c>
      <c r="R81" s="11">
        <v>1</v>
      </c>
      <c r="S81" s="11">
        <v>1</v>
      </c>
      <c r="T81" s="11">
        <v>1</v>
      </c>
      <c r="U81" s="11">
        <v>1</v>
      </c>
      <c r="V81" s="11">
        <v>1</v>
      </c>
      <c r="W81" s="11">
        <v>1</v>
      </c>
      <c r="X81" s="11">
        <v>1</v>
      </c>
      <c r="Y81" s="11">
        <v>1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11">
        <v>1</v>
      </c>
      <c r="AG81" s="11">
        <v>1</v>
      </c>
      <c r="AH81" s="11">
        <v>1</v>
      </c>
      <c r="AI81" s="11">
        <v>1</v>
      </c>
      <c r="AJ81" s="11">
        <v>1</v>
      </c>
      <c r="AK81" s="11">
        <v>1</v>
      </c>
      <c r="AL81" s="11">
        <v>1</v>
      </c>
      <c r="AM81" s="11">
        <v>1</v>
      </c>
      <c r="AN81" s="11">
        <v>1</v>
      </c>
      <c r="AO81" s="11">
        <v>1</v>
      </c>
      <c r="AP81" s="11">
        <v>1</v>
      </c>
      <c r="AQ81" s="11">
        <v>1</v>
      </c>
      <c r="AR81" s="11">
        <v>1</v>
      </c>
      <c r="AS81" s="11">
        <v>1</v>
      </c>
      <c r="AT81" s="11">
        <v>1</v>
      </c>
      <c r="AU81" s="11">
        <v>1</v>
      </c>
      <c r="AV81" s="11">
        <v>1</v>
      </c>
      <c r="AW81" s="11">
        <v>1</v>
      </c>
      <c r="AX81" s="11">
        <v>1</v>
      </c>
      <c r="AY81" s="11">
        <v>1</v>
      </c>
      <c r="AZ81" s="11">
        <v>1</v>
      </c>
      <c r="BA81" s="11">
        <v>1</v>
      </c>
      <c r="BB81" s="11">
        <v>1</v>
      </c>
      <c r="BC81" s="11">
        <v>1</v>
      </c>
      <c r="BD81" s="11">
        <v>1</v>
      </c>
      <c r="BE81" s="11">
        <v>1</v>
      </c>
      <c r="BF81" s="11">
        <v>1</v>
      </c>
      <c r="BG81" s="11">
        <v>1</v>
      </c>
      <c r="BH81" s="11">
        <v>1</v>
      </c>
      <c r="BI81" s="11">
        <v>1</v>
      </c>
      <c r="BJ81" s="11">
        <v>1</v>
      </c>
      <c r="BK81" s="11">
        <v>1</v>
      </c>
      <c r="BL81" s="11">
        <v>1</v>
      </c>
      <c r="BM81" s="11">
        <v>1</v>
      </c>
      <c r="BN81" s="11">
        <v>1</v>
      </c>
      <c r="BO81" s="11">
        <v>1</v>
      </c>
      <c r="BP81" t="s">
        <v>248</v>
      </c>
      <c r="BQ81" t="s">
        <v>254</v>
      </c>
    </row>
    <row r="82" ht="18" customHeight="1" spans="1:69" x14ac:dyDescent="0.25">
      <c r="A82" s="9"/>
      <c r="B82" s="9"/>
      <c r="C82" s="9"/>
      <c r="D82" s="9"/>
      <c r="E82" s="9"/>
      <c r="F82" s="10"/>
      <c r="G82" s="10"/>
      <c r="H82" s="9" t="s">
        <v>139</v>
      </c>
      <c r="I82" s="9"/>
      <c r="J82" s="9"/>
      <c r="K82" s="9"/>
      <c r="L82" s="9"/>
      <c r="M82" s="9"/>
      <c r="N82" s="9"/>
      <c r="O82" s="10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t="s">
        <v>248</v>
      </c>
      <c r="BQ82" t="s">
        <v>254</v>
      </c>
    </row>
    <row r="83" ht="28" customHeight="1" spans="1:69" x14ac:dyDescent="0.25">
      <c r="A83" s="9"/>
      <c r="B83" s="9"/>
      <c r="C83" s="9"/>
      <c r="D83" s="9"/>
      <c r="E83" s="9"/>
      <c r="F83" s="10" t="s">
        <v>255</v>
      </c>
      <c r="G83" s="10" t="s">
        <v>183</v>
      </c>
      <c r="H83" s="9" t="s">
        <v>136</v>
      </c>
      <c r="I83" s="9">
        <v>1</v>
      </c>
      <c r="J83" s="9">
        <v>40</v>
      </c>
      <c r="K83" s="9" t="s">
        <v>161</v>
      </c>
      <c r="L83" s="9" t="s">
        <v>9</v>
      </c>
      <c r="M83" s="9"/>
      <c r="N83" s="9" t="s">
        <v>162</v>
      </c>
      <c r="O83" s="10"/>
      <c r="P83" s="13"/>
      <c r="Q83" s="11">
        <v>1</v>
      </c>
      <c r="R83" s="11">
        <v>1</v>
      </c>
      <c r="S83" s="11">
        <v>1</v>
      </c>
      <c r="T83" s="11">
        <v>1</v>
      </c>
      <c r="U83" s="11">
        <v>1</v>
      </c>
      <c r="V83" s="11">
        <v>1</v>
      </c>
      <c r="W83" s="11">
        <v>1</v>
      </c>
      <c r="X83" s="11">
        <v>1</v>
      </c>
      <c r="Y83" s="11">
        <v>1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11">
        <v>1</v>
      </c>
      <c r="AG83" s="11">
        <v>1</v>
      </c>
      <c r="AH83" s="11">
        <v>1</v>
      </c>
      <c r="AI83" s="11">
        <v>1</v>
      </c>
      <c r="AJ83" s="11">
        <v>1</v>
      </c>
      <c r="AK83" s="11">
        <v>1</v>
      </c>
      <c r="AL83" s="11">
        <v>1</v>
      </c>
      <c r="AM83" s="11">
        <v>1</v>
      </c>
      <c r="AN83" s="11">
        <v>1</v>
      </c>
      <c r="AO83" s="11">
        <v>1</v>
      </c>
      <c r="AP83" s="11">
        <v>1</v>
      </c>
      <c r="AQ83" s="11">
        <v>1</v>
      </c>
      <c r="AR83" s="11">
        <v>1</v>
      </c>
      <c r="AS83" s="11">
        <v>1</v>
      </c>
      <c r="AT83" s="11">
        <v>1</v>
      </c>
      <c r="AU83" s="11">
        <v>1</v>
      </c>
      <c r="AV83" s="11">
        <v>1</v>
      </c>
      <c r="AW83" s="11">
        <v>1</v>
      </c>
      <c r="AX83" s="11">
        <v>1</v>
      </c>
      <c r="AY83" s="11">
        <v>1</v>
      </c>
      <c r="AZ83" s="11">
        <v>1</v>
      </c>
      <c r="BA83" s="11">
        <v>1</v>
      </c>
      <c r="BB83" s="11">
        <v>1</v>
      </c>
      <c r="BC83" s="11">
        <v>1</v>
      </c>
      <c r="BD83" s="11">
        <v>1</v>
      </c>
      <c r="BE83" s="11">
        <v>1</v>
      </c>
      <c r="BF83" s="11">
        <v>1</v>
      </c>
      <c r="BG83" s="11">
        <v>1</v>
      </c>
      <c r="BH83" s="11">
        <v>1</v>
      </c>
      <c r="BI83" s="11">
        <v>1</v>
      </c>
      <c r="BJ83" s="11">
        <v>1</v>
      </c>
      <c r="BK83" s="11">
        <v>1</v>
      </c>
      <c r="BL83" s="11">
        <v>1</v>
      </c>
      <c r="BM83" s="11">
        <v>1</v>
      </c>
      <c r="BN83" s="11">
        <v>1</v>
      </c>
      <c r="BO83" s="11">
        <v>1</v>
      </c>
      <c r="BP83" t="s">
        <v>248</v>
      </c>
      <c r="BQ83" t="s">
        <v>256</v>
      </c>
    </row>
    <row r="84" ht="18" customHeight="1" spans="1:69" x14ac:dyDescent="0.25">
      <c r="A84" s="9"/>
      <c r="B84" s="9"/>
      <c r="C84" s="9"/>
      <c r="D84" s="9"/>
      <c r="E84" s="9"/>
      <c r="F84" s="10"/>
      <c r="G84" s="10"/>
      <c r="H84" s="9" t="s">
        <v>139</v>
      </c>
      <c r="I84" s="9"/>
      <c r="J84" s="9"/>
      <c r="K84" s="9"/>
      <c r="L84" s="9"/>
      <c r="M84" s="9"/>
      <c r="N84" s="9"/>
      <c r="O84" s="10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t="s">
        <v>248</v>
      </c>
      <c r="BQ84" t="s">
        <v>256</v>
      </c>
    </row>
    <row r="85" ht="28" customHeight="1" spans="1:69" x14ac:dyDescent="0.25">
      <c r="A85" s="9"/>
      <c r="B85" s="9"/>
      <c r="C85" s="9"/>
      <c r="D85" s="9"/>
      <c r="E85" s="9"/>
      <c r="F85" s="10" t="s">
        <v>257</v>
      </c>
      <c r="G85" s="10" t="s">
        <v>183</v>
      </c>
      <c r="H85" s="9" t="s">
        <v>136</v>
      </c>
      <c r="I85" s="9">
        <v>1</v>
      </c>
      <c r="J85" s="9">
        <v>120</v>
      </c>
      <c r="K85" s="9" t="s">
        <v>198</v>
      </c>
      <c r="L85" s="9" t="s">
        <v>9</v>
      </c>
      <c r="M85" s="9"/>
      <c r="N85" s="9" t="s">
        <v>162</v>
      </c>
      <c r="O85" s="10"/>
      <c r="P85" s="13"/>
      <c r="Q85" s="11">
        <v>1</v>
      </c>
      <c r="R85" s="11">
        <v>1</v>
      </c>
      <c r="S85" s="11">
        <v>1</v>
      </c>
      <c r="T85" s="11">
        <v>1</v>
      </c>
      <c r="U85" s="11">
        <v>1</v>
      </c>
      <c r="V85" s="11">
        <v>1</v>
      </c>
      <c r="W85" s="11">
        <v>1</v>
      </c>
      <c r="X85" s="11">
        <v>1</v>
      </c>
      <c r="Y85" s="11">
        <v>1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11">
        <v>1</v>
      </c>
      <c r="AG85" s="11">
        <v>1</v>
      </c>
      <c r="AH85" s="11">
        <v>1</v>
      </c>
      <c r="AI85" s="11">
        <v>1</v>
      </c>
      <c r="AJ85" s="11">
        <v>1</v>
      </c>
      <c r="AK85" s="11">
        <v>1</v>
      </c>
      <c r="AL85" s="11">
        <v>1</v>
      </c>
      <c r="AM85" s="11">
        <v>1</v>
      </c>
      <c r="AN85" s="11">
        <v>1</v>
      </c>
      <c r="AO85" s="11">
        <v>1</v>
      </c>
      <c r="AP85" s="11">
        <v>1</v>
      </c>
      <c r="AQ85" s="11">
        <v>1</v>
      </c>
      <c r="AR85" s="11">
        <v>1</v>
      </c>
      <c r="AS85" s="11">
        <v>1</v>
      </c>
      <c r="AT85" s="11">
        <v>1</v>
      </c>
      <c r="AU85" s="11">
        <v>1</v>
      </c>
      <c r="AV85" s="11">
        <v>1</v>
      </c>
      <c r="AW85" s="11">
        <v>1</v>
      </c>
      <c r="AX85" s="11">
        <v>1</v>
      </c>
      <c r="AY85" s="11">
        <v>1</v>
      </c>
      <c r="AZ85" s="11">
        <v>1</v>
      </c>
      <c r="BA85" s="11">
        <v>1</v>
      </c>
      <c r="BB85" s="11">
        <v>1</v>
      </c>
      <c r="BC85" s="11">
        <v>1</v>
      </c>
      <c r="BD85" s="11">
        <v>1</v>
      </c>
      <c r="BE85" s="11">
        <v>1</v>
      </c>
      <c r="BF85" s="11">
        <v>1</v>
      </c>
      <c r="BG85" s="11">
        <v>1</v>
      </c>
      <c r="BH85" s="11">
        <v>1</v>
      </c>
      <c r="BI85" s="11">
        <v>1</v>
      </c>
      <c r="BJ85" s="11">
        <v>1</v>
      </c>
      <c r="BK85" s="11">
        <v>1</v>
      </c>
      <c r="BL85" s="11">
        <v>1</v>
      </c>
      <c r="BM85" s="11">
        <v>1</v>
      </c>
      <c r="BN85" s="11">
        <v>1</v>
      </c>
      <c r="BO85" s="11">
        <v>1</v>
      </c>
      <c r="BP85" t="s">
        <v>248</v>
      </c>
      <c r="BQ85" t="s">
        <v>258</v>
      </c>
    </row>
    <row r="86" ht="18" customHeight="1" spans="1:69" x14ac:dyDescent="0.25">
      <c r="A86" s="9"/>
      <c r="B86" s="9"/>
      <c r="C86" s="9"/>
      <c r="D86" s="9"/>
      <c r="E86" s="9"/>
      <c r="F86" s="10"/>
      <c r="G86" s="10"/>
      <c r="H86" s="9" t="s">
        <v>139</v>
      </c>
      <c r="I86" s="9"/>
      <c r="J86" s="9"/>
      <c r="K86" s="9"/>
      <c r="L86" s="9"/>
      <c r="M86" s="9"/>
      <c r="N86" s="9"/>
      <c r="O86" s="10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t="s">
        <v>248</v>
      </c>
      <c r="BQ86" t="s">
        <v>258</v>
      </c>
    </row>
    <row r="87" ht="28" customHeight="1" spans="1:69" x14ac:dyDescent="0.25">
      <c r="A87" s="9"/>
      <c r="B87" s="9"/>
      <c r="C87" s="9"/>
      <c r="D87" s="9"/>
      <c r="E87" s="9"/>
      <c r="F87" s="10" t="s">
        <v>246</v>
      </c>
      <c r="G87" s="10" t="s">
        <v>183</v>
      </c>
      <c r="H87" s="9" t="s">
        <v>136</v>
      </c>
      <c r="I87" s="9">
        <v>1</v>
      </c>
      <c r="J87" s="9">
        <v>1</v>
      </c>
      <c r="K87" s="9" t="s">
        <v>4</v>
      </c>
      <c r="L87" s="9" t="s">
        <v>137</v>
      </c>
      <c r="M87" s="9"/>
      <c r="N87" s="9"/>
      <c r="O87" s="10"/>
      <c r="P87" s="11">
        <v>1</v>
      </c>
      <c r="Q87" s="11">
        <v>1</v>
      </c>
      <c r="R87" s="11">
        <v>1</v>
      </c>
      <c r="S87" s="11">
        <v>1</v>
      </c>
      <c r="T87" s="11">
        <v>1</v>
      </c>
      <c r="U87" s="11">
        <v>1</v>
      </c>
      <c r="V87" s="11">
        <v>1</v>
      </c>
      <c r="W87" s="11">
        <v>1</v>
      </c>
      <c r="X87" s="11">
        <v>1</v>
      </c>
      <c r="Y87" s="11">
        <v>1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11">
        <v>1</v>
      </c>
      <c r="AG87" s="11">
        <v>1</v>
      </c>
      <c r="AH87" s="11">
        <v>1</v>
      </c>
      <c r="AI87" s="11">
        <v>1</v>
      </c>
      <c r="AJ87" s="11">
        <v>1</v>
      </c>
      <c r="AK87" s="11">
        <v>1</v>
      </c>
      <c r="AL87" s="11">
        <v>1</v>
      </c>
      <c r="AM87" s="11">
        <v>1</v>
      </c>
      <c r="AN87" s="11">
        <v>1</v>
      </c>
      <c r="AO87" s="11">
        <v>1</v>
      </c>
      <c r="AP87" s="11">
        <v>1</v>
      </c>
      <c r="AQ87" s="11">
        <v>1</v>
      </c>
      <c r="AR87" s="11">
        <v>1</v>
      </c>
      <c r="AS87" s="11">
        <v>1</v>
      </c>
      <c r="AT87" s="11">
        <v>1</v>
      </c>
      <c r="AU87" s="11">
        <v>1</v>
      </c>
      <c r="AV87" s="11">
        <v>1</v>
      </c>
      <c r="AW87" s="11">
        <v>1</v>
      </c>
      <c r="AX87" s="11">
        <v>1</v>
      </c>
      <c r="AY87" s="11">
        <v>1</v>
      </c>
      <c r="AZ87" s="11">
        <v>1</v>
      </c>
      <c r="BA87" s="11">
        <v>1</v>
      </c>
      <c r="BB87" s="11">
        <v>1</v>
      </c>
      <c r="BC87" s="11">
        <v>1</v>
      </c>
      <c r="BD87" s="11">
        <v>1</v>
      </c>
      <c r="BE87" s="11">
        <v>1</v>
      </c>
      <c r="BF87" s="11">
        <v>1</v>
      </c>
      <c r="BG87" s="11">
        <v>1</v>
      </c>
      <c r="BH87" s="11">
        <v>1</v>
      </c>
      <c r="BI87" s="11">
        <v>1</v>
      </c>
      <c r="BJ87" s="11">
        <v>1</v>
      </c>
      <c r="BK87" s="11">
        <v>1</v>
      </c>
      <c r="BL87" s="11">
        <v>1</v>
      </c>
      <c r="BM87" s="11">
        <v>1</v>
      </c>
      <c r="BN87" s="11">
        <v>1</v>
      </c>
      <c r="BO87" s="11">
        <v>1</v>
      </c>
      <c r="BP87" t="s">
        <v>248</v>
      </c>
      <c r="BQ87" t="s">
        <v>259</v>
      </c>
    </row>
    <row r="88" ht="18" customHeight="1" spans="1:69" x14ac:dyDescent="0.25">
      <c r="A88" s="9"/>
      <c r="B88" s="9"/>
      <c r="C88" s="9"/>
      <c r="D88" s="9"/>
      <c r="E88" s="9"/>
      <c r="F88" s="10"/>
      <c r="G88" s="10"/>
      <c r="H88" s="9" t="s">
        <v>139</v>
      </c>
      <c r="I88" s="9"/>
      <c r="J88" s="9"/>
      <c r="K88" s="9"/>
      <c r="L88" s="9"/>
      <c r="M88" s="9"/>
      <c r="N88" s="9"/>
      <c r="O88" s="10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t="s">
        <v>248</v>
      </c>
      <c r="BQ88" t="s">
        <v>259</v>
      </c>
    </row>
    <row r="89" ht="28" customHeight="1" spans="1:69" x14ac:dyDescent="0.25">
      <c r="A89" s="9" t="s">
        <v>260</v>
      </c>
      <c r="B89" s="9" t="s">
        <v>261</v>
      </c>
      <c r="C89" s="9" t="s">
        <v>262</v>
      </c>
      <c r="D89" s="9" t="s">
        <v>263</v>
      </c>
      <c r="E89" s="9" t="s">
        <v>264</v>
      </c>
      <c r="F89" s="10" t="s">
        <v>134</v>
      </c>
      <c r="G89" s="10" t="s">
        <v>169</v>
      </c>
      <c r="H89" s="9" t="s">
        <v>136</v>
      </c>
      <c r="I89" s="9">
        <v>1</v>
      </c>
      <c r="J89" s="9">
        <v>1</v>
      </c>
      <c r="K89" s="9" t="s">
        <v>4</v>
      </c>
      <c r="L89" s="9" t="s">
        <v>137</v>
      </c>
      <c r="M89" s="9"/>
      <c r="N89" s="9"/>
      <c r="O89" s="10"/>
      <c r="P89" s="11">
        <v>1</v>
      </c>
      <c r="Q89" s="11">
        <v>1</v>
      </c>
      <c r="R89" s="11">
        <v>1</v>
      </c>
      <c r="S89" s="11">
        <v>1</v>
      </c>
      <c r="T89" s="11">
        <v>1</v>
      </c>
      <c r="U89" s="11">
        <v>1</v>
      </c>
      <c r="V89" s="11">
        <v>1</v>
      </c>
      <c r="W89" s="11">
        <v>1</v>
      </c>
      <c r="X89" s="11">
        <v>1</v>
      </c>
      <c r="Y89" s="11">
        <v>1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11">
        <v>1</v>
      </c>
      <c r="AG89" s="11">
        <v>1</v>
      </c>
      <c r="AH89" s="11">
        <v>1</v>
      </c>
      <c r="AI89" s="11">
        <v>1</v>
      </c>
      <c r="AJ89" s="11">
        <v>1</v>
      </c>
      <c r="AK89" s="11">
        <v>1</v>
      </c>
      <c r="AL89" s="11">
        <v>1</v>
      </c>
      <c r="AM89" s="11">
        <v>1</v>
      </c>
      <c r="AN89" s="11">
        <v>1</v>
      </c>
      <c r="AO89" s="11">
        <v>1</v>
      </c>
      <c r="AP89" s="11">
        <v>1</v>
      </c>
      <c r="AQ89" s="11">
        <v>1</v>
      </c>
      <c r="AR89" s="11">
        <v>1</v>
      </c>
      <c r="AS89" s="11">
        <v>1</v>
      </c>
      <c r="AT89" s="11">
        <v>1</v>
      </c>
      <c r="AU89" s="11">
        <v>1</v>
      </c>
      <c r="AV89" s="11">
        <v>1</v>
      </c>
      <c r="AW89" s="11">
        <v>1</v>
      </c>
      <c r="AX89" s="11">
        <v>1</v>
      </c>
      <c r="AY89" s="11">
        <v>1</v>
      </c>
      <c r="AZ89" s="11">
        <v>1</v>
      </c>
      <c r="BA89" s="11">
        <v>1</v>
      </c>
      <c r="BB89" s="11">
        <v>1</v>
      </c>
      <c r="BC89" s="11">
        <v>1</v>
      </c>
      <c r="BD89" s="11">
        <v>1</v>
      </c>
      <c r="BE89" s="11">
        <v>1</v>
      </c>
      <c r="BF89" s="11">
        <v>1</v>
      </c>
      <c r="BG89" s="11">
        <v>1</v>
      </c>
      <c r="BH89" s="11">
        <v>1</v>
      </c>
      <c r="BI89" s="11">
        <v>1</v>
      </c>
      <c r="BJ89" s="11">
        <v>1</v>
      </c>
      <c r="BK89" s="11">
        <v>1</v>
      </c>
      <c r="BL89" s="11">
        <v>1</v>
      </c>
      <c r="BM89" s="11">
        <v>1</v>
      </c>
      <c r="BN89" s="11">
        <v>1</v>
      </c>
      <c r="BO89" s="11">
        <v>1</v>
      </c>
      <c r="BP89" t="s">
        <v>261</v>
      </c>
      <c r="BQ89" t="s">
        <v>265</v>
      </c>
    </row>
    <row r="90" ht="18" customHeight="1" spans="1:69" x14ac:dyDescent="0.25">
      <c r="A90" s="9"/>
      <c r="B90" s="9"/>
      <c r="C90" s="9"/>
      <c r="D90" s="9"/>
      <c r="E90" s="9"/>
      <c r="F90" s="10"/>
      <c r="G90" s="10"/>
      <c r="H90" s="9" t="s">
        <v>139</v>
      </c>
      <c r="I90" s="9"/>
      <c r="J90" s="9"/>
      <c r="K90" s="9"/>
      <c r="L90" s="9"/>
      <c r="M90" s="9"/>
      <c r="N90" s="9"/>
      <c r="O90" s="10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t="s">
        <v>261</v>
      </c>
      <c r="BQ90" t="s">
        <v>265</v>
      </c>
    </row>
    <row r="91" ht="28" customHeight="1" spans="1:69" x14ac:dyDescent="0.25">
      <c r="A91" s="9"/>
      <c r="B91" s="9"/>
      <c r="C91" s="9"/>
      <c r="D91" s="9"/>
      <c r="E91" s="9"/>
      <c r="F91" s="10" t="s">
        <v>266</v>
      </c>
      <c r="G91" s="10" t="s">
        <v>267</v>
      </c>
      <c r="H91" s="9" t="s">
        <v>136</v>
      </c>
      <c r="I91" s="9">
        <v>2</v>
      </c>
      <c r="J91" s="9">
        <v>1</v>
      </c>
      <c r="K91" s="9" t="s">
        <v>5</v>
      </c>
      <c r="L91" s="9" t="s">
        <v>137</v>
      </c>
      <c r="M91" s="9"/>
      <c r="N91" s="9"/>
      <c r="O91" s="10"/>
      <c r="P91" s="13"/>
      <c r="Q91" s="13"/>
      <c r="R91" s="16">
        <v>2</v>
      </c>
      <c r="S91" s="13"/>
      <c r="T91" s="13"/>
      <c r="U91" s="13"/>
      <c r="V91" s="13"/>
      <c r="W91" s="16">
        <v>2</v>
      </c>
      <c r="X91" s="13"/>
      <c r="Y91" s="13"/>
      <c r="Z91" s="13"/>
      <c r="AA91" s="16">
        <v>2</v>
      </c>
      <c r="AB91" s="13"/>
      <c r="AC91" s="13"/>
      <c r="AD91" s="13"/>
      <c r="AE91" s="16">
        <v>2</v>
      </c>
      <c r="AF91" s="13"/>
      <c r="AG91" s="13"/>
      <c r="AH91" s="13"/>
      <c r="AI91" s="16">
        <v>2</v>
      </c>
      <c r="AJ91" s="13"/>
      <c r="AK91" s="13"/>
      <c r="AL91" s="13"/>
      <c r="AM91" s="13"/>
      <c r="AN91" s="16">
        <v>2</v>
      </c>
      <c r="AO91" s="13"/>
      <c r="AP91" s="13"/>
      <c r="AQ91" s="13"/>
      <c r="AR91" s="16">
        <v>2</v>
      </c>
      <c r="AS91" s="13"/>
      <c r="AT91" s="13"/>
      <c r="AU91" s="13"/>
      <c r="AV91" s="13"/>
      <c r="AW91" s="16">
        <v>2</v>
      </c>
      <c r="AX91" s="13"/>
      <c r="AY91" s="13"/>
      <c r="AZ91" s="13"/>
      <c r="BA91" s="16">
        <v>2</v>
      </c>
      <c r="BB91" s="13"/>
      <c r="BC91" s="13"/>
      <c r="BD91" s="13"/>
      <c r="BE91" s="16">
        <v>2</v>
      </c>
      <c r="BF91" s="13"/>
      <c r="BG91" s="13"/>
      <c r="BH91" s="13"/>
      <c r="BI91" s="13"/>
      <c r="BJ91" s="16">
        <v>2</v>
      </c>
      <c r="BK91" s="13"/>
      <c r="BL91" s="13"/>
      <c r="BM91" s="13"/>
      <c r="BN91" s="16">
        <v>2</v>
      </c>
      <c r="BO91" s="13"/>
      <c r="BP91" t="s">
        <v>261</v>
      </c>
      <c r="BQ91" t="s">
        <v>268</v>
      </c>
    </row>
    <row r="92" ht="18" customHeight="1" spans="1:69" x14ac:dyDescent="0.25">
      <c r="A92" s="9"/>
      <c r="B92" s="9"/>
      <c r="C92" s="9"/>
      <c r="D92" s="9"/>
      <c r="E92" s="9"/>
      <c r="F92" s="10"/>
      <c r="G92" s="10"/>
      <c r="H92" s="9" t="s">
        <v>139</v>
      </c>
      <c r="I92" s="9"/>
      <c r="J92" s="9"/>
      <c r="K92" s="9"/>
      <c r="L92" s="9"/>
      <c r="M92" s="9"/>
      <c r="N92" s="9"/>
      <c r="O92" s="10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t="s">
        <v>261</v>
      </c>
      <c r="BQ92" t="s">
        <v>268</v>
      </c>
    </row>
    <row r="93" ht="28" customHeight="1" spans="1:69" x14ac:dyDescent="0.25">
      <c r="A93" s="9"/>
      <c r="B93" s="9"/>
      <c r="C93" s="9"/>
      <c r="D93" s="9"/>
      <c r="E93" s="9"/>
      <c r="F93" s="10" t="s">
        <v>266</v>
      </c>
      <c r="G93" s="10" t="s">
        <v>269</v>
      </c>
      <c r="H93" s="9" t="s">
        <v>136</v>
      </c>
      <c r="I93" s="9">
        <v>5</v>
      </c>
      <c r="J93" s="9">
        <v>12</v>
      </c>
      <c r="K93" s="9" t="s">
        <v>8</v>
      </c>
      <c r="L93" s="9" t="s">
        <v>137</v>
      </c>
      <c r="M93" s="9"/>
      <c r="N93" s="9"/>
      <c r="O93" s="10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4">
        <v>5</v>
      </c>
      <c r="BK93" s="13"/>
      <c r="BL93" s="13"/>
      <c r="BM93" s="13"/>
      <c r="BN93" s="13"/>
      <c r="BO93" s="13"/>
      <c r="BP93" t="s">
        <v>261</v>
      </c>
      <c r="BQ93" t="s">
        <v>270</v>
      </c>
    </row>
    <row r="94" ht="18" customHeight="1" spans="1:69" x14ac:dyDescent="0.25">
      <c r="A94" s="9"/>
      <c r="B94" s="9"/>
      <c r="C94" s="9"/>
      <c r="D94" s="9"/>
      <c r="E94" s="9"/>
      <c r="F94" s="10"/>
      <c r="G94" s="10"/>
      <c r="H94" s="9" t="s">
        <v>139</v>
      </c>
      <c r="I94" s="9"/>
      <c r="J94" s="9"/>
      <c r="K94" s="9"/>
      <c r="L94" s="9"/>
      <c r="M94" s="9"/>
      <c r="N94" s="9"/>
      <c r="O94" s="10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t="s">
        <v>261</v>
      </c>
      <c r="BQ94" t="s">
        <v>270</v>
      </c>
    </row>
    <row r="95" ht="28" customHeight="1" spans="1:69" x14ac:dyDescent="0.25">
      <c r="A95" s="9"/>
      <c r="B95" s="9"/>
      <c r="C95" s="9"/>
      <c r="D95" s="9"/>
      <c r="E95" s="9"/>
      <c r="F95" s="10" t="s">
        <v>171</v>
      </c>
      <c r="G95" s="10" t="s">
        <v>172</v>
      </c>
      <c r="H95" s="9" t="s">
        <v>136</v>
      </c>
      <c r="I95" s="9">
        <v>3</v>
      </c>
      <c r="J95" s="9">
        <v>2000</v>
      </c>
      <c r="K95" s="9" t="s">
        <v>192</v>
      </c>
      <c r="L95" s="9" t="s">
        <v>9</v>
      </c>
      <c r="M95" s="9"/>
      <c r="N95" s="9" t="s">
        <v>193</v>
      </c>
      <c r="O95" s="10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5">
        <v>3</v>
      </c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5">
        <v>3</v>
      </c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5">
        <v>3</v>
      </c>
      <c r="BP95" t="s">
        <v>261</v>
      </c>
      <c r="BQ95" t="s">
        <v>271</v>
      </c>
    </row>
    <row r="96" ht="18" customHeight="1" spans="1:69" x14ac:dyDescent="0.25">
      <c r="A96" s="9"/>
      <c r="B96" s="9"/>
      <c r="C96" s="9"/>
      <c r="D96" s="9"/>
      <c r="E96" s="9"/>
      <c r="F96" s="10"/>
      <c r="G96" s="10"/>
      <c r="H96" s="9" t="s">
        <v>139</v>
      </c>
      <c r="I96" s="9"/>
      <c r="J96" s="9"/>
      <c r="K96" s="9"/>
      <c r="L96" s="9"/>
      <c r="M96" s="9"/>
      <c r="N96" s="9"/>
      <c r="O96" s="10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t="s">
        <v>261</v>
      </c>
      <c r="BQ96" t="s">
        <v>271</v>
      </c>
    </row>
    <row r="97" ht="28" customHeight="1" spans="1:69" x14ac:dyDescent="0.25">
      <c r="A97" s="9"/>
      <c r="B97" s="9"/>
      <c r="C97" s="9"/>
      <c r="D97" s="9"/>
      <c r="E97" s="9"/>
      <c r="F97" s="10" t="s">
        <v>171</v>
      </c>
      <c r="G97" s="10" t="s">
        <v>144</v>
      </c>
      <c r="H97" s="9" t="s">
        <v>136</v>
      </c>
      <c r="I97" s="9">
        <v>5</v>
      </c>
      <c r="J97" s="9">
        <v>10000</v>
      </c>
      <c r="K97" s="9" t="s">
        <v>145</v>
      </c>
      <c r="L97" s="9" t="s">
        <v>9</v>
      </c>
      <c r="M97" s="9"/>
      <c r="N97" s="9"/>
      <c r="O97" s="10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t="s">
        <v>261</v>
      </c>
      <c r="BQ97" t="s">
        <v>272</v>
      </c>
    </row>
    <row r="98" ht="18" customHeight="1" spans="1:69" x14ac:dyDescent="0.25">
      <c r="A98" s="9"/>
      <c r="B98" s="9"/>
      <c r="C98" s="9"/>
      <c r="D98" s="9"/>
      <c r="E98" s="9"/>
      <c r="F98" s="10"/>
      <c r="G98" s="10"/>
      <c r="H98" s="9" t="s">
        <v>139</v>
      </c>
      <c r="I98" s="9"/>
      <c r="J98" s="9"/>
      <c r="K98" s="9"/>
      <c r="L98" s="9"/>
      <c r="M98" s="9"/>
      <c r="N98" s="9"/>
      <c r="O98" s="10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t="s">
        <v>261</v>
      </c>
      <c r="BQ98" t="s">
        <v>272</v>
      </c>
    </row>
    <row r="99" ht="28" customHeight="1" spans="1:69" x14ac:dyDescent="0.25">
      <c r="A99" s="9"/>
      <c r="B99" s="9"/>
      <c r="C99" s="9"/>
      <c r="D99" s="9"/>
      <c r="E99" s="9"/>
      <c r="F99" s="10" t="s">
        <v>273</v>
      </c>
      <c r="G99" s="10" t="s">
        <v>274</v>
      </c>
      <c r="H99" s="9" t="s">
        <v>136</v>
      </c>
      <c r="I99" s="9">
        <v>2</v>
      </c>
      <c r="J99" s="9">
        <v>1</v>
      </c>
      <c r="K99" s="9" t="s">
        <v>5</v>
      </c>
      <c r="L99" s="9" t="s">
        <v>137</v>
      </c>
      <c r="M99" s="9"/>
      <c r="N99" s="9"/>
      <c r="O99" s="10"/>
      <c r="P99" s="13"/>
      <c r="Q99" s="13"/>
      <c r="R99" s="16">
        <v>2</v>
      </c>
      <c r="S99" s="13"/>
      <c r="T99" s="13"/>
      <c r="U99" s="13"/>
      <c r="V99" s="13"/>
      <c r="W99" s="16">
        <v>2</v>
      </c>
      <c r="X99" s="13"/>
      <c r="Y99" s="13"/>
      <c r="Z99" s="13"/>
      <c r="AA99" s="16">
        <v>2</v>
      </c>
      <c r="AB99" s="13"/>
      <c r="AC99" s="13"/>
      <c r="AD99" s="13"/>
      <c r="AE99" s="16">
        <v>2</v>
      </c>
      <c r="AF99" s="13"/>
      <c r="AG99" s="13"/>
      <c r="AH99" s="13"/>
      <c r="AI99" s="16">
        <v>2</v>
      </c>
      <c r="AJ99" s="13"/>
      <c r="AK99" s="13"/>
      <c r="AL99" s="13"/>
      <c r="AM99" s="13"/>
      <c r="AN99" s="16">
        <v>2</v>
      </c>
      <c r="AO99" s="13"/>
      <c r="AP99" s="13"/>
      <c r="AQ99" s="13"/>
      <c r="AR99" s="16">
        <v>2</v>
      </c>
      <c r="AS99" s="13"/>
      <c r="AT99" s="13"/>
      <c r="AU99" s="13"/>
      <c r="AV99" s="13"/>
      <c r="AW99" s="16">
        <v>2</v>
      </c>
      <c r="AX99" s="13"/>
      <c r="AY99" s="13"/>
      <c r="AZ99" s="13"/>
      <c r="BA99" s="16">
        <v>2</v>
      </c>
      <c r="BB99" s="13"/>
      <c r="BC99" s="13"/>
      <c r="BD99" s="13"/>
      <c r="BE99" s="16">
        <v>2</v>
      </c>
      <c r="BF99" s="13"/>
      <c r="BG99" s="13"/>
      <c r="BH99" s="13"/>
      <c r="BI99" s="13"/>
      <c r="BJ99" s="16">
        <v>2</v>
      </c>
      <c r="BK99" s="13"/>
      <c r="BL99" s="13"/>
      <c r="BM99" s="13"/>
      <c r="BN99" s="16">
        <v>2</v>
      </c>
      <c r="BO99" s="13"/>
      <c r="BP99" t="s">
        <v>261</v>
      </c>
      <c r="BQ99" t="s">
        <v>275</v>
      </c>
    </row>
    <row r="100" ht="18" customHeight="1" spans="1:69" x14ac:dyDescent="0.25">
      <c r="A100" s="9"/>
      <c r="B100" s="9"/>
      <c r="C100" s="9"/>
      <c r="D100" s="9"/>
      <c r="E100" s="9"/>
      <c r="F100" s="10"/>
      <c r="G100" s="10"/>
      <c r="H100" s="9" t="s">
        <v>139</v>
      </c>
      <c r="I100" s="9"/>
      <c r="J100" s="9"/>
      <c r="K100" s="9"/>
      <c r="L100" s="9"/>
      <c r="M100" s="9"/>
      <c r="N100" s="9"/>
      <c r="O100" s="10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t="s">
        <v>261</v>
      </c>
      <c r="BQ100" t="s">
        <v>275</v>
      </c>
    </row>
    <row r="101" ht="28" customHeight="1" spans="1:69" x14ac:dyDescent="0.25">
      <c r="A101" s="9"/>
      <c r="B101" s="9"/>
      <c r="C101" s="9"/>
      <c r="D101" s="9"/>
      <c r="E101" s="9"/>
      <c r="F101" s="10" t="s">
        <v>276</v>
      </c>
      <c r="G101" s="10" t="s">
        <v>277</v>
      </c>
      <c r="H101" s="9" t="s">
        <v>136</v>
      </c>
      <c r="I101" s="9">
        <v>2</v>
      </c>
      <c r="J101" s="9">
        <v>1</v>
      </c>
      <c r="K101" s="9" t="s">
        <v>5</v>
      </c>
      <c r="L101" s="9" t="s">
        <v>137</v>
      </c>
      <c r="M101" s="9"/>
      <c r="N101" s="9"/>
      <c r="O101" s="10"/>
      <c r="P101" s="13"/>
      <c r="Q101" s="13"/>
      <c r="R101" s="16">
        <v>2</v>
      </c>
      <c r="S101" s="13"/>
      <c r="T101" s="13"/>
      <c r="U101" s="13"/>
      <c r="V101" s="13"/>
      <c r="W101" s="16">
        <v>2</v>
      </c>
      <c r="X101" s="13"/>
      <c r="Y101" s="13"/>
      <c r="Z101" s="13"/>
      <c r="AA101" s="16">
        <v>2</v>
      </c>
      <c r="AB101" s="13"/>
      <c r="AC101" s="13"/>
      <c r="AD101" s="13"/>
      <c r="AE101" s="16">
        <v>2</v>
      </c>
      <c r="AF101" s="13"/>
      <c r="AG101" s="13"/>
      <c r="AH101" s="13"/>
      <c r="AI101" s="16">
        <v>2</v>
      </c>
      <c r="AJ101" s="13"/>
      <c r="AK101" s="13"/>
      <c r="AL101" s="13"/>
      <c r="AM101" s="13"/>
      <c r="AN101" s="16">
        <v>2</v>
      </c>
      <c r="AO101" s="13"/>
      <c r="AP101" s="13"/>
      <c r="AQ101" s="13"/>
      <c r="AR101" s="16">
        <v>2</v>
      </c>
      <c r="AS101" s="13"/>
      <c r="AT101" s="13"/>
      <c r="AU101" s="13"/>
      <c r="AV101" s="13"/>
      <c r="AW101" s="16">
        <v>2</v>
      </c>
      <c r="AX101" s="13"/>
      <c r="AY101" s="13"/>
      <c r="AZ101" s="13"/>
      <c r="BA101" s="16">
        <v>2</v>
      </c>
      <c r="BB101" s="13"/>
      <c r="BC101" s="13"/>
      <c r="BD101" s="13"/>
      <c r="BE101" s="16">
        <v>2</v>
      </c>
      <c r="BF101" s="13"/>
      <c r="BG101" s="13"/>
      <c r="BH101" s="13"/>
      <c r="BI101" s="13"/>
      <c r="BJ101" s="16">
        <v>2</v>
      </c>
      <c r="BK101" s="13"/>
      <c r="BL101" s="13"/>
      <c r="BM101" s="13"/>
      <c r="BN101" s="16">
        <v>2</v>
      </c>
      <c r="BO101" s="13"/>
      <c r="BP101" t="s">
        <v>261</v>
      </c>
      <c r="BQ101" t="s">
        <v>278</v>
      </c>
    </row>
    <row r="102" ht="18" customHeight="1" spans="1:69" x14ac:dyDescent="0.25">
      <c r="A102" s="9"/>
      <c r="B102" s="9"/>
      <c r="C102" s="9"/>
      <c r="D102" s="9"/>
      <c r="E102" s="9"/>
      <c r="F102" s="10"/>
      <c r="G102" s="10"/>
      <c r="H102" s="9" t="s">
        <v>139</v>
      </c>
      <c r="I102" s="9"/>
      <c r="J102" s="9"/>
      <c r="K102" s="9"/>
      <c r="L102" s="9"/>
      <c r="M102" s="9"/>
      <c r="N102" s="9"/>
      <c r="O102" s="10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t="s">
        <v>261</v>
      </c>
      <c r="BQ102" t="s">
        <v>278</v>
      </c>
    </row>
    <row r="103" ht="28" customHeight="1" spans="1:69" x14ac:dyDescent="0.25">
      <c r="A103" s="9"/>
      <c r="B103" s="9"/>
      <c r="C103" s="9"/>
      <c r="D103" s="9"/>
      <c r="E103" s="9"/>
      <c r="F103" s="10" t="s">
        <v>279</v>
      </c>
      <c r="G103" s="10" t="s">
        <v>280</v>
      </c>
      <c r="H103" s="9" t="s">
        <v>136</v>
      </c>
      <c r="I103" s="9">
        <v>2</v>
      </c>
      <c r="J103" s="9">
        <v>1</v>
      </c>
      <c r="K103" s="9" t="s">
        <v>5</v>
      </c>
      <c r="L103" s="9" t="s">
        <v>137</v>
      </c>
      <c r="M103" s="9"/>
      <c r="N103" s="9"/>
      <c r="O103" s="10"/>
      <c r="P103" s="13"/>
      <c r="Q103" s="13"/>
      <c r="R103" s="16">
        <v>2</v>
      </c>
      <c r="S103" s="13"/>
      <c r="T103" s="13"/>
      <c r="U103" s="13"/>
      <c r="V103" s="13"/>
      <c r="W103" s="16">
        <v>2</v>
      </c>
      <c r="X103" s="13"/>
      <c r="Y103" s="13"/>
      <c r="Z103" s="13"/>
      <c r="AA103" s="16">
        <v>2</v>
      </c>
      <c r="AB103" s="13"/>
      <c r="AC103" s="13"/>
      <c r="AD103" s="13"/>
      <c r="AE103" s="16">
        <v>2</v>
      </c>
      <c r="AF103" s="13"/>
      <c r="AG103" s="13"/>
      <c r="AH103" s="13"/>
      <c r="AI103" s="16">
        <v>2</v>
      </c>
      <c r="AJ103" s="13"/>
      <c r="AK103" s="13"/>
      <c r="AL103" s="13"/>
      <c r="AM103" s="13"/>
      <c r="AN103" s="16">
        <v>2</v>
      </c>
      <c r="AO103" s="13"/>
      <c r="AP103" s="13"/>
      <c r="AQ103" s="13"/>
      <c r="AR103" s="16">
        <v>2</v>
      </c>
      <c r="AS103" s="13"/>
      <c r="AT103" s="13"/>
      <c r="AU103" s="13"/>
      <c r="AV103" s="13"/>
      <c r="AW103" s="16">
        <v>2</v>
      </c>
      <c r="AX103" s="13"/>
      <c r="AY103" s="13"/>
      <c r="AZ103" s="13"/>
      <c r="BA103" s="16">
        <v>2</v>
      </c>
      <c r="BB103" s="13"/>
      <c r="BC103" s="13"/>
      <c r="BD103" s="13"/>
      <c r="BE103" s="16">
        <v>2</v>
      </c>
      <c r="BF103" s="13"/>
      <c r="BG103" s="13"/>
      <c r="BH103" s="13"/>
      <c r="BI103" s="13"/>
      <c r="BJ103" s="16">
        <v>2</v>
      </c>
      <c r="BK103" s="13"/>
      <c r="BL103" s="13"/>
      <c r="BM103" s="13"/>
      <c r="BN103" s="16">
        <v>2</v>
      </c>
      <c r="BO103" s="13"/>
      <c r="BP103" t="s">
        <v>261</v>
      </c>
      <c r="BQ103" t="s">
        <v>281</v>
      </c>
    </row>
    <row r="104" ht="18" customHeight="1" spans="1:69" x14ac:dyDescent="0.25">
      <c r="A104" s="9"/>
      <c r="B104" s="9"/>
      <c r="C104" s="9"/>
      <c r="D104" s="9"/>
      <c r="E104" s="9"/>
      <c r="F104" s="10"/>
      <c r="G104" s="10"/>
      <c r="H104" s="9" t="s">
        <v>139</v>
      </c>
      <c r="I104" s="9"/>
      <c r="J104" s="9"/>
      <c r="K104" s="9"/>
      <c r="L104" s="9"/>
      <c r="M104" s="9"/>
      <c r="N104" s="9"/>
      <c r="O104" s="10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t="s">
        <v>261</v>
      </c>
      <c r="BQ104" t="s">
        <v>281</v>
      </c>
    </row>
    <row r="105" ht="28" customHeight="1" spans="1:69" x14ac:dyDescent="0.25">
      <c r="A105" s="9"/>
      <c r="B105" s="9"/>
      <c r="C105" s="9"/>
      <c r="D105" s="9"/>
      <c r="E105" s="9"/>
      <c r="F105" s="10" t="s">
        <v>282</v>
      </c>
      <c r="G105" s="10" t="s">
        <v>283</v>
      </c>
      <c r="H105" s="9" t="s">
        <v>136</v>
      </c>
      <c r="I105" s="9">
        <v>1</v>
      </c>
      <c r="J105" s="9">
        <v>1</v>
      </c>
      <c r="K105" s="9" t="s">
        <v>4</v>
      </c>
      <c r="L105" s="9" t="s">
        <v>137</v>
      </c>
      <c r="M105" s="9"/>
      <c r="N105" s="9"/>
      <c r="O105" s="10"/>
      <c r="P105" s="11">
        <v>1</v>
      </c>
      <c r="Q105" s="11">
        <v>1</v>
      </c>
      <c r="R105" s="11">
        <v>1</v>
      </c>
      <c r="S105" s="11">
        <v>1</v>
      </c>
      <c r="T105" s="11">
        <v>1</v>
      </c>
      <c r="U105" s="11">
        <v>1</v>
      </c>
      <c r="V105" s="11">
        <v>1</v>
      </c>
      <c r="W105" s="11">
        <v>1</v>
      </c>
      <c r="X105" s="11">
        <v>1</v>
      </c>
      <c r="Y105" s="11">
        <v>1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11">
        <v>1</v>
      </c>
      <c r="AG105" s="11">
        <v>1</v>
      </c>
      <c r="AH105" s="11">
        <v>1</v>
      </c>
      <c r="AI105" s="11">
        <v>1</v>
      </c>
      <c r="AJ105" s="11">
        <v>1</v>
      </c>
      <c r="AK105" s="11">
        <v>1</v>
      </c>
      <c r="AL105" s="11">
        <v>1</v>
      </c>
      <c r="AM105" s="11">
        <v>1</v>
      </c>
      <c r="AN105" s="11">
        <v>1</v>
      </c>
      <c r="AO105" s="11">
        <v>1</v>
      </c>
      <c r="AP105" s="11">
        <v>1</v>
      </c>
      <c r="AQ105" s="11">
        <v>1</v>
      </c>
      <c r="AR105" s="11">
        <v>1</v>
      </c>
      <c r="AS105" s="11">
        <v>1</v>
      </c>
      <c r="AT105" s="11">
        <v>1</v>
      </c>
      <c r="AU105" s="11">
        <v>1</v>
      </c>
      <c r="AV105" s="11">
        <v>1</v>
      </c>
      <c r="AW105" s="11">
        <v>1</v>
      </c>
      <c r="AX105" s="11">
        <v>1</v>
      </c>
      <c r="AY105" s="11">
        <v>1</v>
      </c>
      <c r="AZ105" s="11">
        <v>1</v>
      </c>
      <c r="BA105" s="11">
        <v>1</v>
      </c>
      <c r="BB105" s="11">
        <v>1</v>
      </c>
      <c r="BC105" s="11">
        <v>1</v>
      </c>
      <c r="BD105" s="11">
        <v>1</v>
      </c>
      <c r="BE105" s="11">
        <v>1</v>
      </c>
      <c r="BF105" s="11">
        <v>1</v>
      </c>
      <c r="BG105" s="11">
        <v>1</v>
      </c>
      <c r="BH105" s="11">
        <v>1</v>
      </c>
      <c r="BI105" s="11">
        <v>1</v>
      </c>
      <c r="BJ105" s="11">
        <v>1</v>
      </c>
      <c r="BK105" s="11">
        <v>1</v>
      </c>
      <c r="BL105" s="11">
        <v>1</v>
      </c>
      <c r="BM105" s="11">
        <v>1</v>
      </c>
      <c r="BN105" s="11">
        <v>1</v>
      </c>
      <c r="BO105" s="11">
        <v>1</v>
      </c>
      <c r="BP105" t="s">
        <v>261</v>
      </c>
      <c r="BQ105" t="s">
        <v>284</v>
      </c>
    </row>
    <row r="106" ht="18" customHeight="1" spans="1:69" x14ac:dyDescent="0.25">
      <c r="A106" s="9"/>
      <c r="B106" s="9"/>
      <c r="C106" s="9"/>
      <c r="D106" s="9"/>
      <c r="E106" s="9"/>
      <c r="F106" s="10"/>
      <c r="G106" s="10"/>
      <c r="H106" s="9" t="s">
        <v>139</v>
      </c>
      <c r="I106" s="9"/>
      <c r="J106" s="9"/>
      <c r="K106" s="9"/>
      <c r="L106" s="9"/>
      <c r="M106" s="9"/>
      <c r="N106" s="9"/>
      <c r="O106" s="10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t="s">
        <v>261</v>
      </c>
      <c r="BQ106" t="s">
        <v>284</v>
      </c>
    </row>
    <row r="107" ht="28" customHeight="1" spans="1:69" x14ac:dyDescent="0.25">
      <c r="A107" s="9"/>
      <c r="B107" s="9"/>
      <c r="C107" s="9"/>
      <c r="D107" s="9"/>
      <c r="E107" s="9"/>
      <c r="F107" s="10" t="s">
        <v>285</v>
      </c>
      <c r="G107" s="10" t="s">
        <v>286</v>
      </c>
      <c r="H107" s="9" t="s">
        <v>136</v>
      </c>
      <c r="I107" s="9">
        <v>1</v>
      </c>
      <c r="J107" s="9">
        <v>1</v>
      </c>
      <c r="K107" s="9" t="s">
        <v>4</v>
      </c>
      <c r="L107" s="9" t="s">
        <v>137</v>
      </c>
      <c r="M107" s="9"/>
      <c r="N107" s="9"/>
      <c r="O107" s="10"/>
      <c r="P107" s="11">
        <v>1</v>
      </c>
      <c r="Q107" s="11">
        <v>1</v>
      </c>
      <c r="R107" s="11">
        <v>1</v>
      </c>
      <c r="S107" s="11">
        <v>1</v>
      </c>
      <c r="T107" s="11">
        <v>1</v>
      </c>
      <c r="U107" s="11">
        <v>1</v>
      </c>
      <c r="V107" s="11">
        <v>1</v>
      </c>
      <c r="W107" s="11">
        <v>1</v>
      </c>
      <c r="X107" s="11">
        <v>1</v>
      </c>
      <c r="Y107" s="11">
        <v>1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11">
        <v>1</v>
      </c>
      <c r="AG107" s="11">
        <v>1</v>
      </c>
      <c r="AH107" s="11">
        <v>1</v>
      </c>
      <c r="AI107" s="11">
        <v>1</v>
      </c>
      <c r="AJ107" s="11">
        <v>1</v>
      </c>
      <c r="AK107" s="11">
        <v>1</v>
      </c>
      <c r="AL107" s="11">
        <v>1</v>
      </c>
      <c r="AM107" s="11">
        <v>1</v>
      </c>
      <c r="AN107" s="11">
        <v>1</v>
      </c>
      <c r="AO107" s="11">
        <v>1</v>
      </c>
      <c r="AP107" s="11">
        <v>1</v>
      </c>
      <c r="AQ107" s="11">
        <v>1</v>
      </c>
      <c r="AR107" s="11">
        <v>1</v>
      </c>
      <c r="AS107" s="11">
        <v>1</v>
      </c>
      <c r="AT107" s="11">
        <v>1</v>
      </c>
      <c r="AU107" s="11">
        <v>1</v>
      </c>
      <c r="AV107" s="11">
        <v>1</v>
      </c>
      <c r="AW107" s="11">
        <v>1</v>
      </c>
      <c r="AX107" s="11">
        <v>1</v>
      </c>
      <c r="AY107" s="11">
        <v>1</v>
      </c>
      <c r="AZ107" s="11">
        <v>1</v>
      </c>
      <c r="BA107" s="11">
        <v>1</v>
      </c>
      <c r="BB107" s="11">
        <v>1</v>
      </c>
      <c r="BC107" s="11">
        <v>1</v>
      </c>
      <c r="BD107" s="11">
        <v>1</v>
      </c>
      <c r="BE107" s="11">
        <v>1</v>
      </c>
      <c r="BF107" s="11">
        <v>1</v>
      </c>
      <c r="BG107" s="11">
        <v>1</v>
      </c>
      <c r="BH107" s="11">
        <v>1</v>
      </c>
      <c r="BI107" s="11">
        <v>1</v>
      </c>
      <c r="BJ107" s="11">
        <v>1</v>
      </c>
      <c r="BK107" s="11">
        <v>1</v>
      </c>
      <c r="BL107" s="11">
        <v>1</v>
      </c>
      <c r="BM107" s="11">
        <v>1</v>
      </c>
      <c r="BN107" s="11">
        <v>1</v>
      </c>
      <c r="BO107" s="11">
        <v>1</v>
      </c>
      <c r="BP107" t="s">
        <v>261</v>
      </c>
      <c r="BQ107" t="s">
        <v>287</v>
      </c>
    </row>
    <row r="108" ht="18" customHeight="1" spans="1:69" x14ac:dyDescent="0.25">
      <c r="A108" s="9"/>
      <c r="B108" s="9"/>
      <c r="C108" s="9"/>
      <c r="D108" s="9"/>
      <c r="E108" s="9"/>
      <c r="F108" s="10"/>
      <c r="G108" s="10"/>
      <c r="H108" s="9" t="s">
        <v>139</v>
      </c>
      <c r="I108" s="9"/>
      <c r="J108" s="9"/>
      <c r="K108" s="9"/>
      <c r="L108" s="9"/>
      <c r="M108" s="9"/>
      <c r="N108" s="9"/>
      <c r="O108" s="10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t="s">
        <v>261</v>
      </c>
      <c r="BQ108" t="s">
        <v>287</v>
      </c>
    </row>
    <row r="109" ht="28" customHeight="1" spans="1:69" x14ac:dyDescent="0.25">
      <c r="A109" s="9" t="s">
        <v>288</v>
      </c>
      <c r="B109" s="9" t="s">
        <v>289</v>
      </c>
      <c r="C109" s="9" t="s">
        <v>290</v>
      </c>
      <c r="D109" s="9" t="s">
        <v>291</v>
      </c>
      <c r="E109" s="9" t="s">
        <v>264</v>
      </c>
      <c r="F109" s="10" t="s">
        <v>134</v>
      </c>
      <c r="G109" s="10" t="s">
        <v>169</v>
      </c>
      <c r="H109" s="9" t="s">
        <v>136</v>
      </c>
      <c r="I109" s="9">
        <v>1</v>
      </c>
      <c r="J109" s="9">
        <v>1</v>
      </c>
      <c r="K109" s="9" t="s">
        <v>4</v>
      </c>
      <c r="L109" s="9" t="s">
        <v>137</v>
      </c>
      <c r="M109" s="9"/>
      <c r="N109" s="9"/>
      <c r="O109" s="10"/>
      <c r="P109" s="11">
        <v>1</v>
      </c>
      <c r="Q109" s="11">
        <v>1</v>
      </c>
      <c r="R109" s="11">
        <v>1</v>
      </c>
      <c r="S109" s="11">
        <v>1</v>
      </c>
      <c r="T109" s="11">
        <v>1</v>
      </c>
      <c r="U109" s="11">
        <v>1</v>
      </c>
      <c r="V109" s="11">
        <v>1</v>
      </c>
      <c r="W109" s="11">
        <v>1</v>
      </c>
      <c r="X109" s="11">
        <v>1</v>
      </c>
      <c r="Y109" s="11">
        <v>1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11">
        <v>1</v>
      </c>
      <c r="AG109" s="11">
        <v>1</v>
      </c>
      <c r="AH109" s="11">
        <v>1</v>
      </c>
      <c r="AI109" s="11">
        <v>1</v>
      </c>
      <c r="AJ109" s="11">
        <v>1</v>
      </c>
      <c r="AK109" s="11">
        <v>1</v>
      </c>
      <c r="AL109" s="11">
        <v>1</v>
      </c>
      <c r="AM109" s="11">
        <v>1</v>
      </c>
      <c r="AN109" s="11">
        <v>1</v>
      </c>
      <c r="AO109" s="11">
        <v>1</v>
      </c>
      <c r="AP109" s="11">
        <v>1</v>
      </c>
      <c r="AQ109" s="11">
        <v>1</v>
      </c>
      <c r="AR109" s="11">
        <v>1</v>
      </c>
      <c r="AS109" s="11">
        <v>1</v>
      </c>
      <c r="AT109" s="11">
        <v>1</v>
      </c>
      <c r="AU109" s="11">
        <v>1</v>
      </c>
      <c r="AV109" s="11">
        <v>1</v>
      </c>
      <c r="AW109" s="11">
        <v>1</v>
      </c>
      <c r="AX109" s="11">
        <v>1</v>
      </c>
      <c r="AY109" s="11">
        <v>1</v>
      </c>
      <c r="AZ109" s="11">
        <v>1</v>
      </c>
      <c r="BA109" s="11">
        <v>1</v>
      </c>
      <c r="BB109" s="11">
        <v>1</v>
      </c>
      <c r="BC109" s="11">
        <v>1</v>
      </c>
      <c r="BD109" s="11">
        <v>1</v>
      </c>
      <c r="BE109" s="11">
        <v>1</v>
      </c>
      <c r="BF109" s="11">
        <v>1</v>
      </c>
      <c r="BG109" s="11">
        <v>1</v>
      </c>
      <c r="BH109" s="11">
        <v>1</v>
      </c>
      <c r="BI109" s="11">
        <v>1</v>
      </c>
      <c r="BJ109" s="11">
        <v>1</v>
      </c>
      <c r="BK109" s="11">
        <v>1</v>
      </c>
      <c r="BL109" s="11">
        <v>1</v>
      </c>
      <c r="BM109" s="11">
        <v>1</v>
      </c>
      <c r="BN109" s="11">
        <v>1</v>
      </c>
      <c r="BO109" s="11">
        <v>1</v>
      </c>
      <c r="BP109" t="s">
        <v>289</v>
      </c>
      <c r="BQ109" t="s">
        <v>292</v>
      </c>
    </row>
    <row r="110" ht="18" customHeight="1" spans="1:69" x14ac:dyDescent="0.25">
      <c r="A110" s="9"/>
      <c r="B110" s="9"/>
      <c r="C110" s="9"/>
      <c r="D110" s="9"/>
      <c r="E110" s="9"/>
      <c r="F110" s="10"/>
      <c r="G110" s="10"/>
      <c r="H110" s="9" t="s">
        <v>139</v>
      </c>
      <c r="I110" s="9"/>
      <c r="J110" s="9"/>
      <c r="K110" s="9"/>
      <c r="L110" s="9"/>
      <c r="M110" s="9"/>
      <c r="N110" s="9"/>
      <c r="O110" s="10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t="s">
        <v>289</v>
      </c>
      <c r="BQ110" t="s">
        <v>292</v>
      </c>
    </row>
    <row r="111" ht="28" customHeight="1" spans="1:69" x14ac:dyDescent="0.25">
      <c r="A111" s="9"/>
      <c r="B111" s="9"/>
      <c r="C111" s="9"/>
      <c r="D111" s="9"/>
      <c r="E111" s="9"/>
      <c r="F111" s="10" t="s">
        <v>171</v>
      </c>
      <c r="G111" s="10" t="s">
        <v>172</v>
      </c>
      <c r="H111" s="9" t="s">
        <v>136</v>
      </c>
      <c r="I111" s="9">
        <v>3</v>
      </c>
      <c r="J111" s="9">
        <v>2000</v>
      </c>
      <c r="K111" s="9" t="s">
        <v>192</v>
      </c>
      <c r="L111" s="9" t="s">
        <v>9</v>
      </c>
      <c r="M111" s="9"/>
      <c r="N111" s="9" t="s">
        <v>193</v>
      </c>
      <c r="O111" s="10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5">
        <v>3</v>
      </c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5">
        <v>3</v>
      </c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5">
        <v>3</v>
      </c>
      <c r="BP111" t="s">
        <v>289</v>
      </c>
      <c r="BQ111" t="s">
        <v>293</v>
      </c>
    </row>
    <row r="112" ht="18" customHeight="1" spans="1:69" x14ac:dyDescent="0.25">
      <c r="A112" s="9"/>
      <c r="B112" s="9"/>
      <c r="C112" s="9"/>
      <c r="D112" s="9"/>
      <c r="E112" s="9"/>
      <c r="F112" s="10"/>
      <c r="G112" s="10"/>
      <c r="H112" s="9" t="s">
        <v>139</v>
      </c>
      <c r="I112" s="9"/>
      <c r="J112" s="9"/>
      <c r="K112" s="9"/>
      <c r="L112" s="9"/>
      <c r="M112" s="9"/>
      <c r="N112" s="9"/>
      <c r="O112" s="10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t="s">
        <v>289</v>
      </c>
      <c r="BQ112" t="s">
        <v>293</v>
      </c>
    </row>
    <row r="113" ht="28" customHeight="1" spans="1:69" x14ac:dyDescent="0.25">
      <c r="A113" s="9"/>
      <c r="B113" s="9"/>
      <c r="C113" s="9"/>
      <c r="D113" s="9"/>
      <c r="E113" s="9"/>
      <c r="F113" s="10" t="s">
        <v>171</v>
      </c>
      <c r="G113" s="10" t="s">
        <v>144</v>
      </c>
      <c r="H113" s="9" t="s">
        <v>136</v>
      </c>
      <c r="I113" s="9">
        <v>5</v>
      </c>
      <c r="J113" s="9">
        <v>10000</v>
      </c>
      <c r="K113" s="9" t="s">
        <v>145</v>
      </c>
      <c r="L113" s="9" t="s">
        <v>9</v>
      </c>
      <c r="M113" s="9"/>
      <c r="N113" s="9"/>
      <c r="O113" s="10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t="s">
        <v>289</v>
      </c>
      <c r="BQ113" t="s">
        <v>294</v>
      </c>
    </row>
    <row r="114" ht="18" customHeight="1" spans="1:69" x14ac:dyDescent="0.25">
      <c r="A114" s="9"/>
      <c r="B114" s="9"/>
      <c r="C114" s="9"/>
      <c r="D114" s="9"/>
      <c r="E114" s="9"/>
      <c r="F114" s="10"/>
      <c r="G114" s="10"/>
      <c r="H114" s="9" t="s">
        <v>139</v>
      </c>
      <c r="I114" s="9"/>
      <c r="J114" s="9"/>
      <c r="K114" s="9"/>
      <c r="L114" s="9"/>
      <c r="M114" s="9"/>
      <c r="N114" s="9"/>
      <c r="O114" s="10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t="s">
        <v>289</v>
      </c>
      <c r="BQ114" t="s">
        <v>294</v>
      </c>
    </row>
    <row r="115" ht="28" customHeight="1" spans="1:69" x14ac:dyDescent="0.25">
      <c r="A115" s="9"/>
      <c r="B115" s="9"/>
      <c r="C115" s="9"/>
      <c r="D115" s="9"/>
      <c r="E115" s="9"/>
      <c r="F115" s="10" t="s">
        <v>276</v>
      </c>
      <c r="G115" s="10" t="s">
        <v>295</v>
      </c>
      <c r="H115" s="9" t="s">
        <v>136</v>
      </c>
      <c r="I115" s="9">
        <v>2</v>
      </c>
      <c r="J115" s="9">
        <v>1</v>
      </c>
      <c r="K115" s="9" t="s">
        <v>5</v>
      </c>
      <c r="L115" s="9" t="s">
        <v>137</v>
      </c>
      <c r="M115" s="9"/>
      <c r="N115" s="9"/>
      <c r="O115" s="10"/>
      <c r="P115" s="13"/>
      <c r="Q115" s="13"/>
      <c r="R115" s="16">
        <v>2</v>
      </c>
      <c r="S115" s="13"/>
      <c r="T115" s="13"/>
      <c r="U115" s="13"/>
      <c r="V115" s="13"/>
      <c r="W115" s="16">
        <v>2</v>
      </c>
      <c r="X115" s="13"/>
      <c r="Y115" s="13"/>
      <c r="Z115" s="13"/>
      <c r="AA115" s="16">
        <v>2</v>
      </c>
      <c r="AB115" s="13"/>
      <c r="AC115" s="13"/>
      <c r="AD115" s="13"/>
      <c r="AE115" s="16">
        <v>2</v>
      </c>
      <c r="AF115" s="13"/>
      <c r="AG115" s="13"/>
      <c r="AH115" s="13"/>
      <c r="AI115" s="16">
        <v>2</v>
      </c>
      <c r="AJ115" s="13"/>
      <c r="AK115" s="13"/>
      <c r="AL115" s="13"/>
      <c r="AM115" s="13"/>
      <c r="AN115" s="16">
        <v>2</v>
      </c>
      <c r="AO115" s="13"/>
      <c r="AP115" s="13"/>
      <c r="AQ115" s="13"/>
      <c r="AR115" s="16">
        <v>2</v>
      </c>
      <c r="AS115" s="13"/>
      <c r="AT115" s="13"/>
      <c r="AU115" s="13"/>
      <c r="AV115" s="13"/>
      <c r="AW115" s="16">
        <v>2</v>
      </c>
      <c r="AX115" s="13"/>
      <c r="AY115" s="13"/>
      <c r="AZ115" s="13"/>
      <c r="BA115" s="16">
        <v>2</v>
      </c>
      <c r="BB115" s="13"/>
      <c r="BC115" s="13"/>
      <c r="BD115" s="13"/>
      <c r="BE115" s="16">
        <v>2</v>
      </c>
      <c r="BF115" s="13"/>
      <c r="BG115" s="13"/>
      <c r="BH115" s="13"/>
      <c r="BI115" s="13"/>
      <c r="BJ115" s="16">
        <v>2</v>
      </c>
      <c r="BK115" s="13"/>
      <c r="BL115" s="13"/>
      <c r="BM115" s="13"/>
      <c r="BN115" s="16">
        <v>2</v>
      </c>
      <c r="BO115" s="13"/>
      <c r="BP115" t="s">
        <v>289</v>
      </c>
      <c r="BQ115" t="s">
        <v>296</v>
      </c>
    </row>
    <row r="116" ht="18" customHeight="1" spans="1:69" x14ac:dyDescent="0.25">
      <c r="A116" s="9"/>
      <c r="B116" s="9"/>
      <c r="C116" s="9"/>
      <c r="D116" s="9"/>
      <c r="E116" s="9"/>
      <c r="F116" s="10"/>
      <c r="G116" s="10"/>
      <c r="H116" s="9" t="s">
        <v>139</v>
      </c>
      <c r="I116" s="9"/>
      <c r="J116" s="9"/>
      <c r="K116" s="9"/>
      <c r="L116" s="9"/>
      <c r="M116" s="9"/>
      <c r="N116" s="9"/>
      <c r="O116" s="10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t="s">
        <v>289</v>
      </c>
      <c r="BQ116" t="s">
        <v>296</v>
      </c>
    </row>
    <row r="117" ht="28" customHeight="1" spans="1:69" x14ac:dyDescent="0.25">
      <c r="A117" s="9"/>
      <c r="B117" s="9" t="s">
        <v>297</v>
      </c>
      <c r="C117" s="9" t="s">
        <v>298</v>
      </c>
      <c r="D117" s="9" t="s">
        <v>299</v>
      </c>
      <c r="E117" s="9" t="s">
        <v>300</v>
      </c>
      <c r="F117" s="10" t="s">
        <v>134</v>
      </c>
      <c r="G117" s="10" t="s">
        <v>301</v>
      </c>
      <c r="H117" s="9" t="s">
        <v>136</v>
      </c>
      <c r="I117" s="9">
        <v>1</v>
      </c>
      <c r="J117" s="9">
        <v>1</v>
      </c>
      <c r="K117" s="9" t="s">
        <v>4</v>
      </c>
      <c r="L117" s="9" t="s">
        <v>137</v>
      </c>
      <c r="M117" s="9"/>
      <c r="N117" s="9"/>
      <c r="O117" s="10"/>
      <c r="P117" s="11">
        <v>1</v>
      </c>
      <c r="Q117" s="11">
        <v>1</v>
      </c>
      <c r="R117" s="11">
        <v>1</v>
      </c>
      <c r="S117" s="11">
        <v>1</v>
      </c>
      <c r="T117" s="11">
        <v>1</v>
      </c>
      <c r="U117" s="11">
        <v>1</v>
      </c>
      <c r="V117" s="11">
        <v>1</v>
      </c>
      <c r="W117" s="11">
        <v>1</v>
      </c>
      <c r="X117" s="11">
        <v>1</v>
      </c>
      <c r="Y117" s="11">
        <v>1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11">
        <v>1</v>
      </c>
      <c r="AG117" s="11">
        <v>1</v>
      </c>
      <c r="AH117" s="11">
        <v>1</v>
      </c>
      <c r="AI117" s="11">
        <v>1</v>
      </c>
      <c r="AJ117" s="11">
        <v>1</v>
      </c>
      <c r="AK117" s="11">
        <v>1</v>
      </c>
      <c r="AL117" s="11">
        <v>1</v>
      </c>
      <c r="AM117" s="11">
        <v>1</v>
      </c>
      <c r="AN117" s="11">
        <v>1</v>
      </c>
      <c r="AO117" s="11">
        <v>1</v>
      </c>
      <c r="AP117" s="11">
        <v>1</v>
      </c>
      <c r="AQ117" s="11">
        <v>1</v>
      </c>
      <c r="AR117" s="11">
        <v>1</v>
      </c>
      <c r="AS117" s="11">
        <v>1</v>
      </c>
      <c r="AT117" s="11">
        <v>1</v>
      </c>
      <c r="AU117" s="11">
        <v>1</v>
      </c>
      <c r="AV117" s="11">
        <v>1</v>
      </c>
      <c r="AW117" s="11">
        <v>1</v>
      </c>
      <c r="AX117" s="11">
        <v>1</v>
      </c>
      <c r="AY117" s="11">
        <v>1</v>
      </c>
      <c r="AZ117" s="11">
        <v>1</v>
      </c>
      <c r="BA117" s="11">
        <v>1</v>
      </c>
      <c r="BB117" s="11">
        <v>1</v>
      </c>
      <c r="BC117" s="11">
        <v>1</v>
      </c>
      <c r="BD117" s="11">
        <v>1</v>
      </c>
      <c r="BE117" s="11">
        <v>1</v>
      </c>
      <c r="BF117" s="11">
        <v>1</v>
      </c>
      <c r="BG117" s="11">
        <v>1</v>
      </c>
      <c r="BH117" s="11">
        <v>1</v>
      </c>
      <c r="BI117" s="11">
        <v>1</v>
      </c>
      <c r="BJ117" s="11">
        <v>1</v>
      </c>
      <c r="BK117" s="11">
        <v>1</v>
      </c>
      <c r="BL117" s="11">
        <v>1</v>
      </c>
      <c r="BM117" s="11">
        <v>1</v>
      </c>
      <c r="BN117" s="11">
        <v>1</v>
      </c>
      <c r="BO117" s="11">
        <v>1</v>
      </c>
      <c r="BP117" t="s">
        <v>297</v>
      </c>
      <c r="BQ117" t="s">
        <v>302</v>
      </c>
    </row>
    <row r="118" ht="18" customHeight="1" spans="1:69" x14ac:dyDescent="0.25">
      <c r="A118" s="9"/>
      <c r="B118" s="9"/>
      <c r="C118" s="9"/>
      <c r="D118" s="9"/>
      <c r="E118" s="9"/>
      <c r="F118" s="10"/>
      <c r="G118" s="10"/>
      <c r="H118" s="9" t="s">
        <v>139</v>
      </c>
      <c r="I118" s="9"/>
      <c r="J118" s="9"/>
      <c r="K118" s="9"/>
      <c r="L118" s="9"/>
      <c r="M118" s="9"/>
      <c r="N118" s="9"/>
      <c r="O118" s="10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t="s">
        <v>297</v>
      </c>
      <c r="BQ118" t="s">
        <v>302</v>
      </c>
    </row>
    <row r="119" ht="28" customHeight="1" spans="1:69" x14ac:dyDescent="0.25">
      <c r="A119" s="9"/>
      <c r="B119" s="9"/>
      <c r="C119" s="9"/>
      <c r="D119" s="9"/>
      <c r="E119" s="9"/>
      <c r="F119" s="10" t="s">
        <v>171</v>
      </c>
      <c r="G119" s="10" t="s">
        <v>303</v>
      </c>
      <c r="H119" s="9" t="s">
        <v>136</v>
      </c>
      <c r="I119" s="9">
        <v>3</v>
      </c>
      <c r="J119" s="9">
        <v>2000</v>
      </c>
      <c r="K119" s="9" t="s">
        <v>192</v>
      </c>
      <c r="L119" s="9" t="s">
        <v>9</v>
      </c>
      <c r="M119" s="9"/>
      <c r="N119" s="9" t="s">
        <v>193</v>
      </c>
      <c r="O119" s="10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5">
        <v>3</v>
      </c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5">
        <v>3</v>
      </c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5">
        <v>3</v>
      </c>
      <c r="BP119" t="s">
        <v>297</v>
      </c>
      <c r="BQ119" t="s">
        <v>304</v>
      </c>
    </row>
    <row r="120" ht="18" customHeight="1" spans="1:69" x14ac:dyDescent="0.25">
      <c r="A120" s="9"/>
      <c r="B120" s="9"/>
      <c r="C120" s="9"/>
      <c r="D120" s="9"/>
      <c r="E120" s="9"/>
      <c r="F120" s="10"/>
      <c r="G120" s="10"/>
      <c r="H120" s="9" t="s">
        <v>139</v>
      </c>
      <c r="I120" s="9"/>
      <c r="J120" s="9"/>
      <c r="K120" s="9"/>
      <c r="L120" s="9"/>
      <c r="M120" s="9"/>
      <c r="N120" s="9"/>
      <c r="O120" s="10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t="s">
        <v>297</v>
      </c>
      <c r="BQ120" t="s">
        <v>304</v>
      </c>
    </row>
    <row r="121" ht="28" customHeight="1" spans="1:69" x14ac:dyDescent="0.25">
      <c r="A121" s="9"/>
      <c r="B121" s="9"/>
      <c r="C121" s="9"/>
      <c r="D121" s="9"/>
      <c r="E121" s="9"/>
      <c r="F121" s="10" t="s">
        <v>171</v>
      </c>
      <c r="G121" s="10" t="s">
        <v>305</v>
      </c>
      <c r="H121" s="9" t="s">
        <v>136</v>
      </c>
      <c r="I121" s="9">
        <v>5</v>
      </c>
      <c r="J121" s="9">
        <v>10000</v>
      </c>
      <c r="K121" s="9" t="s">
        <v>145</v>
      </c>
      <c r="L121" s="9" t="s">
        <v>9</v>
      </c>
      <c r="M121" s="9"/>
      <c r="N121" s="9"/>
      <c r="O121" s="10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t="s">
        <v>297</v>
      </c>
      <c r="BQ121" t="s">
        <v>306</v>
      </c>
    </row>
    <row r="122" ht="18" customHeight="1" spans="1:69" x14ac:dyDescent="0.25">
      <c r="A122" s="9"/>
      <c r="B122" s="9"/>
      <c r="C122" s="9"/>
      <c r="D122" s="9"/>
      <c r="E122" s="9"/>
      <c r="F122" s="10"/>
      <c r="G122" s="10"/>
      <c r="H122" s="9" t="s">
        <v>139</v>
      </c>
      <c r="I122" s="9"/>
      <c r="J122" s="9"/>
      <c r="K122" s="9"/>
      <c r="L122" s="9"/>
      <c r="M122" s="9"/>
      <c r="N122" s="9"/>
      <c r="O122" s="10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t="s">
        <v>297</v>
      </c>
      <c r="BQ122" t="s">
        <v>306</v>
      </c>
    </row>
    <row r="123" ht="28" customHeight="1" spans="1:69" x14ac:dyDescent="0.25">
      <c r="A123" s="9"/>
      <c r="B123" s="9"/>
      <c r="C123" s="9"/>
      <c r="D123" s="9"/>
      <c r="E123" s="9"/>
      <c r="F123" s="10" t="s">
        <v>307</v>
      </c>
      <c r="G123" s="10" t="s">
        <v>308</v>
      </c>
      <c r="H123" s="9" t="s">
        <v>136</v>
      </c>
      <c r="I123" s="9">
        <v>3</v>
      </c>
      <c r="J123" s="9">
        <v>1000</v>
      </c>
      <c r="K123" s="9" t="s">
        <v>153</v>
      </c>
      <c r="L123" s="9" t="s">
        <v>9</v>
      </c>
      <c r="M123" s="9"/>
      <c r="N123" s="9" t="s">
        <v>154</v>
      </c>
      <c r="O123" s="10"/>
      <c r="P123" s="13"/>
      <c r="Q123" s="13"/>
      <c r="R123" s="13"/>
      <c r="S123" s="13"/>
      <c r="T123" s="13"/>
      <c r="U123" s="13"/>
      <c r="V123" s="13"/>
      <c r="W123" s="13"/>
      <c r="X123" s="13"/>
      <c r="Y123" s="15">
        <v>3</v>
      </c>
      <c r="Z123" s="13"/>
      <c r="AA123" s="13"/>
      <c r="AB123" s="13"/>
      <c r="AC123" s="13"/>
      <c r="AD123" s="13"/>
      <c r="AE123" s="13"/>
      <c r="AF123" s="13"/>
      <c r="AG123" s="13"/>
      <c r="AH123" s="15">
        <v>3</v>
      </c>
      <c r="AI123" s="13"/>
      <c r="AJ123" s="13"/>
      <c r="AK123" s="13"/>
      <c r="AL123" s="13"/>
      <c r="AM123" s="13"/>
      <c r="AN123" s="13"/>
      <c r="AO123" s="13"/>
      <c r="AP123" s="13"/>
      <c r="AQ123" s="15">
        <v>3</v>
      </c>
      <c r="AR123" s="13"/>
      <c r="AS123" s="13"/>
      <c r="AT123" s="13"/>
      <c r="AU123" s="13"/>
      <c r="AV123" s="13"/>
      <c r="AW123" s="13"/>
      <c r="AX123" s="13"/>
      <c r="AY123" s="13"/>
      <c r="AZ123" s="15">
        <v>3</v>
      </c>
      <c r="BA123" s="13"/>
      <c r="BB123" s="13"/>
      <c r="BC123" s="13"/>
      <c r="BD123" s="13"/>
      <c r="BE123" s="13"/>
      <c r="BF123" s="13"/>
      <c r="BG123" s="13"/>
      <c r="BH123" s="13"/>
      <c r="BI123" s="15">
        <v>3</v>
      </c>
      <c r="BJ123" s="13"/>
      <c r="BK123" s="13"/>
      <c r="BL123" s="13"/>
      <c r="BM123" s="13"/>
      <c r="BN123" s="13"/>
      <c r="BO123" s="13"/>
      <c r="BP123" t="s">
        <v>297</v>
      </c>
      <c r="BQ123" t="s">
        <v>309</v>
      </c>
    </row>
    <row r="124" ht="18" customHeight="1" spans="1:69" x14ac:dyDescent="0.25">
      <c r="A124" s="9"/>
      <c r="B124" s="9"/>
      <c r="C124" s="9"/>
      <c r="D124" s="9"/>
      <c r="E124" s="9"/>
      <c r="F124" s="10"/>
      <c r="G124" s="10"/>
      <c r="H124" s="9" t="s">
        <v>139</v>
      </c>
      <c r="I124" s="9"/>
      <c r="J124" s="9"/>
      <c r="K124" s="9"/>
      <c r="L124" s="9"/>
      <c r="M124" s="9"/>
      <c r="N124" s="9"/>
      <c r="O124" s="10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t="s">
        <v>297</v>
      </c>
      <c r="BQ124" t="s">
        <v>309</v>
      </c>
    </row>
    <row r="125" ht="28" customHeight="1" spans="1:69" x14ac:dyDescent="0.25">
      <c r="A125" s="9"/>
      <c r="B125" s="9" t="s">
        <v>310</v>
      </c>
      <c r="C125" s="9" t="s">
        <v>311</v>
      </c>
      <c r="D125" s="9" t="s">
        <v>312</v>
      </c>
      <c r="E125" s="9" t="s">
        <v>300</v>
      </c>
      <c r="F125" s="10" t="s">
        <v>134</v>
      </c>
      <c r="G125" s="10" t="s">
        <v>301</v>
      </c>
      <c r="H125" s="9" t="s">
        <v>136</v>
      </c>
      <c r="I125" s="9">
        <v>1</v>
      </c>
      <c r="J125" s="9">
        <v>1</v>
      </c>
      <c r="K125" s="9" t="s">
        <v>4</v>
      </c>
      <c r="L125" s="9" t="s">
        <v>137</v>
      </c>
      <c r="M125" s="9"/>
      <c r="N125" s="9"/>
      <c r="O125" s="10"/>
      <c r="P125" s="11">
        <v>1</v>
      </c>
      <c r="Q125" s="11">
        <v>1</v>
      </c>
      <c r="R125" s="11">
        <v>1</v>
      </c>
      <c r="S125" s="11">
        <v>1</v>
      </c>
      <c r="T125" s="11">
        <v>1</v>
      </c>
      <c r="U125" s="11">
        <v>1</v>
      </c>
      <c r="V125" s="11">
        <v>1</v>
      </c>
      <c r="W125" s="11">
        <v>1</v>
      </c>
      <c r="X125" s="11">
        <v>1</v>
      </c>
      <c r="Y125" s="11">
        <v>1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11">
        <v>1</v>
      </c>
      <c r="AG125" s="11">
        <v>1</v>
      </c>
      <c r="AH125" s="11">
        <v>1</v>
      </c>
      <c r="AI125" s="11">
        <v>1</v>
      </c>
      <c r="AJ125" s="11">
        <v>1</v>
      </c>
      <c r="AK125" s="11">
        <v>1</v>
      </c>
      <c r="AL125" s="11">
        <v>1</v>
      </c>
      <c r="AM125" s="11">
        <v>1</v>
      </c>
      <c r="AN125" s="11">
        <v>1</v>
      </c>
      <c r="AO125" s="11">
        <v>1</v>
      </c>
      <c r="AP125" s="11">
        <v>1</v>
      </c>
      <c r="AQ125" s="11">
        <v>1</v>
      </c>
      <c r="AR125" s="11">
        <v>1</v>
      </c>
      <c r="AS125" s="11">
        <v>1</v>
      </c>
      <c r="AT125" s="11">
        <v>1</v>
      </c>
      <c r="AU125" s="11">
        <v>1</v>
      </c>
      <c r="AV125" s="11">
        <v>1</v>
      </c>
      <c r="AW125" s="11">
        <v>1</v>
      </c>
      <c r="AX125" s="11">
        <v>1</v>
      </c>
      <c r="AY125" s="11">
        <v>1</v>
      </c>
      <c r="AZ125" s="11">
        <v>1</v>
      </c>
      <c r="BA125" s="11">
        <v>1</v>
      </c>
      <c r="BB125" s="11">
        <v>1</v>
      </c>
      <c r="BC125" s="11">
        <v>1</v>
      </c>
      <c r="BD125" s="11">
        <v>1</v>
      </c>
      <c r="BE125" s="11">
        <v>1</v>
      </c>
      <c r="BF125" s="11">
        <v>1</v>
      </c>
      <c r="BG125" s="11">
        <v>1</v>
      </c>
      <c r="BH125" s="11">
        <v>1</v>
      </c>
      <c r="BI125" s="11">
        <v>1</v>
      </c>
      <c r="BJ125" s="11">
        <v>1</v>
      </c>
      <c r="BK125" s="11">
        <v>1</v>
      </c>
      <c r="BL125" s="11">
        <v>1</v>
      </c>
      <c r="BM125" s="11">
        <v>1</v>
      </c>
      <c r="BN125" s="11">
        <v>1</v>
      </c>
      <c r="BO125" s="11">
        <v>1</v>
      </c>
      <c r="BP125" t="s">
        <v>310</v>
      </c>
      <c r="BQ125" t="s">
        <v>313</v>
      </c>
    </row>
    <row r="126" ht="18" customHeight="1" spans="1:69" x14ac:dyDescent="0.25">
      <c r="A126" s="9"/>
      <c r="B126" s="9"/>
      <c r="C126" s="9"/>
      <c r="D126" s="9"/>
      <c r="E126" s="9"/>
      <c r="F126" s="10"/>
      <c r="G126" s="10"/>
      <c r="H126" s="9" t="s">
        <v>139</v>
      </c>
      <c r="I126" s="9"/>
      <c r="J126" s="9"/>
      <c r="K126" s="9"/>
      <c r="L126" s="9"/>
      <c r="M126" s="9"/>
      <c r="N126" s="9"/>
      <c r="O126" s="10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t="s">
        <v>310</v>
      </c>
      <c r="BQ126" t="s">
        <v>313</v>
      </c>
    </row>
    <row r="127" ht="28" customHeight="1" spans="1:69" x14ac:dyDescent="0.25">
      <c r="A127" s="9"/>
      <c r="B127" s="9"/>
      <c r="C127" s="9"/>
      <c r="D127" s="9"/>
      <c r="E127" s="9"/>
      <c r="F127" s="10" t="s">
        <v>171</v>
      </c>
      <c r="G127" s="10" t="s">
        <v>303</v>
      </c>
      <c r="H127" s="9" t="s">
        <v>136</v>
      </c>
      <c r="I127" s="9">
        <v>3</v>
      </c>
      <c r="J127" s="9">
        <v>2000</v>
      </c>
      <c r="K127" s="9" t="s">
        <v>192</v>
      </c>
      <c r="L127" s="9" t="s">
        <v>9</v>
      </c>
      <c r="M127" s="9"/>
      <c r="N127" s="9" t="s">
        <v>193</v>
      </c>
      <c r="O127" s="10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5">
        <v>3</v>
      </c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5">
        <v>3</v>
      </c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5">
        <v>3</v>
      </c>
      <c r="BP127" t="s">
        <v>310</v>
      </c>
      <c r="BQ127" t="s">
        <v>314</v>
      </c>
    </row>
    <row r="128" ht="18" customHeight="1" spans="1:69" x14ac:dyDescent="0.25">
      <c r="A128" s="9"/>
      <c r="B128" s="9"/>
      <c r="C128" s="9"/>
      <c r="D128" s="9"/>
      <c r="E128" s="9"/>
      <c r="F128" s="10"/>
      <c r="G128" s="10"/>
      <c r="H128" s="9" t="s">
        <v>139</v>
      </c>
      <c r="I128" s="9"/>
      <c r="J128" s="9"/>
      <c r="K128" s="9"/>
      <c r="L128" s="9"/>
      <c r="M128" s="9"/>
      <c r="N128" s="9"/>
      <c r="O128" s="10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t="s">
        <v>310</v>
      </c>
      <c r="BQ128" t="s">
        <v>314</v>
      </c>
    </row>
    <row r="129" ht="28" customHeight="1" spans="1:69" x14ac:dyDescent="0.25">
      <c r="A129" s="9"/>
      <c r="B129" s="9"/>
      <c r="C129" s="9"/>
      <c r="D129" s="9"/>
      <c r="E129" s="9"/>
      <c r="F129" s="10" t="s">
        <v>171</v>
      </c>
      <c r="G129" s="10" t="s">
        <v>305</v>
      </c>
      <c r="H129" s="9" t="s">
        <v>136</v>
      </c>
      <c r="I129" s="9">
        <v>5</v>
      </c>
      <c r="J129" s="9">
        <v>10000</v>
      </c>
      <c r="K129" s="9" t="s">
        <v>145</v>
      </c>
      <c r="L129" s="9" t="s">
        <v>9</v>
      </c>
      <c r="M129" s="9"/>
      <c r="N129" s="9"/>
      <c r="O129" s="10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t="s">
        <v>310</v>
      </c>
      <c r="BQ129" t="s">
        <v>315</v>
      </c>
    </row>
    <row r="130" ht="18" customHeight="1" spans="1:69" x14ac:dyDescent="0.25">
      <c r="A130" s="9"/>
      <c r="B130" s="9"/>
      <c r="C130" s="9"/>
      <c r="D130" s="9"/>
      <c r="E130" s="9"/>
      <c r="F130" s="10"/>
      <c r="G130" s="10"/>
      <c r="H130" s="9" t="s">
        <v>139</v>
      </c>
      <c r="I130" s="9"/>
      <c r="J130" s="9"/>
      <c r="K130" s="9"/>
      <c r="L130" s="9"/>
      <c r="M130" s="9"/>
      <c r="N130" s="9"/>
      <c r="O130" s="10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t="s">
        <v>310</v>
      </c>
      <c r="BQ130" t="s">
        <v>315</v>
      </c>
    </row>
    <row r="131" ht="28" customHeight="1" spans="1:69" x14ac:dyDescent="0.25">
      <c r="A131" s="9"/>
      <c r="B131" s="9"/>
      <c r="C131" s="9"/>
      <c r="D131" s="9"/>
      <c r="E131" s="9"/>
      <c r="F131" s="10" t="s">
        <v>307</v>
      </c>
      <c r="G131" s="10" t="s">
        <v>308</v>
      </c>
      <c r="H131" s="9" t="s">
        <v>136</v>
      </c>
      <c r="I131" s="9">
        <v>3</v>
      </c>
      <c r="J131" s="9">
        <v>1000</v>
      </c>
      <c r="K131" s="9" t="s">
        <v>153</v>
      </c>
      <c r="L131" s="9" t="s">
        <v>9</v>
      </c>
      <c r="M131" s="9"/>
      <c r="N131" s="9" t="s">
        <v>154</v>
      </c>
      <c r="O131" s="10"/>
      <c r="P131" s="13"/>
      <c r="Q131" s="13"/>
      <c r="R131" s="13"/>
      <c r="S131" s="13"/>
      <c r="T131" s="13"/>
      <c r="U131" s="13"/>
      <c r="V131" s="13"/>
      <c r="W131" s="13"/>
      <c r="X131" s="13"/>
      <c r="Y131" s="15">
        <v>3</v>
      </c>
      <c r="Z131" s="13"/>
      <c r="AA131" s="13"/>
      <c r="AB131" s="13"/>
      <c r="AC131" s="13"/>
      <c r="AD131" s="13"/>
      <c r="AE131" s="13"/>
      <c r="AF131" s="13"/>
      <c r="AG131" s="13"/>
      <c r="AH131" s="15">
        <v>3</v>
      </c>
      <c r="AI131" s="13"/>
      <c r="AJ131" s="13"/>
      <c r="AK131" s="13"/>
      <c r="AL131" s="13"/>
      <c r="AM131" s="13"/>
      <c r="AN131" s="13"/>
      <c r="AO131" s="13"/>
      <c r="AP131" s="13"/>
      <c r="AQ131" s="15">
        <v>3</v>
      </c>
      <c r="AR131" s="13"/>
      <c r="AS131" s="13"/>
      <c r="AT131" s="13"/>
      <c r="AU131" s="13"/>
      <c r="AV131" s="13"/>
      <c r="AW131" s="13"/>
      <c r="AX131" s="13"/>
      <c r="AY131" s="13"/>
      <c r="AZ131" s="15">
        <v>3</v>
      </c>
      <c r="BA131" s="13"/>
      <c r="BB131" s="13"/>
      <c r="BC131" s="13"/>
      <c r="BD131" s="13"/>
      <c r="BE131" s="13"/>
      <c r="BF131" s="13"/>
      <c r="BG131" s="13"/>
      <c r="BH131" s="13"/>
      <c r="BI131" s="15">
        <v>3</v>
      </c>
      <c r="BJ131" s="13"/>
      <c r="BK131" s="13"/>
      <c r="BL131" s="13"/>
      <c r="BM131" s="13"/>
      <c r="BN131" s="13"/>
      <c r="BO131" s="13"/>
      <c r="BP131" t="s">
        <v>310</v>
      </c>
      <c r="BQ131" t="s">
        <v>316</v>
      </c>
    </row>
    <row r="132" ht="18" customHeight="1" spans="1:69" x14ac:dyDescent="0.25">
      <c r="A132" s="9"/>
      <c r="B132" s="9"/>
      <c r="C132" s="9"/>
      <c r="D132" s="9"/>
      <c r="E132" s="9"/>
      <c r="F132" s="10"/>
      <c r="G132" s="10"/>
      <c r="H132" s="9" t="s">
        <v>139</v>
      </c>
      <c r="I132" s="9"/>
      <c r="J132" s="9"/>
      <c r="K132" s="9"/>
      <c r="L132" s="9"/>
      <c r="M132" s="9"/>
      <c r="N132" s="9"/>
      <c r="O132" s="10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t="s">
        <v>310</v>
      </c>
      <c r="BQ132" t="s">
        <v>316</v>
      </c>
    </row>
    <row r="133" ht="28" customHeight="1" spans="1:69" x14ac:dyDescent="0.25">
      <c r="A133" s="9"/>
      <c r="B133" s="9" t="s">
        <v>317</v>
      </c>
      <c r="C133" s="9" t="s">
        <v>318</v>
      </c>
      <c r="D133" s="9" t="s">
        <v>319</v>
      </c>
      <c r="E133" s="9" t="s">
        <v>300</v>
      </c>
      <c r="F133" s="10" t="s">
        <v>134</v>
      </c>
      <c r="G133" s="10" t="s">
        <v>301</v>
      </c>
      <c r="H133" s="9" t="s">
        <v>136</v>
      </c>
      <c r="I133" s="9">
        <v>1</v>
      </c>
      <c r="J133" s="9">
        <v>1</v>
      </c>
      <c r="K133" s="9" t="s">
        <v>4</v>
      </c>
      <c r="L133" s="9" t="s">
        <v>137</v>
      </c>
      <c r="M133" s="9"/>
      <c r="N133" s="9"/>
      <c r="O133" s="10"/>
      <c r="P133" s="11">
        <v>1</v>
      </c>
      <c r="Q133" s="11">
        <v>1</v>
      </c>
      <c r="R133" s="11">
        <v>1</v>
      </c>
      <c r="S133" s="11">
        <v>1</v>
      </c>
      <c r="T133" s="11">
        <v>1</v>
      </c>
      <c r="U133" s="11">
        <v>1</v>
      </c>
      <c r="V133" s="11">
        <v>1</v>
      </c>
      <c r="W133" s="11">
        <v>1</v>
      </c>
      <c r="X133" s="11">
        <v>1</v>
      </c>
      <c r="Y133" s="11">
        <v>1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11">
        <v>1</v>
      </c>
      <c r="AG133" s="11">
        <v>1</v>
      </c>
      <c r="AH133" s="11">
        <v>1</v>
      </c>
      <c r="AI133" s="11">
        <v>1</v>
      </c>
      <c r="AJ133" s="11">
        <v>1</v>
      </c>
      <c r="AK133" s="11">
        <v>1</v>
      </c>
      <c r="AL133" s="11">
        <v>1</v>
      </c>
      <c r="AM133" s="11">
        <v>1</v>
      </c>
      <c r="AN133" s="11">
        <v>1</v>
      </c>
      <c r="AO133" s="11">
        <v>1</v>
      </c>
      <c r="AP133" s="11">
        <v>1</v>
      </c>
      <c r="AQ133" s="11">
        <v>1</v>
      </c>
      <c r="AR133" s="11">
        <v>1</v>
      </c>
      <c r="AS133" s="11">
        <v>1</v>
      </c>
      <c r="AT133" s="11">
        <v>1</v>
      </c>
      <c r="AU133" s="11">
        <v>1</v>
      </c>
      <c r="AV133" s="11">
        <v>1</v>
      </c>
      <c r="AW133" s="11">
        <v>1</v>
      </c>
      <c r="AX133" s="11">
        <v>1</v>
      </c>
      <c r="AY133" s="11">
        <v>1</v>
      </c>
      <c r="AZ133" s="11">
        <v>1</v>
      </c>
      <c r="BA133" s="11">
        <v>1</v>
      </c>
      <c r="BB133" s="11">
        <v>1</v>
      </c>
      <c r="BC133" s="11">
        <v>1</v>
      </c>
      <c r="BD133" s="11">
        <v>1</v>
      </c>
      <c r="BE133" s="11">
        <v>1</v>
      </c>
      <c r="BF133" s="11">
        <v>1</v>
      </c>
      <c r="BG133" s="11">
        <v>1</v>
      </c>
      <c r="BH133" s="11">
        <v>1</v>
      </c>
      <c r="BI133" s="11">
        <v>1</v>
      </c>
      <c r="BJ133" s="11">
        <v>1</v>
      </c>
      <c r="BK133" s="11">
        <v>1</v>
      </c>
      <c r="BL133" s="11">
        <v>1</v>
      </c>
      <c r="BM133" s="11">
        <v>1</v>
      </c>
      <c r="BN133" s="11">
        <v>1</v>
      </c>
      <c r="BO133" s="11">
        <v>1</v>
      </c>
      <c r="BP133" t="s">
        <v>317</v>
      </c>
      <c r="BQ133" t="s">
        <v>320</v>
      </c>
    </row>
    <row r="134" ht="18" customHeight="1" spans="1:69" x14ac:dyDescent="0.25">
      <c r="A134" s="9"/>
      <c r="B134" s="9"/>
      <c r="C134" s="9"/>
      <c r="D134" s="9"/>
      <c r="E134" s="9"/>
      <c r="F134" s="10"/>
      <c r="G134" s="10"/>
      <c r="H134" s="9" t="s">
        <v>139</v>
      </c>
      <c r="I134" s="9"/>
      <c r="J134" s="9"/>
      <c r="K134" s="9"/>
      <c r="L134" s="9"/>
      <c r="M134" s="9"/>
      <c r="N134" s="9"/>
      <c r="O134" s="10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t="s">
        <v>317</v>
      </c>
      <c r="BQ134" t="s">
        <v>320</v>
      </c>
    </row>
    <row r="135" ht="28" customHeight="1" spans="1:69" x14ac:dyDescent="0.25">
      <c r="A135" s="9"/>
      <c r="B135" s="9"/>
      <c r="C135" s="9"/>
      <c r="D135" s="9"/>
      <c r="E135" s="9"/>
      <c r="F135" s="10" t="s">
        <v>171</v>
      </c>
      <c r="G135" s="10" t="s">
        <v>303</v>
      </c>
      <c r="H135" s="9" t="s">
        <v>136</v>
      </c>
      <c r="I135" s="9">
        <v>3</v>
      </c>
      <c r="J135" s="9">
        <v>2000</v>
      </c>
      <c r="K135" s="9" t="s">
        <v>192</v>
      </c>
      <c r="L135" s="9" t="s">
        <v>9</v>
      </c>
      <c r="M135" s="9"/>
      <c r="N135" s="9" t="s">
        <v>193</v>
      </c>
      <c r="O135" s="10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5">
        <v>3</v>
      </c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5">
        <v>3</v>
      </c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5">
        <v>3</v>
      </c>
      <c r="BP135" t="s">
        <v>317</v>
      </c>
      <c r="BQ135" t="s">
        <v>321</v>
      </c>
    </row>
    <row r="136" ht="18" customHeight="1" spans="1:69" x14ac:dyDescent="0.25">
      <c r="A136" s="9"/>
      <c r="B136" s="9"/>
      <c r="C136" s="9"/>
      <c r="D136" s="9"/>
      <c r="E136" s="9"/>
      <c r="F136" s="10"/>
      <c r="G136" s="10"/>
      <c r="H136" s="9" t="s">
        <v>139</v>
      </c>
      <c r="I136" s="9"/>
      <c r="J136" s="9"/>
      <c r="K136" s="9"/>
      <c r="L136" s="9"/>
      <c r="M136" s="9"/>
      <c r="N136" s="9"/>
      <c r="O136" s="10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t="s">
        <v>317</v>
      </c>
      <c r="BQ136" t="s">
        <v>321</v>
      </c>
    </row>
    <row r="137" ht="28" customHeight="1" spans="1:69" x14ac:dyDescent="0.25">
      <c r="A137" s="9"/>
      <c r="B137" s="9"/>
      <c r="C137" s="9"/>
      <c r="D137" s="9"/>
      <c r="E137" s="9"/>
      <c r="F137" s="10" t="s">
        <v>171</v>
      </c>
      <c r="G137" s="10" t="s">
        <v>305</v>
      </c>
      <c r="H137" s="9" t="s">
        <v>136</v>
      </c>
      <c r="I137" s="9">
        <v>5</v>
      </c>
      <c r="J137" s="9">
        <v>10000</v>
      </c>
      <c r="K137" s="9" t="s">
        <v>145</v>
      </c>
      <c r="L137" s="9" t="s">
        <v>9</v>
      </c>
      <c r="M137" s="9"/>
      <c r="N137" s="9"/>
      <c r="O137" s="10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t="s">
        <v>317</v>
      </c>
      <c r="BQ137" t="s">
        <v>322</v>
      </c>
    </row>
    <row r="138" ht="18" customHeight="1" spans="1:69" x14ac:dyDescent="0.25">
      <c r="A138" s="9"/>
      <c r="B138" s="9"/>
      <c r="C138" s="9"/>
      <c r="D138" s="9"/>
      <c r="E138" s="9"/>
      <c r="F138" s="10"/>
      <c r="G138" s="10"/>
      <c r="H138" s="9" t="s">
        <v>139</v>
      </c>
      <c r="I138" s="9"/>
      <c r="J138" s="9"/>
      <c r="K138" s="9"/>
      <c r="L138" s="9"/>
      <c r="M138" s="9"/>
      <c r="N138" s="9"/>
      <c r="O138" s="10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t="s">
        <v>317</v>
      </c>
      <c r="BQ138" t="s">
        <v>322</v>
      </c>
    </row>
    <row r="139" ht="28" customHeight="1" spans="1:69" x14ac:dyDescent="0.25">
      <c r="A139" s="9"/>
      <c r="B139" s="9"/>
      <c r="C139" s="9"/>
      <c r="D139" s="9"/>
      <c r="E139" s="9"/>
      <c r="F139" s="10" t="s">
        <v>307</v>
      </c>
      <c r="G139" s="10" t="s">
        <v>308</v>
      </c>
      <c r="H139" s="9" t="s">
        <v>136</v>
      </c>
      <c r="I139" s="9">
        <v>3</v>
      </c>
      <c r="J139" s="9">
        <v>1000</v>
      </c>
      <c r="K139" s="9" t="s">
        <v>153</v>
      </c>
      <c r="L139" s="9" t="s">
        <v>9</v>
      </c>
      <c r="M139" s="9"/>
      <c r="N139" s="9" t="s">
        <v>154</v>
      </c>
      <c r="O139" s="10"/>
      <c r="P139" s="13"/>
      <c r="Q139" s="13"/>
      <c r="R139" s="13"/>
      <c r="S139" s="13"/>
      <c r="T139" s="13"/>
      <c r="U139" s="13"/>
      <c r="V139" s="13"/>
      <c r="W139" s="13"/>
      <c r="X139" s="13"/>
      <c r="Y139" s="15">
        <v>3</v>
      </c>
      <c r="Z139" s="13"/>
      <c r="AA139" s="13"/>
      <c r="AB139" s="13"/>
      <c r="AC139" s="13"/>
      <c r="AD139" s="13"/>
      <c r="AE139" s="13"/>
      <c r="AF139" s="13"/>
      <c r="AG139" s="13"/>
      <c r="AH139" s="15">
        <v>3</v>
      </c>
      <c r="AI139" s="13"/>
      <c r="AJ139" s="13"/>
      <c r="AK139" s="13"/>
      <c r="AL139" s="13"/>
      <c r="AM139" s="13"/>
      <c r="AN139" s="13"/>
      <c r="AO139" s="13"/>
      <c r="AP139" s="13"/>
      <c r="AQ139" s="15">
        <v>3</v>
      </c>
      <c r="AR139" s="13"/>
      <c r="AS139" s="13"/>
      <c r="AT139" s="13"/>
      <c r="AU139" s="13"/>
      <c r="AV139" s="13"/>
      <c r="AW139" s="13"/>
      <c r="AX139" s="13"/>
      <c r="AY139" s="13"/>
      <c r="AZ139" s="15">
        <v>3</v>
      </c>
      <c r="BA139" s="13"/>
      <c r="BB139" s="13"/>
      <c r="BC139" s="13"/>
      <c r="BD139" s="13"/>
      <c r="BE139" s="13"/>
      <c r="BF139" s="13"/>
      <c r="BG139" s="13"/>
      <c r="BH139" s="13"/>
      <c r="BI139" s="15">
        <v>3</v>
      </c>
      <c r="BJ139" s="13"/>
      <c r="BK139" s="13"/>
      <c r="BL139" s="13"/>
      <c r="BM139" s="13"/>
      <c r="BN139" s="13"/>
      <c r="BO139" s="13"/>
      <c r="BP139" t="s">
        <v>317</v>
      </c>
      <c r="BQ139" t="s">
        <v>323</v>
      </c>
    </row>
    <row r="140" ht="18" customHeight="1" spans="1:69" x14ac:dyDescent="0.25">
      <c r="A140" s="9"/>
      <c r="B140" s="9"/>
      <c r="C140" s="9"/>
      <c r="D140" s="9"/>
      <c r="E140" s="9"/>
      <c r="F140" s="10"/>
      <c r="G140" s="10"/>
      <c r="H140" s="9" t="s">
        <v>139</v>
      </c>
      <c r="I140" s="9"/>
      <c r="J140" s="9"/>
      <c r="K140" s="9"/>
      <c r="L140" s="9"/>
      <c r="M140" s="9"/>
      <c r="N140" s="9"/>
      <c r="O140" s="10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t="s">
        <v>317</v>
      </c>
      <c r="BQ140" t="s">
        <v>323</v>
      </c>
    </row>
    <row r="141" ht="28" customHeight="1" spans="1:69" x14ac:dyDescent="0.25">
      <c r="A141" s="9"/>
      <c r="B141" s="9" t="s">
        <v>324</v>
      </c>
      <c r="C141" s="9" t="s">
        <v>325</v>
      </c>
      <c r="D141" s="9" t="s">
        <v>326</v>
      </c>
      <c r="E141" s="9" t="s">
        <v>300</v>
      </c>
      <c r="F141" s="10" t="s">
        <v>134</v>
      </c>
      <c r="G141" s="10" t="s">
        <v>301</v>
      </c>
      <c r="H141" s="9" t="s">
        <v>136</v>
      </c>
      <c r="I141" s="9">
        <v>1</v>
      </c>
      <c r="J141" s="9">
        <v>1</v>
      </c>
      <c r="K141" s="9" t="s">
        <v>4</v>
      </c>
      <c r="L141" s="9" t="s">
        <v>137</v>
      </c>
      <c r="M141" s="9"/>
      <c r="N141" s="9"/>
      <c r="O141" s="10"/>
      <c r="P141" s="11">
        <v>1</v>
      </c>
      <c r="Q141" s="11">
        <v>1</v>
      </c>
      <c r="R141" s="11">
        <v>1</v>
      </c>
      <c r="S141" s="11">
        <v>1</v>
      </c>
      <c r="T141" s="11">
        <v>1</v>
      </c>
      <c r="U141" s="11">
        <v>1</v>
      </c>
      <c r="V141" s="11">
        <v>1</v>
      </c>
      <c r="W141" s="11">
        <v>1</v>
      </c>
      <c r="X141" s="11">
        <v>1</v>
      </c>
      <c r="Y141" s="11">
        <v>1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11">
        <v>1</v>
      </c>
      <c r="AG141" s="11">
        <v>1</v>
      </c>
      <c r="AH141" s="11">
        <v>1</v>
      </c>
      <c r="AI141" s="11">
        <v>1</v>
      </c>
      <c r="AJ141" s="11">
        <v>1</v>
      </c>
      <c r="AK141" s="11">
        <v>1</v>
      </c>
      <c r="AL141" s="11">
        <v>1</v>
      </c>
      <c r="AM141" s="11">
        <v>1</v>
      </c>
      <c r="AN141" s="11">
        <v>1</v>
      </c>
      <c r="AO141" s="11">
        <v>1</v>
      </c>
      <c r="AP141" s="11">
        <v>1</v>
      </c>
      <c r="AQ141" s="11">
        <v>1</v>
      </c>
      <c r="AR141" s="11">
        <v>1</v>
      </c>
      <c r="AS141" s="11">
        <v>1</v>
      </c>
      <c r="AT141" s="11">
        <v>1</v>
      </c>
      <c r="AU141" s="11">
        <v>1</v>
      </c>
      <c r="AV141" s="11">
        <v>1</v>
      </c>
      <c r="AW141" s="11">
        <v>1</v>
      </c>
      <c r="AX141" s="11">
        <v>1</v>
      </c>
      <c r="AY141" s="11">
        <v>1</v>
      </c>
      <c r="AZ141" s="11">
        <v>1</v>
      </c>
      <c r="BA141" s="11">
        <v>1</v>
      </c>
      <c r="BB141" s="11">
        <v>1</v>
      </c>
      <c r="BC141" s="11">
        <v>1</v>
      </c>
      <c r="BD141" s="11">
        <v>1</v>
      </c>
      <c r="BE141" s="11">
        <v>1</v>
      </c>
      <c r="BF141" s="11">
        <v>1</v>
      </c>
      <c r="BG141" s="11">
        <v>1</v>
      </c>
      <c r="BH141" s="11">
        <v>1</v>
      </c>
      <c r="BI141" s="11">
        <v>1</v>
      </c>
      <c r="BJ141" s="11">
        <v>1</v>
      </c>
      <c r="BK141" s="11">
        <v>1</v>
      </c>
      <c r="BL141" s="11">
        <v>1</v>
      </c>
      <c r="BM141" s="11">
        <v>1</v>
      </c>
      <c r="BN141" s="11">
        <v>1</v>
      </c>
      <c r="BO141" s="11">
        <v>1</v>
      </c>
      <c r="BP141" t="s">
        <v>324</v>
      </c>
      <c r="BQ141" t="s">
        <v>327</v>
      </c>
    </row>
    <row r="142" ht="18" customHeight="1" spans="1:69" x14ac:dyDescent="0.25">
      <c r="A142" s="9"/>
      <c r="B142" s="9"/>
      <c r="C142" s="9"/>
      <c r="D142" s="9"/>
      <c r="E142" s="9"/>
      <c r="F142" s="10"/>
      <c r="G142" s="10"/>
      <c r="H142" s="9" t="s">
        <v>139</v>
      </c>
      <c r="I142" s="9"/>
      <c r="J142" s="9"/>
      <c r="K142" s="9"/>
      <c r="L142" s="9"/>
      <c r="M142" s="9"/>
      <c r="N142" s="9"/>
      <c r="O142" s="10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t="s">
        <v>324</v>
      </c>
      <c r="BQ142" t="s">
        <v>327</v>
      </c>
    </row>
    <row r="143" ht="28" customHeight="1" spans="1:69" x14ac:dyDescent="0.25">
      <c r="A143" s="9"/>
      <c r="B143" s="9"/>
      <c r="C143" s="9"/>
      <c r="D143" s="9"/>
      <c r="E143" s="9"/>
      <c r="F143" s="10" t="s">
        <v>171</v>
      </c>
      <c r="G143" s="10" t="s">
        <v>303</v>
      </c>
      <c r="H143" s="9" t="s">
        <v>136</v>
      </c>
      <c r="I143" s="9">
        <v>3</v>
      </c>
      <c r="J143" s="9">
        <v>2000</v>
      </c>
      <c r="K143" s="9" t="s">
        <v>192</v>
      </c>
      <c r="L143" s="9" t="s">
        <v>9</v>
      </c>
      <c r="M143" s="9"/>
      <c r="N143" s="9" t="s">
        <v>193</v>
      </c>
      <c r="O143" s="10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5">
        <v>3</v>
      </c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5">
        <v>3</v>
      </c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5">
        <v>3</v>
      </c>
      <c r="BP143" t="s">
        <v>324</v>
      </c>
      <c r="BQ143" t="s">
        <v>328</v>
      </c>
    </row>
    <row r="144" ht="18" customHeight="1" spans="1:69" x14ac:dyDescent="0.25">
      <c r="A144" s="9"/>
      <c r="B144" s="9"/>
      <c r="C144" s="9"/>
      <c r="D144" s="9"/>
      <c r="E144" s="9"/>
      <c r="F144" s="10"/>
      <c r="G144" s="10"/>
      <c r="H144" s="9" t="s">
        <v>139</v>
      </c>
      <c r="I144" s="9"/>
      <c r="J144" s="9"/>
      <c r="K144" s="9"/>
      <c r="L144" s="9"/>
      <c r="M144" s="9"/>
      <c r="N144" s="9"/>
      <c r="O144" s="10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t="s">
        <v>324</v>
      </c>
      <c r="BQ144" t="s">
        <v>328</v>
      </c>
    </row>
    <row r="145" ht="28" customHeight="1" spans="1:69" x14ac:dyDescent="0.25">
      <c r="A145" s="9"/>
      <c r="B145" s="9"/>
      <c r="C145" s="9"/>
      <c r="D145" s="9"/>
      <c r="E145" s="9"/>
      <c r="F145" s="10" t="s">
        <v>171</v>
      </c>
      <c r="G145" s="10" t="s">
        <v>305</v>
      </c>
      <c r="H145" s="9" t="s">
        <v>136</v>
      </c>
      <c r="I145" s="9">
        <v>5</v>
      </c>
      <c r="J145" s="9">
        <v>10000</v>
      </c>
      <c r="K145" s="9" t="s">
        <v>145</v>
      </c>
      <c r="L145" s="9" t="s">
        <v>9</v>
      </c>
      <c r="M145" s="9"/>
      <c r="N145" s="9"/>
      <c r="O145" s="10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t="s">
        <v>324</v>
      </c>
      <c r="BQ145" t="s">
        <v>329</v>
      </c>
    </row>
    <row r="146" ht="18" customHeight="1" spans="1:69" x14ac:dyDescent="0.25">
      <c r="A146" s="9"/>
      <c r="B146" s="9"/>
      <c r="C146" s="9"/>
      <c r="D146" s="9"/>
      <c r="E146" s="9"/>
      <c r="F146" s="10"/>
      <c r="G146" s="10"/>
      <c r="H146" s="9" t="s">
        <v>139</v>
      </c>
      <c r="I146" s="9"/>
      <c r="J146" s="9"/>
      <c r="K146" s="9"/>
      <c r="L146" s="9"/>
      <c r="M146" s="9"/>
      <c r="N146" s="9"/>
      <c r="O146" s="10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t="s">
        <v>324</v>
      </c>
      <c r="BQ146" t="s">
        <v>329</v>
      </c>
    </row>
    <row r="147" ht="28" customHeight="1" spans="1:69" x14ac:dyDescent="0.25">
      <c r="A147" s="9"/>
      <c r="B147" s="9"/>
      <c r="C147" s="9"/>
      <c r="D147" s="9"/>
      <c r="E147" s="9"/>
      <c r="F147" s="10" t="s">
        <v>307</v>
      </c>
      <c r="G147" s="10" t="s">
        <v>308</v>
      </c>
      <c r="H147" s="9" t="s">
        <v>136</v>
      </c>
      <c r="I147" s="9">
        <v>3</v>
      </c>
      <c r="J147" s="9">
        <v>1000</v>
      </c>
      <c r="K147" s="9" t="s">
        <v>153</v>
      </c>
      <c r="L147" s="9" t="s">
        <v>9</v>
      </c>
      <c r="M147" s="9"/>
      <c r="N147" s="9" t="s">
        <v>154</v>
      </c>
      <c r="O147" s="10"/>
      <c r="P147" s="13"/>
      <c r="Q147" s="13"/>
      <c r="R147" s="13"/>
      <c r="S147" s="13"/>
      <c r="T147" s="13"/>
      <c r="U147" s="13"/>
      <c r="V147" s="13"/>
      <c r="W147" s="13"/>
      <c r="X147" s="13"/>
      <c r="Y147" s="15">
        <v>3</v>
      </c>
      <c r="Z147" s="13"/>
      <c r="AA147" s="13"/>
      <c r="AB147" s="13"/>
      <c r="AC147" s="13"/>
      <c r="AD147" s="13"/>
      <c r="AE147" s="13"/>
      <c r="AF147" s="13"/>
      <c r="AG147" s="13"/>
      <c r="AH147" s="15">
        <v>3</v>
      </c>
      <c r="AI147" s="13"/>
      <c r="AJ147" s="13"/>
      <c r="AK147" s="13"/>
      <c r="AL147" s="13"/>
      <c r="AM147" s="13"/>
      <c r="AN147" s="13"/>
      <c r="AO147" s="13"/>
      <c r="AP147" s="13"/>
      <c r="AQ147" s="15">
        <v>3</v>
      </c>
      <c r="AR147" s="13"/>
      <c r="AS147" s="13"/>
      <c r="AT147" s="13"/>
      <c r="AU147" s="13"/>
      <c r="AV147" s="13"/>
      <c r="AW147" s="13"/>
      <c r="AX147" s="13"/>
      <c r="AY147" s="13"/>
      <c r="AZ147" s="15">
        <v>3</v>
      </c>
      <c r="BA147" s="13"/>
      <c r="BB147" s="13"/>
      <c r="BC147" s="13"/>
      <c r="BD147" s="13"/>
      <c r="BE147" s="13"/>
      <c r="BF147" s="13"/>
      <c r="BG147" s="13"/>
      <c r="BH147" s="13"/>
      <c r="BI147" s="15">
        <v>3</v>
      </c>
      <c r="BJ147" s="13"/>
      <c r="BK147" s="13"/>
      <c r="BL147" s="13"/>
      <c r="BM147" s="13"/>
      <c r="BN147" s="13"/>
      <c r="BO147" s="13"/>
      <c r="BP147" t="s">
        <v>324</v>
      </c>
      <c r="BQ147" t="s">
        <v>330</v>
      </c>
    </row>
    <row r="148" ht="18" customHeight="1" spans="1:69" x14ac:dyDescent="0.25">
      <c r="A148" s="9"/>
      <c r="B148" s="9"/>
      <c r="C148" s="9"/>
      <c r="D148" s="9"/>
      <c r="E148" s="9"/>
      <c r="F148" s="10"/>
      <c r="G148" s="10"/>
      <c r="H148" s="9" t="s">
        <v>139</v>
      </c>
      <c r="I148" s="9"/>
      <c r="J148" s="9"/>
      <c r="K148" s="9"/>
      <c r="L148" s="9"/>
      <c r="M148" s="9"/>
      <c r="N148" s="9"/>
      <c r="O148" s="10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t="s">
        <v>324</v>
      </c>
      <c r="BQ148" t="s">
        <v>330</v>
      </c>
    </row>
    <row r="149" ht="28" customHeight="1" spans="1:69" x14ac:dyDescent="0.25">
      <c r="A149" s="9"/>
      <c r="B149" s="9" t="s">
        <v>331</v>
      </c>
      <c r="C149" s="9" t="s">
        <v>332</v>
      </c>
      <c r="D149" s="9" t="s">
        <v>333</v>
      </c>
      <c r="E149" s="9" t="s">
        <v>300</v>
      </c>
      <c r="F149" s="10" t="s">
        <v>134</v>
      </c>
      <c r="G149" s="10" t="s">
        <v>301</v>
      </c>
      <c r="H149" s="9" t="s">
        <v>136</v>
      </c>
      <c r="I149" s="9">
        <v>1</v>
      </c>
      <c r="J149" s="9">
        <v>1</v>
      </c>
      <c r="K149" s="9" t="s">
        <v>4</v>
      </c>
      <c r="L149" s="9" t="s">
        <v>137</v>
      </c>
      <c r="M149" s="9"/>
      <c r="N149" s="9"/>
      <c r="O149" s="10"/>
      <c r="P149" s="11">
        <v>1</v>
      </c>
      <c r="Q149" s="11">
        <v>1</v>
      </c>
      <c r="R149" s="11">
        <v>1</v>
      </c>
      <c r="S149" s="11">
        <v>1</v>
      </c>
      <c r="T149" s="11">
        <v>1</v>
      </c>
      <c r="U149" s="11">
        <v>1</v>
      </c>
      <c r="V149" s="11">
        <v>1</v>
      </c>
      <c r="W149" s="11">
        <v>1</v>
      </c>
      <c r="X149" s="11">
        <v>1</v>
      </c>
      <c r="Y149" s="11">
        <v>1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11">
        <v>1</v>
      </c>
      <c r="AG149" s="11">
        <v>1</v>
      </c>
      <c r="AH149" s="11">
        <v>1</v>
      </c>
      <c r="AI149" s="11">
        <v>1</v>
      </c>
      <c r="AJ149" s="11">
        <v>1</v>
      </c>
      <c r="AK149" s="11">
        <v>1</v>
      </c>
      <c r="AL149" s="11">
        <v>1</v>
      </c>
      <c r="AM149" s="11">
        <v>1</v>
      </c>
      <c r="AN149" s="11">
        <v>1</v>
      </c>
      <c r="AO149" s="11">
        <v>1</v>
      </c>
      <c r="AP149" s="11">
        <v>1</v>
      </c>
      <c r="AQ149" s="11">
        <v>1</v>
      </c>
      <c r="AR149" s="11">
        <v>1</v>
      </c>
      <c r="AS149" s="11">
        <v>1</v>
      </c>
      <c r="AT149" s="11">
        <v>1</v>
      </c>
      <c r="AU149" s="11">
        <v>1</v>
      </c>
      <c r="AV149" s="11">
        <v>1</v>
      </c>
      <c r="AW149" s="11">
        <v>1</v>
      </c>
      <c r="AX149" s="11">
        <v>1</v>
      </c>
      <c r="AY149" s="11">
        <v>1</v>
      </c>
      <c r="AZ149" s="11">
        <v>1</v>
      </c>
      <c r="BA149" s="11">
        <v>1</v>
      </c>
      <c r="BB149" s="11">
        <v>1</v>
      </c>
      <c r="BC149" s="11">
        <v>1</v>
      </c>
      <c r="BD149" s="11">
        <v>1</v>
      </c>
      <c r="BE149" s="11">
        <v>1</v>
      </c>
      <c r="BF149" s="11">
        <v>1</v>
      </c>
      <c r="BG149" s="11">
        <v>1</v>
      </c>
      <c r="BH149" s="11">
        <v>1</v>
      </c>
      <c r="BI149" s="11">
        <v>1</v>
      </c>
      <c r="BJ149" s="11">
        <v>1</v>
      </c>
      <c r="BK149" s="11">
        <v>1</v>
      </c>
      <c r="BL149" s="11">
        <v>1</v>
      </c>
      <c r="BM149" s="11">
        <v>1</v>
      </c>
      <c r="BN149" s="11">
        <v>1</v>
      </c>
      <c r="BO149" s="11">
        <v>1</v>
      </c>
      <c r="BP149" t="s">
        <v>331</v>
      </c>
      <c r="BQ149" t="s">
        <v>334</v>
      </c>
    </row>
    <row r="150" ht="18" customHeight="1" spans="1:69" x14ac:dyDescent="0.25">
      <c r="A150" s="9"/>
      <c r="B150" s="9"/>
      <c r="C150" s="9"/>
      <c r="D150" s="9"/>
      <c r="E150" s="9"/>
      <c r="F150" s="10"/>
      <c r="G150" s="10"/>
      <c r="H150" s="9" t="s">
        <v>139</v>
      </c>
      <c r="I150" s="9"/>
      <c r="J150" s="9"/>
      <c r="K150" s="9"/>
      <c r="L150" s="9"/>
      <c r="M150" s="9"/>
      <c r="N150" s="9"/>
      <c r="O150" s="10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t="s">
        <v>331</v>
      </c>
      <c r="BQ150" t="s">
        <v>334</v>
      </c>
    </row>
    <row r="151" ht="28" customHeight="1" spans="1:69" x14ac:dyDescent="0.25">
      <c r="A151" s="9"/>
      <c r="B151" s="9"/>
      <c r="C151" s="9"/>
      <c r="D151" s="9"/>
      <c r="E151" s="9"/>
      <c r="F151" s="10" t="s">
        <v>171</v>
      </c>
      <c r="G151" s="10" t="s">
        <v>303</v>
      </c>
      <c r="H151" s="9" t="s">
        <v>136</v>
      </c>
      <c r="I151" s="9">
        <v>3</v>
      </c>
      <c r="J151" s="9">
        <v>2000</v>
      </c>
      <c r="K151" s="9" t="s">
        <v>192</v>
      </c>
      <c r="L151" s="9" t="s">
        <v>9</v>
      </c>
      <c r="M151" s="9"/>
      <c r="N151" s="9" t="s">
        <v>193</v>
      </c>
      <c r="O151" s="10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5">
        <v>3</v>
      </c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5">
        <v>3</v>
      </c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5">
        <v>3</v>
      </c>
      <c r="BP151" t="s">
        <v>331</v>
      </c>
      <c r="BQ151" t="s">
        <v>335</v>
      </c>
    </row>
    <row r="152" ht="18" customHeight="1" spans="1:69" x14ac:dyDescent="0.25">
      <c r="A152" s="9"/>
      <c r="B152" s="9"/>
      <c r="C152" s="9"/>
      <c r="D152" s="9"/>
      <c r="E152" s="9"/>
      <c r="F152" s="10"/>
      <c r="G152" s="10"/>
      <c r="H152" s="9" t="s">
        <v>139</v>
      </c>
      <c r="I152" s="9"/>
      <c r="J152" s="9"/>
      <c r="K152" s="9"/>
      <c r="L152" s="9"/>
      <c r="M152" s="9"/>
      <c r="N152" s="9"/>
      <c r="O152" s="10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t="s">
        <v>331</v>
      </c>
      <c r="BQ152" t="s">
        <v>335</v>
      </c>
    </row>
    <row r="153" ht="28" customHeight="1" spans="1:69" x14ac:dyDescent="0.25">
      <c r="A153" s="9"/>
      <c r="B153" s="9"/>
      <c r="C153" s="9"/>
      <c r="D153" s="9"/>
      <c r="E153" s="9"/>
      <c r="F153" s="10" t="s">
        <v>171</v>
      </c>
      <c r="G153" s="10" t="s">
        <v>305</v>
      </c>
      <c r="H153" s="9" t="s">
        <v>136</v>
      </c>
      <c r="I153" s="9">
        <v>5</v>
      </c>
      <c r="J153" s="9">
        <v>10000</v>
      </c>
      <c r="K153" s="9" t="s">
        <v>145</v>
      </c>
      <c r="L153" s="9" t="s">
        <v>9</v>
      </c>
      <c r="M153" s="9"/>
      <c r="N153" s="9"/>
      <c r="O153" s="10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t="s">
        <v>331</v>
      </c>
      <c r="BQ153" t="s">
        <v>336</v>
      </c>
    </row>
    <row r="154" ht="18" customHeight="1" spans="1:69" x14ac:dyDescent="0.25">
      <c r="A154" s="9"/>
      <c r="B154" s="9"/>
      <c r="C154" s="9"/>
      <c r="D154" s="9"/>
      <c r="E154" s="9"/>
      <c r="F154" s="10"/>
      <c r="G154" s="10"/>
      <c r="H154" s="9" t="s">
        <v>139</v>
      </c>
      <c r="I154" s="9"/>
      <c r="J154" s="9"/>
      <c r="K154" s="9"/>
      <c r="L154" s="9"/>
      <c r="M154" s="9"/>
      <c r="N154" s="9"/>
      <c r="O154" s="10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t="s">
        <v>331</v>
      </c>
      <c r="BQ154" t="s">
        <v>336</v>
      </c>
    </row>
    <row r="155" ht="28" customHeight="1" spans="1:69" x14ac:dyDescent="0.25">
      <c r="A155" s="9"/>
      <c r="B155" s="9"/>
      <c r="C155" s="9"/>
      <c r="D155" s="9"/>
      <c r="E155" s="9"/>
      <c r="F155" s="10" t="s">
        <v>307</v>
      </c>
      <c r="G155" s="10" t="s">
        <v>308</v>
      </c>
      <c r="H155" s="9" t="s">
        <v>136</v>
      </c>
      <c r="I155" s="9">
        <v>3</v>
      </c>
      <c r="J155" s="9">
        <v>1000</v>
      </c>
      <c r="K155" s="9" t="s">
        <v>153</v>
      </c>
      <c r="L155" s="9" t="s">
        <v>9</v>
      </c>
      <c r="M155" s="9"/>
      <c r="N155" s="9" t="s">
        <v>154</v>
      </c>
      <c r="O155" s="10"/>
      <c r="P155" s="13"/>
      <c r="Q155" s="13"/>
      <c r="R155" s="13"/>
      <c r="S155" s="13"/>
      <c r="T155" s="13"/>
      <c r="U155" s="13"/>
      <c r="V155" s="13"/>
      <c r="W155" s="13"/>
      <c r="X155" s="13"/>
      <c r="Y155" s="15">
        <v>3</v>
      </c>
      <c r="Z155" s="13"/>
      <c r="AA155" s="13"/>
      <c r="AB155" s="13"/>
      <c r="AC155" s="13"/>
      <c r="AD155" s="13"/>
      <c r="AE155" s="13"/>
      <c r="AF155" s="13"/>
      <c r="AG155" s="13"/>
      <c r="AH155" s="15">
        <v>3</v>
      </c>
      <c r="AI155" s="13"/>
      <c r="AJ155" s="13"/>
      <c r="AK155" s="13"/>
      <c r="AL155" s="13"/>
      <c r="AM155" s="13"/>
      <c r="AN155" s="13"/>
      <c r="AO155" s="13"/>
      <c r="AP155" s="13"/>
      <c r="AQ155" s="15">
        <v>3</v>
      </c>
      <c r="AR155" s="13"/>
      <c r="AS155" s="13"/>
      <c r="AT155" s="13"/>
      <c r="AU155" s="13"/>
      <c r="AV155" s="13"/>
      <c r="AW155" s="13"/>
      <c r="AX155" s="13"/>
      <c r="AY155" s="13"/>
      <c r="AZ155" s="15">
        <v>3</v>
      </c>
      <c r="BA155" s="13"/>
      <c r="BB155" s="13"/>
      <c r="BC155" s="13"/>
      <c r="BD155" s="13"/>
      <c r="BE155" s="13"/>
      <c r="BF155" s="13"/>
      <c r="BG155" s="13"/>
      <c r="BH155" s="13"/>
      <c r="BI155" s="15">
        <v>3</v>
      </c>
      <c r="BJ155" s="13"/>
      <c r="BK155" s="13"/>
      <c r="BL155" s="13"/>
      <c r="BM155" s="13"/>
      <c r="BN155" s="13"/>
      <c r="BO155" s="13"/>
      <c r="BP155" t="s">
        <v>331</v>
      </c>
      <c r="BQ155" t="s">
        <v>337</v>
      </c>
    </row>
    <row r="156" ht="18" customHeight="1" spans="1:69" x14ac:dyDescent="0.25">
      <c r="A156" s="9"/>
      <c r="B156" s="9"/>
      <c r="C156" s="9"/>
      <c r="D156" s="9"/>
      <c r="E156" s="9"/>
      <c r="F156" s="10"/>
      <c r="G156" s="10"/>
      <c r="H156" s="9" t="s">
        <v>139</v>
      </c>
      <c r="I156" s="9"/>
      <c r="J156" s="9"/>
      <c r="K156" s="9"/>
      <c r="L156" s="9"/>
      <c r="M156" s="9"/>
      <c r="N156" s="9"/>
      <c r="O156" s="10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t="s">
        <v>331</v>
      </c>
      <c r="BQ156" t="s">
        <v>337</v>
      </c>
    </row>
    <row r="157" ht="28" customHeight="1" spans="1:69" x14ac:dyDescent="0.25">
      <c r="A157" s="9"/>
      <c r="B157" s="9" t="s">
        <v>338</v>
      </c>
      <c r="C157" s="9" t="s">
        <v>339</v>
      </c>
      <c r="D157" s="9" t="s">
        <v>340</v>
      </c>
      <c r="E157" s="9" t="s">
        <v>300</v>
      </c>
      <c r="F157" s="10" t="s">
        <v>134</v>
      </c>
      <c r="G157" s="10" t="s">
        <v>301</v>
      </c>
      <c r="H157" s="9" t="s">
        <v>136</v>
      </c>
      <c r="I157" s="9">
        <v>1</v>
      </c>
      <c r="J157" s="9">
        <v>1</v>
      </c>
      <c r="K157" s="9" t="s">
        <v>4</v>
      </c>
      <c r="L157" s="9" t="s">
        <v>137</v>
      </c>
      <c r="M157" s="9"/>
      <c r="N157" s="9"/>
      <c r="O157" s="10"/>
      <c r="P157" s="11">
        <v>1</v>
      </c>
      <c r="Q157" s="11">
        <v>1</v>
      </c>
      <c r="R157" s="11">
        <v>1</v>
      </c>
      <c r="S157" s="11">
        <v>1</v>
      </c>
      <c r="T157" s="11">
        <v>1</v>
      </c>
      <c r="U157" s="11">
        <v>1</v>
      </c>
      <c r="V157" s="11">
        <v>1</v>
      </c>
      <c r="W157" s="11">
        <v>1</v>
      </c>
      <c r="X157" s="11">
        <v>1</v>
      </c>
      <c r="Y157" s="11">
        <v>1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11">
        <v>1</v>
      </c>
      <c r="AG157" s="11">
        <v>1</v>
      </c>
      <c r="AH157" s="11">
        <v>1</v>
      </c>
      <c r="AI157" s="11">
        <v>1</v>
      </c>
      <c r="AJ157" s="11">
        <v>1</v>
      </c>
      <c r="AK157" s="11">
        <v>1</v>
      </c>
      <c r="AL157" s="11">
        <v>1</v>
      </c>
      <c r="AM157" s="11">
        <v>1</v>
      </c>
      <c r="AN157" s="11">
        <v>1</v>
      </c>
      <c r="AO157" s="11">
        <v>1</v>
      </c>
      <c r="AP157" s="11">
        <v>1</v>
      </c>
      <c r="AQ157" s="11">
        <v>1</v>
      </c>
      <c r="AR157" s="11">
        <v>1</v>
      </c>
      <c r="AS157" s="11">
        <v>1</v>
      </c>
      <c r="AT157" s="11">
        <v>1</v>
      </c>
      <c r="AU157" s="11">
        <v>1</v>
      </c>
      <c r="AV157" s="11">
        <v>1</v>
      </c>
      <c r="AW157" s="11">
        <v>1</v>
      </c>
      <c r="AX157" s="11">
        <v>1</v>
      </c>
      <c r="AY157" s="11">
        <v>1</v>
      </c>
      <c r="AZ157" s="11">
        <v>1</v>
      </c>
      <c r="BA157" s="11">
        <v>1</v>
      </c>
      <c r="BB157" s="11">
        <v>1</v>
      </c>
      <c r="BC157" s="11">
        <v>1</v>
      </c>
      <c r="BD157" s="11">
        <v>1</v>
      </c>
      <c r="BE157" s="11">
        <v>1</v>
      </c>
      <c r="BF157" s="11">
        <v>1</v>
      </c>
      <c r="BG157" s="11">
        <v>1</v>
      </c>
      <c r="BH157" s="11">
        <v>1</v>
      </c>
      <c r="BI157" s="11">
        <v>1</v>
      </c>
      <c r="BJ157" s="11">
        <v>1</v>
      </c>
      <c r="BK157" s="11">
        <v>1</v>
      </c>
      <c r="BL157" s="11">
        <v>1</v>
      </c>
      <c r="BM157" s="11">
        <v>1</v>
      </c>
      <c r="BN157" s="11">
        <v>1</v>
      </c>
      <c r="BO157" s="11">
        <v>1</v>
      </c>
      <c r="BP157" t="s">
        <v>338</v>
      </c>
      <c r="BQ157" t="s">
        <v>341</v>
      </c>
    </row>
    <row r="158" ht="18" customHeight="1" spans="1:69" x14ac:dyDescent="0.25">
      <c r="A158" s="9"/>
      <c r="B158" s="9"/>
      <c r="C158" s="9"/>
      <c r="D158" s="9"/>
      <c r="E158" s="9"/>
      <c r="F158" s="10"/>
      <c r="G158" s="10"/>
      <c r="H158" s="9" t="s">
        <v>139</v>
      </c>
      <c r="I158" s="9"/>
      <c r="J158" s="9"/>
      <c r="K158" s="9"/>
      <c r="L158" s="9"/>
      <c r="M158" s="9"/>
      <c r="N158" s="9"/>
      <c r="O158" s="10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t="s">
        <v>338</v>
      </c>
      <c r="BQ158" t="s">
        <v>341</v>
      </c>
    </row>
    <row r="159" ht="28" customHeight="1" spans="1:69" x14ac:dyDescent="0.25">
      <c r="A159" s="9"/>
      <c r="B159" s="9"/>
      <c r="C159" s="9"/>
      <c r="D159" s="9"/>
      <c r="E159" s="9"/>
      <c r="F159" s="10" t="s">
        <v>171</v>
      </c>
      <c r="G159" s="10" t="s">
        <v>303</v>
      </c>
      <c r="H159" s="9" t="s">
        <v>136</v>
      </c>
      <c r="I159" s="9">
        <v>3</v>
      </c>
      <c r="J159" s="9">
        <v>2000</v>
      </c>
      <c r="K159" s="9" t="s">
        <v>192</v>
      </c>
      <c r="L159" s="9" t="s">
        <v>9</v>
      </c>
      <c r="M159" s="9"/>
      <c r="N159" s="9" t="s">
        <v>193</v>
      </c>
      <c r="O159" s="10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5">
        <v>3</v>
      </c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5">
        <v>3</v>
      </c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5">
        <v>3</v>
      </c>
      <c r="BP159" t="s">
        <v>338</v>
      </c>
      <c r="BQ159" t="s">
        <v>342</v>
      </c>
    </row>
    <row r="160" ht="18" customHeight="1" spans="1:69" x14ac:dyDescent="0.25">
      <c r="A160" s="9"/>
      <c r="B160" s="9"/>
      <c r="C160" s="9"/>
      <c r="D160" s="9"/>
      <c r="E160" s="9"/>
      <c r="F160" s="10"/>
      <c r="G160" s="10"/>
      <c r="H160" s="9" t="s">
        <v>139</v>
      </c>
      <c r="I160" s="9"/>
      <c r="J160" s="9"/>
      <c r="K160" s="9"/>
      <c r="L160" s="9"/>
      <c r="M160" s="9"/>
      <c r="N160" s="9"/>
      <c r="O160" s="10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t="s">
        <v>338</v>
      </c>
      <c r="BQ160" t="s">
        <v>342</v>
      </c>
    </row>
    <row r="161" ht="28" customHeight="1" spans="1:69" x14ac:dyDescent="0.25">
      <c r="A161" s="9"/>
      <c r="B161" s="9"/>
      <c r="C161" s="9"/>
      <c r="D161" s="9"/>
      <c r="E161" s="9"/>
      <c r="F161" s="10" t="s">
        <v>171</v>
      </c>
      <c r="G161" s="10" t="s">
        <v>305</v>
      </c>
      <c r="H161" s="9" t="s">
        <v>136</v>
      </c>
      <c r="I161" s="9">
        <v>5</v>
      </c>
      <c r="J161" s="9">
        <v>10000</v>
      </c>
      <c r="K161" s="9" t="s">
        <v>145</v>
      </c>
      <c r="L161" s="9" t="s">
        <v>9</v>
      </c>
      <c r="M161" s="9"/>
      <c r="N161" s="9"/>
      <c r="O161" s="10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t="s">
        <v>338</v>
      </c>
      <c r="BQ161" t="s">
        <v>343</v>
      </c>
    </row>
    <row r="162" ht="18" customHeight="1" spans="1:69" x14ac:dyDescent="0.25">
      <c r="A162" s="9"/>
      <c r="B162" s="9"/>
      <c r="C162" s="9"/>
      <c r="D162" s="9"/>
      <c r="E162" s="9"/>
      <c r="F162" s="10"/>
      <c r="G162" s="10"/>
      <c r="H162" s="9" t="s">
        <v>139</v>
      </c>
      <c r="I162" s="9"/>
      <c r="J162" s="9"/>
      <c r="K162" s="9"/>
      <c r="L162" s="9"/>
      <c r="M162" s="9"/>
      <c r="N162" s="9"/>
      <c r="O162" s="10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t="s">
        <v>338</v>
      </c>
      <c r="BQ162" t="s">
        <v>343</v>
      </c>
    </row>
    <row r="163" ht="28" customHeight="1" spans="1:69" x14ac:dyDescent="0.25">
      <c r="A163" s="9"/>
      <c r="B163" s="9"/>
      <c r="C163" s="9"/>
      <c r="D163" s="9"/>
      <c r="E163" s="9"/>
      <c r="F163" s="10" t="s">
        <v>307</v>
      </c>
      <c r="G163" s="10" t="s">
        <v>308</v>
      </c>
      <c r="H163" s="9" t="s">
        <v>136</v>
      </c>
      <c r="I163" s="9">
        <v>3</v>
      </c>
      <c r="J163" s="9">
        <v>1000</v>
      </c>
      <c r="K163" s="9" t="s">
        <v>153</v>
      </c>
      <c r="L163" s="9" t="s">
        <v>9</v>
      </c>
      <c r="M163" s="9"/>
      <c r="N163" s="9" t="s">
        <v>154</v>
      </c>
      <c r="O163" s="10"/>
      <c r="P163" s="13"/>
      <c r="Q163" s="13"/>
      <c r="R163" s="13"/>
      <c r="S163" s="13"/>
      <c r="T163" s="13"/>
      <c r="U163" s="13"/>
      <c r="V163" s="13"/>
      <c r="W163" s="13"/>
      <c r="X163" s="13"/>
      <c r="Y163" s="15">
        <v>3</v>
      </c>
      <c r="Z163" s="13"/>
      <c r="AA163" s="13"/>
      <c r="AB163" s="13"/>
      <c r="AC163" s="13"/>
      <c r="AD163" s="13"/>
      <c r="AE163" s="13"/>
      <c r="AF163" s="13"/>
      <c r="AG163" s="13"/>
      <c r="AH163" s="15">
        <v>3</v>
      </c>
      <c r="AI163" s="13"/>
      <c r="AJ163" s="13"/>
      <c r="AK163" s="13"/>
      <c r="AL163" s="13"/>
      <c r="AM163" s="13"/>
      <c r="AN163" s="13"/>
      <c r="AO163" s="13"/>
      <c r="AP163" s="13"/>
      <c r="AQ163" s="15">
        <v>3</v>
      </c>
      <c r="AR163" s="13"/>
      <c r="AS163" s="13"/>
      <c r="AT163" s="13"/>
      <c r="AU163" s="13"/>
      <c r="AV163" s="13"/>
      <c r="AW163" s="13"/>
      <c r="AX163" s="13"/>
      <c r="AY163" s="13"/>
      <c r="AZ163" s="15">
        <v>3</v>
      </c>
      <c r="BA163" s="13"/>
      <c r="BB163" s="13"/>
      <c r="BC163" s="13"/>
      <c r="BD163" s="13"/>
      <c r="BE163" s="13"/>
      <c r="BF163" s="13"/>
      <c r="BG163" s="13"/>
      <c r="BH163" s="13"/>
      <c r="BI163" s="15">
        <v>3</v>
      </c>
      <c r="BJ163" s="13"/>
      <c r="BK163" s="13"/>
      <c r="BL163" s="13"/>
      <c r="BM163" s="13"/>
      <c r="BN163" s="13"/>
      <c r="BO163" s="13"/>
      <c r="BP163" t="s">
        <v>338</v>
      </c>
      <c r="BQ163" t="s">
        <v>344</v>
      </c>
    </row>
    <row r="164" ht="18" customHeight="1" spans="1:69" x14ac:dyDescent="0.25">
      <c r="A164" s="9"/>
      <c r="B164" s="9"/>
      <c r="C164" s="9"/>
      <c r="D164" s="9"/>
      <c r="E164" s="9"/>
      <c r="F164" s="10"/>
      <c r="G164" s="10"/>
      <c r="H164" s="9" t="s">
        <v>139</v>
      </c>
      <c r="I164" s="9"/>
      <c r="J164" s="9"/>
      <c r="K164" s="9"/>
      <c r="L164" s="9"/>
      <c r="M164" s="9"/>
      <c r="N164" s="9"/>
      <c r="O164" s="10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t="s">
        <v>338</v>
      </c>
      <c r="BQ164" t="s">
        <v>344</v>
      </c>
    </row>
    <row r="165" ht="28" customHeight="1" spans="1:69" x14ac:dyDescent="0.25">
      <c r="A165" s="9"/>
      <c r="B165" s="9" t="s">
        <v>345</v>
      </c>
      <c r="C165" s="9" t="s">
        <v>346</v>
      </c>
      <c r="D165" s="9" t="s">
        <v>347</v>
      </c>
      <c r="E165" s="9" t="s">
        <v>300</v>
      </c>
      <c r="F165" s="10" t="s">
        <v>134</v>
      </c>
      <c r="G165" s="10" t="s">
        <v>301</v>
      </c>
      <c r="H165" s="9" t="s">
        <v>136</v>
      </c>
      <c r="I165" s="9">
        <v>1</v>
      </c>
      <c r="J165" s="9">
        <v>1</v>
      </c>
      <c r="K165" s="9" t="s">
        <v>4</v>
      </c>
      <c r="L165" s="9" t="s">
        <v>137</v>
      </c>
      <c r="M165" s="9"/>
      <c r="N165" s="9"/>
      <c r="O165" s="10"/>
      <c r="P165" s="11">
        <v>1</v>
      </c>
      <c r="Q165" s="11">
        <v>1</v>
      </c>
      <c r="R165" s="11">
        <v>1</v>
      </c>
      <c r="S165" s="11">
        <v>1</v>
      </c>
      <c r="T165" s="11">
        <v>1</v>
      </c>
      <c r="U165" s="11">
        <v>1</v>
      </c>
      <c r="V165" s="11">
        <v>1</v>
      </c>
      <c r="W165" s="11">
        <v>1</v>
      </c>
      <c r="X165" s="11">
        <v>1</v>
      </c>
      <c r="Y165" s="11">
        <v>1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11">
        <v>1</v>
      </c>
      <c r="AG165" s="11">
        <v>1</v>
      </c>
      <c r="AH165" s="11">
        <v>1</v>
      </c>
      <c r="AI165" s="11">
        <v>1</v>
      </c>
      <c r="AJ165" s="11">
        <v>1</v>
      </c>
      <c r="AK165" s="11">
        <v>1</v>
      </c>
      <c r="AL165" s="11">
        <v>1</v>
      </c>
      <c r="AM165" s="11">
        <v>1</v>
      </c>
      <c r="AN165" s="11">
        <v>1</v>
      </c>
      <c r="AO165" s="11">
        <v>1</v>
      </c>
      <c r="AP165" s="11">
        <v>1</v>
      </c>
      <c r="AQ165" s="11">
        <v>1</v>
      </c>
      <c r="AR165" s="11">
        <v>1</v>
      </c>
      <c r="AS165" s="11">
        <v>1</v>
      </c>
      <c r="AT165" s="11">
        <v>1</v>
      </c>
      <c r="AU165" s="11">
        <v>1</v>
      </c>
      <c r="AV165" s="11">
        <v>1</v>
      </c>
      <c r="AW165" s="11">
        <v>1</v>
      </c>
      <c r="AX165" s="11">
        <v>1</v>
      </c>
      <c r="AY165" s="11">
        <v>1</v>
      </c>
      <c r="AZ165" s="11">
        <v>1</v>
      </c>
      <c r="BA165" s="11">
        <v>1</v>
      </c>
      <c r="BB165" s="11">
        <v>1</v>
      </c>
      <c r="BC165" s="11">
        <v>1</v>
      </c>
      <c r="BD165" s="11">
        <v>1</v>
      </c>
      <c r="BE165" s="11">
        <v>1</v>
      </c>
      <c r="BF165" s="11">
        <v>1</v>
      </c>
      <c r="BG165" s="11">
        <v>1</v>
      </c>
      <c r="BH165" s="11">
        <v>1</v>
      </c>
      <c r="BI165" s="11">
        <v>1</v>
      </c>
      <c r="BJ165" s="11">
        <v>1</v>
      </c>
      <c r="BK165" s="11">
        <v>1</v>
      </c>
      <c r="BL165" s="11">
        <v>1</v>
      </c>
      <c r="BM165" s="11">
        <v>1</v>
      </c>
      <c r="BN165" s="11">
        <v>1</v>
      </c>
      <c r="BO165" s="11">
        <v>1</v>
      </c>
      <c r="BP165" t="s">
        <v>345</v>
      </c>
      <c r="BQ165" t="s">
        <v>348</v>
      </c>
    </row>
    <row r="166" ht="18" customHeight="1" spans="1:69" x14ac:dyDescent="0.25">
      <c r="A166" s="9"/>
      <c r="B166" s="9"/>
      <c r="C166" s="9"/>
      <c r="D166" s="9"/>
      <c r="E166" s="9"/>
      <c r="F166" s="10"/>
      <c r="G166" s="10"/>
      <c r="H166" s="9" t="s">
        <v>139</v>
      </c>
      <c r="I166" s="9"/>
      <c r="J166" s="9"/>
      <c r="K166" s="9"/>
      <c r="L166" s="9"/>
      <c r="M166" s="9"/>
      <c r="N166" s="9"/>
      <c r="O166" s="10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t="s">
        <v>345</v>
      </c>
      <c r="BQ166" t="s">
        <v>348</v>
      </c>
    </row>
    <row r="167" ht="28" customHeight="1" spans="1:69" x14ac:dyDescent="0.25">
      <c r="A167" s="9"/>
      <c r="B167" s="9"/>
      <c r="C167" s="9"/>
      <c r="D167" s="9"/>
      <c r="E167" s="9"/>
      <c r="F167" s="10" t="s">
        <v>171</v>
      </c>
      <c r="G167" s="10" t="s">
        <v>303</v>
      </c>
      <c r="H167" s="9" t="s">
        <v>136</v>
      </c>
      <c r="I167" s="9">
        <v>3</v>
      </c>
      <c r="J167" s="9">
        <v>2000</v>
      </c>
      <c r="K167" s="9" t="s">
        <v>192</v>
      </c>
      <c r="L167" s="9" t="s">
        <v>9</v>
      </c>
      <c r="M167" s="9"/>
      <c r="N167" s="9" t="s">
        <v>193</v>
      </c>
      <c r="O167" s="10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5">
        <v>3</v>
      </c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5">
        <v>3</v>
      </c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5">
        <v>3</v>
      </c>
      <c r="BP167" t="s">
        <v>345</v>
      </c>
      <c r="BQ167" t="s">
        <v>349</v>
      </c>
    </row>
    <row r="168" ht="18" customHeight="1" spans="1:69" x14ac:dyDescent="0.25">
      <c r="A168" s="9"/>
      <c r="B168" s="9"/>
      <c r="C168" s="9"/>
      <c r="D168" s="9"/>
      <c r="E168" s="9"/>
      <c r="F168" s="10"/>
      <c r="G168" s="10"/>
      <c r="H168" s="9" t="s">
        <v>139</v>
      </c>
      <c r="I168" s="9"/>
      <c r="J168" s="9"/>
      <c r="K168" s="9"/>
      <c r="L168" s="9"/>
      <c r="M168" s="9"/>
      <c r="N168" s="9"/>
      <c r="O168" s="10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t="s">
        <v>345</v>
      </c>
      <c r="BQ168" t="s">
        <v>349</v>
      </c>
    </row>
    <row r="169" ht="28" customHeight="1" spans="1:69" x14ac:dyDescent="0.25">
      <c r="A169" s="9"/>
      <c r="B169" s="9"/>
      <c r="C169" s="9"/>
      <c r="D169" s="9"/>
      <c r="E169" s="9"/>
      <c r="F169" s="10" t="s">
        <v>171</v>
      </c>
      <c r="G169" s="10" t="s">
        <v>305</v>
      </c>
      <c r="H169" s="9" t="s">
        <v>136</v>
      </c>
      <c r="I169" s="9">
        <v>5</v>
      </c>
      <c r="J169" s="9">
        <v>10000</v>
      </c>
      <c r="K169" s="9" t="s">
        <v>145</v>
      </c>
      <c r="L169" s="9" t="s">
        <v>9</v>
      </c>
      <c r="M169" s="9"/>
      <c r="N169" s="9"/>
      <c r="O169" s="10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t="s">
        <v>345</v>
      </c>
      <c r="BQ169" t="s">
        <v>350</v>
      </c>
    </row>
    <row r="170" ht="18" customHeight="1" spans="1:69" x14ac:dyDescent="0.25">
      <c r="A170" s="9"/>
      <c r="B170" s="9"/>
      <c r="C170" s="9"/>
      <c r="D170" s="9"/>
      <c r="E170" s="9"/>
      <c r="F170" s="10"/>
      <c r="G170" s="10"/>
      <c r="H170" s="9" t="s">
        <v>139</v>
      </c>
      <c r="I170" s="9"/>
      <c r="J170" s="9"/>
      <c r="K170" s="9"/>
      <c r="L170" s="9"/>
      <c r="M170" s="9"/>
      <c r="N170" s="9"/>
      <c r="O170" s="10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t="s">
        <v>345</v>
      </c>
      <c r="BQ170" t="s">
        <v>350</v>
      </c>
    </row>
    <row r="171" ht="28" customHeight="1" spans="1:69" x14ac:dyDescent="0.25">
      <c r="A171" s="9"/>
      <c r="B171" s="9"/>
      <c r="C171" s="9"/>
      <c r="D171" s="9"/>
      <c r="E171" s="9"/>
      <c r="F171" s="10" t="s">
        <v>307</v>
      </c>
      <c r="G171" s="10" t="s">
        <v>308</v>
      </c>
      <c r="H171" s="9" t="s">
        <v>136</v>
      </c>
      <c r="I171" s="9">
        <v>2</v>
      </c>
      <c r="J171" s="9">
        <v>1</v>
      </c>
      <c r="K171" s="9" t="s">
        <v>5</v>
      </c>
      <c r="L171" s="9" t="s">
        <v>137</v>
      </c>
      <c r="M171" s="9"/>
      <c r="N171" s="9"/>
      <c r="O171" s="10"/>
      <c r="P171" s="13"/>
      <c r="Q171" s="13"/>
      <c r="R171" s="16">
        <v>2</v>
      </c>
      <c r="S171" s="13"/>
      <c r="T171" s="13"/>
      <c r="U171" s="13"/>
      <c r="V171" s="13"/>
      <c r="W171" s="16">
        <v>2</v>
      </c>
      <c r="X171" s="13"/>
      <c r="Y171" s="13"/>
      <c r="Z171" s="13"/>
      <c r="AA171" s="16">
        <v>2</v>
      </c>
      <c r="AB171" s="13"/>
      <c r="AC171" s="13"/>
      <c r="AD171" s="13"/>
      <c r="AE171" s="16">
        <v>2</v>
      </c>
      <c r="AF171" s="13"/>
      <c r="AG171" s="13"/>
      <c r="AH171" s="13"/>
      <c r="AI171" s="16">
        <v>2</v>
      </c>
      <c r="AJ171" s="13"/>
      <c r="AK171" s="13"/>
      <c r="AL171" s="13"/>
      <c r="AM171" s="13"/>
      <c r="AN171" s="16">
        <v>2</v>
      </c>
      <c r="AO171" s="13"/>
      <c r="AP171" s="13"/>
      <c r="AQ171" s="13"/>
      <c r="AR171" s="16">
        <v>2</v>
      </c>
      <c r="AS171" s="13"/>
      <c r="AT171" s="13"/>
      <c r="AU171" s="13"/>
      <c r="AV171" s="13"/>
      <c r="AW171" s="16">
        <v>2</v>
      </c>
      <c r="AX171" s="13"/>
      <c r="AY171" s="13"/>
      <c r="AZ171" s="13"/>
      <c r="BA171" s="16">
        <v>2</v>
      </c>
      <c r="BB171" s="13"/>
      <c r="BC171" s="13"/>
      <c r="BD171" s="13"/>
      <c r="BE171" s="16">
        <v>2</v>
      </c>
      <c r="BF171" s="13"/>
      <c r="BG171" s="13"/>
      <c r="BH171" s="13"/>
      <c r="BI171" s="13"/>
      <c r="BJ171" s="16">
        <v>2</v>
      </c>
      <c r="BK171" s="13"/>
      <c r="BL171" s="13"/>
      <c r="BM171" s="13"/>
      <c r="BN171" s="16">
        <v>2</v>
      </c>
      <c r="BO171" s="13"/>
      <c r="BP171" t="s">
        <v>345</v>
      </c>
      <c r="BQ171" t="s">
        <v>351</v>
      </c>
    </row>
    <row r="172" ht="18" customHeight="1" spans="1:69" x14ac:dyDescent="0.25">
      <c r="A172" s="9"/>
      <c r="B172" s="9"/>
      <c r="C172" s="9"/>
      <c r="D172" s="9"/>
      <c r="E172" s="9"/>
      <c r="F172" s="10"/>
      <c r="G172" s="10"/>
      <c r="H172" s="9" t="s">
        <v>139</v>
      </c>
      <c r="I172" s="9"/>
      <c r="J172" s="9"/>
      <c r="K172" s="9"/>
      <c r="L172" s="9"/>
      <c r="M172" s="9"/>
      <c r="N172" s="9"/>
      <c r="O172" s="10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t="s">
        <v>345</v>
      </c>
      <c r="BQ172" t="s">
        <v>351</v>
      </c>
    </row>
    <row r="173" ht="28" customHeight="1" spans="1:69" x14ac:dyDescent="0.25">
      <c r="A173" s="9" t="s">
        <v>352</v>
      </c>
      <c r="B173" s="9" t="s">
        <v>353</v>
      </c>
      <c r="C173" s="9" t="s">
        <v>354</v>
      </c>
      <c r="D173" s="9" t="s">
        <v>355</v>
      </c>
      <c r="E173" s="9" t="s">
        <v>356</v>
      </c>
      <c r="F173" s="10" t="s">
        <v>134</v>
      </c>
      <c r="G173" s="10" t="s">
        <v>357</v>
      </c>
      <c r="H173" s="9" t="s">
        <v>136</v>
      </c>
      <c r="I173" s="9">
        <v>1</v>
      </c>
      <c r="J173" s="9">
        <v>1</v>
      </c>
      <c r="K173" s="9" t="s">
        <v>4</v>
      </c>
      <c r="L173" s="9" t="s">
        <v>137</v>
      </c>
      <c r="M173" s="9"/>
      <c r="N173" s="9"/>
      <c r="O173" s="10"/>
      <c r="P173" s="11">
        <v>1</v>
      </c>
      <c r="Q173" s="11">
        <v>1</v>
      </c>
      <c r="R173" s="11">
        <v>1</v>
      </c>
      <c r="S173" s="11">
        <v>1</v>
      </c>
      <c r="T173" s="11">
        <v>1</v>
      </c>
      <c r="U173" s="11">
        <v>1</v>
      </c>
      <c r="V173" s="11">
        <v>1</v>
      </c>
      <c r="W173" s="11">
        <v>1</v>
      </c>
      <c r="X173" s="11">
        <v>1</v>
      </c>
      <c r="Y173" s="11">
        <v>1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11">
        <v>1</v>
      </c>
      <c r="AG173" s="11">
        <v>1</v>
      </c>
      <c r="AH173" s="11">
        <v>1</v>
      </c>
      <c r="AI173" s="11">
        <v>1</v>
      </c>
      <c r="AJ173" s="11">
        <v>1</v>
      </c>
      <c r="AK173" s="11">
        <v>1</v>
      </c>
      <c r="AL173" s="11">
        <v>1</v>
      </c>
      <c r="AM173" s="11">
        <v>1</v>
      </c>
      <c r="AN173" s="11">
        <v>1</v>
      </c>
      <c r="AO173" s="11">
        <v>1</v>
      </c>
      <c r="AP173" s="11">
        <v>1</v>
      </c>
      <c r="AQ173" s="11">
        <v>1</v>
      </c>
      <c r="AR173" s="11">
        <v>1</v>
      </c>
      <c r="AS173" s="11">
        <v>1</v>
      </c>
      <c r="AT173" s="11">
        <v>1</v>
      </c>
      <c r="AU173" s="11">
        <v>1</v>
      </c>
      <c r="AV173" s="11">
        <v>1</v>
      </c>
      <c r="AW173" s="11">
        <v>1</v>
      </c>
      <c r="AX173" s="11">
        <v>1</v>
      </c>
      <c r="AY173" s="11">
        <v>1</v>
      </c>
      <c r="AZ173" s="11">
        <v>1</v>
      </c>
      <c r="BA173" s="11">
        <v>1</v>
      </c>
      <c r="BB173" s="11">
        <v>1</v>
      </c>
      <c r="BC173" s="11">
        <v>1</v>
      </c>
      <c r="BD173" s="11">
        <v>1</v>
      </c>
      <c r="BE173" s="11">
        <v>1</v>
      </c>
      <c r="BF173" s="11">
        <v>1</v>
      </c>
      <c r="BG173" s="11">
        <v>1</v>
      </c>
      <c r="BH173" s="11">
        <v>1</v>
      </c>
      <c r="BI173" s="11">
        <v>1</v>
      </c>
      <c r="BJ173" s="11">
        <v>1</v>
      </c>
      <c r="BK173" s="11">
        <v>1</v>
      </c>
      <c r="BL173" s="11">
        <v>1</v>
      </c>
      <c r="BM173" s="11">
        <v>1</v>
      </c>
      <c r="BN173" s="11">
        <v>1</v>
      </c>
      <c r="BO173" s="11">
        <v>1</v>
      </c>
      <c r="BP173" t="s">
        <v>353</v>
      </c>
      <c r="BQ173" t="s">
        <v>358</v>
      </c>
    </row>
    <row r="174" ht="18" customHeight="1" spans="1:69" x14ac:dyDescent="0.25">
      <c r="A174" s="9"/>
      <c r="B174" s="9"/>
      <c r="C174" s="9"/>
      <c r="D174" s="9"/>
      <c r="E174" s="9"/>
      <c r="F174" s="10"/>
      <c r="G174" s="10"/>
      <c r="H174" s="9" t="s">
        <v>139</v>
      </c>
      <c r="I174" s="9"/>
      <c r="J174" s="9"/>
      <c r="K174" s="9"/>
      <c r="L174" s="9"/>
      <c r="M174" s="9"/>
      <c r="N174" s="9"/>
      <c r="O174" s="10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t="s">
        <v>353</v>
      </c>
      <c r="BQ174" t="s">
        <v>358</v>
      </c>
    </row>
    <row r="175" ht="28" customHeight="1" spans="1:69" x14ac:dyDescent="0.25">
      <c r="A175" s="9"/>
      <c r="B175" s="9"/>
      <c r="C175" s="9"/>
      <c r="D175" s="9"/>
      <c r="E175" s="9"/>
      <c r="F175" s="10" t="s">
        <v>171</v>
      </c>
      <c r="G175" s="10" t="s">
        <v>303</v>
      </c>
      <c r="H175" s="9" t="s">
        <v>136</v>
      </c>
      <c r="I175" s="9">
        <v>3</v>
      </c>
      <c r="J175" s="9">
        <v>3</v>
      </c>
      <c r="K175" s="9" t="s">
        <v>6</v>
      </c>
      <c r="L175" s="9" t="s">
        <v>137</v>
      </c>
      <c r="M175" s="9"/>
      <c r="N175" s="9"/>
      <c r="O175" s="10"/>
      <c r="P175" s="15">
        <v>3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5">
        <v>3</v>
      </c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5">
        <v>3</v>
      </c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5">
        <v>3</v>
      </c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t="s">
        <v>353</v>
      </c>
      <c r="BQ175" t="s">
        <v>359</v>
      </c>
    </row>
    <row r="176" ht="18" customHeight="1" spans="1:69" x14ac:dyDescent="0.25">
      <c r="A176" s="9"/>
      <c r="B176" s="9"/>
      <c r="C176" s="9"/>
      <c r="D176" s="9"/>
      <c r="E176" s="9"/>
      <c r="F176" s="10"/>
      <c r="G176" s="10"/>
      <c r="H176" s="9" t="s">
        <v>139</v>
      </c>
      <c r="I176" s="9"/>
      <c r="J176" s="9"/>
      <c r="K176" s="9"/>
      <c r="L176" s="9"/>
      <c r="M176" s="9"/>
      <c r="N176" s="9"/>
      <c r="O176" s="10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t="s">
        <v>353</v>
      </c>
      <c r="BQ176" t="s">
        <v>359</v>
      </c>
    </row>
    <row r="177" ht="28" customHeight="1" spans="1:69" x14ac:dyDescent="0.25">
      <c r="A177" s="9"/>
      <c r="B177" s="9"/>
      <c r="C177" s="9"/>
      <c r="D177" s="9"/>
      <c r="E177" s="9"/>
      <c r="F177" s="10" t="s">
        <v>171</v>
      </c>
      <c r="G177" s="10" t="s">
        <v>305</v>
      </c>
      <c r="H177" s="9" t="s">
        <v>136</v>
      </c>
      <c r="I177" s="9">
        <v>5</v>
      </c>
      <c r="J177" s="9">
        <v>10000</v>
      </c>
      <c r="K177" s="9" t="s">
        <v>145</v>
      </c>
      <c r="L177" s="9" t="s">
        <v>9</v>
      </c>
      <c r="M177" s="9"/>
      <c r="N177" s="9"/>
      <c r="O177" s="10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t="s">
        <v>353</v>
      </c>
      <c r="BQ177" t="s">
        <v>360</v>
      </c>
    </row>
    <row r="178" ht="18" customHeight="1" spans="1:69" x14ac:dyDescent="0.25">
      <c r="A178" s="9"/>
      <c r="B178" s="9"/>
      <c r="C178" s="9"/>
      <c r="D178" s="9"/>
      <c r="E178" s="9"/>
      <c r="F178" s="10"/>
      <c r="G178" s="10"/>
      <c r="H178" s="9" t="s">
        <v>139</v>
      </c>
      <c r="I178" s="9"/>
      <c r="J178" s="9"/>
      <c r="K178" s="9"/>
      <c r="L178" s="9"/>
      <c r="M178" s="9"/>
      <c r="N178" s="9"/>
      <c r="O178" s="10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t="s">
        <v>353</v>
      </c>
      <c r="BQ178" t="s">
        <v>360</v>
      </c>
    </row>
    <row r="179" ht="28" customHeight="1" spans="1:69" x14ac:dyDescent="0.25">
      <c r="A179" s="9"/>
      <c r="B179" s="9"/>
      <c r="C179" s="9"/>
      <c r="D179" s="9"/>
      <c r="E179" s="9"/>
      <c r="F179" s="10" t="s">
        <v>273</v>
      </c>
      <c r="G179" s="10" t="s">
        <v>361</v>
      </c>
      <c r="H179" s="9" t="s">
        <v>136</v>
      </c>
      <c r="I179" s="9">
        <v>2</v>
      </c>
      <c r="J179" s="9">
        <v>500</v>
      </c>
      <c r="K179" s="9" t="s">
        <v>362</v>
      </c>
      <c r="L179" s="9" t="s">
        <v>9</v>
      </c>
      <c r="M179" s="9"/>
      <c r="N179" s="9" t="s">
        <v>363</v>
      </c>
      <c r="O179" s="10"/>
      <c r="P179" s="13"/>
      <c r="Q179" s="13"/>
      <c r="R179" s="13"/>
      <c r="S179" s="13"/>
      <c r="T179" s="13"/>
      <c r="U179" s="16">
        <v>2</v>
      </c>
      <c r="V179" s="13"/>
      <c r="W179" s="13"/>
      <c r="X179" s="13"/>
      <c r="Y179" s="13"/>
      <c r="Z179" s="16">
        <v>2</v>
      </c>
      <c r="AA179" s="13"/>
      <c r="AB179" s="13"/>
      <c r="AC179" s="13"/>
      <c r="AD179" s="13"/>
      <c r="AE179" s="16">
        <v>2</v>
      </c>
      <c r="AF179" s="13"/>
      <c r="AG179" s="13"/>
      <c r="AH179" s="13"/>
      <c r="AI179" s="13"/>
      <c r="AJ179" s="16">
        <v>2</v>
      </c>
      <c r="AK179" s="13"/>
      <c r="AL179" s="13"/>
      <c r="AM179" s="13"/>
      <c r="AN179" s="13"/>
      <c r="AO179" s="16">
        <v>2</v>
      </c>
      <c r="AP179" s="13"/>
      <c r="AQ179" s="13"/>
      <c r="AR179" s="13"/>
      <c r="AS179" s="13"/>
      <c r="AT179" s="16">
        <v>2</v>
      </c>
      <c r="AU179" s="13"/>
      <c r="AV179" s="13"/>
      <c r="AW179" s="13"/>
      <c r="AX179" s="13"/>
      <c r="AY179" s="16">
        <v>2</v>
      </c>
      <c r="AZ179" s="13"/>
      <c r="BA179" s="13"/>
      <c r="BB179" s="13"/>
      <c r="BC179" s="13"/>
      <c r="BD179" s="16">
        <v>2</v>
      </c>
      <c r="BE179" s="13"/>
      <c r="BF179" s="13"/>
      <c r="BG179" s="13"/>
      <c r="BH179" s="13"/>
      <c r="BI179" s="16">
        <v>2</v>
      </c>
      <c r="BJ179" s="13"/>
      <c r="BK179" s="13"/>
      <c r="BL179" s="13"/>
      <c r="BM179" s="13"/>
      <c r="BN179" s="16">
        <v>2</v>
      </c>
      <c r="BO179" s="13"/>
      <c r="BP179" t="s">
        <v>353</v>
      </c>
      <c r="BQ179" t="s">
        <v>364</v>
      </c>
    </row>
    <row r="180" ht="18" customHeight="1" spans="1:69" x14ac:dyDescent="0.25">
      <c r="A180" s="9"/>
      <c r="B180" s="9"/>
      <c r="C180" s="9"/>
      <c r="D180" s="9"/>
      <c r="E180" s="9"/>
      <c r="F180" s="10"/>
      <c r="G180" s="10"/>
      <c r="H180" s="9" t="s">
        <v>139</v>
      </c>
      <c r="I180" s="9"/>
      <c r="J180" s="9"/>
      <c r="K180" s="9"/>
      <c r="L180" s="9"/>
      <c r="M180" s="9"/>
      <c r="N180" s="9"/>
      <c r="O180" s="10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t="s">
        <v>353</v>
      </c>
      <c r="BQ180" t="s">
        <v>364</v>
      </c>
    </row>
    <row r="181" ht="28" customHeight="1" spans="1:69" x14ac:dyDescent="0.25">
      <c r="A181" s="9"/>
      <c r="B181" s="9"/>
      <c r="C181" s="9"/>
      <c r="D181" s="9"/>
      <c r="E181" s="9"/>
      <c r="F181" s="10" t="s">
        <v>365</v>
      </c>
      <c r="G181" s="10" t="s">
        <v>366</v>
      </c>
      <c r="H181" s="9" t="s">
        <v>136</v>
      </c>
      <c r="I181" s="9">
        <v>2</v>
      </c>
      <c r="J181" s="9">
        <v>300</v>
      </c>
      <c r="K181" s="9" t="s">
        <v>367</v>
      </c>
      <c r="L181" s="9" t="s">
        <v>9</v>
      </c>
      <c r="M181" s="9"/>
      <c r="N181" s="9" t="s">
        <v>368</v>
      </c>
      <c r="O181" s="10"/>
      <c r="P181" s="13"/>
      <c r="Q181" s="13"/>
      <c r="R181" s="13"/>
      <c r="S181" s="16">
        <v>2</v>
      </c>
      <c r="T181" s="13"/>
      <c r="U181" s="13"/>
      <c r="V181" s="16">
        <v>2</v>
      </c>
      <c r="W181" s="13"/>
      <c r="X181" s="13"/>
      <c r="Y181" s="16">
        <v>2</v>
      </c>
      <c r="Z181" s="13"/>
      <c r="AA181" s="13"/>
      <c r="AB181" s="16">
        <v>2</v>
      </c>
      <c r="AC181" s="13"/>
      <c r="AD181" s="13"/>
      <c r="AE181" s="16">
        <v>2</v>
      </c>
      <c r="AF181" s="13"/>
      <c r="AG181" s="13"/>
      <c r="AH181" s="16">
        <v>2</v>
      </c>
      <c r="AI181" s="13"/>
      <c r="AJ181" s="13"/>
      <c r="AK181" s="16">
        <v>2</v>
      </c>
      <c r="AL181" s="13"/>
      <c r="AM181" s="13"/>
      <c r="AN181" s="16">
        <v>2</v>
      </c>
      <c r="AO181" s="13"/>
      <c r="AP181" s="13"/>
      <c r="AQ181" s="16">
        <v>2</v>
      </c>
      <c r="AR181" s="13"/>
      <c r="AS181" s="13"/>
      <c r="AT181" s="16">
        <v>2</v>
      </c>
      <c r="AU181" s="13"/>
      <c r="AV181" s="13"/>
      <c r="AW181" s="16">
        <v>2</v>
      </c>
      <c r="AX181" s="13"/>
      <c r="AY181" s="13"/>
      <c r="AZ181" s="16">
        <v>2</v>
      </c>
      <c r="BA181" s="13"/>
      <c r="BB181" s="13"/>
      <c r="BC181" s="16">
        <v>2</v>
      </c>
      <c r="BD181" s="13"/>
      <c r="BE181" s="13"/>
      <c r="BF181" s="16">
        <v>2</v>
      </c>
      <c r="BG181" s="13"/>
      <c r="BH181" s="13"/>
      <c r="BI181" s="16">
        <v>2</v>
      </c>
      <c r="BJ181" s="13"/>
      <c r="BK181" s="13"/>
      <c r="BL181" s="16">
        <v>2</v>
      </c>
      <c r="BM181" s="13"/>
      <c r="BN181" s="13"/>
      <c r="BO181" s="16">
        <v>2</v>
      </c>
      <c r="BP181" t="s">
        <v>353</v>
      </c>
      <c r="BQ181" t="s">
        <v>369</v>
      </c>
    </row>
    <row r="182" ht="18" customHeight="1" spans="1:69" x14ac:dyDescent="0.25">
      <c r="A182" s="9"/>
      <c r="B182" s="9"/>
      <c r="C182" s="9"/>
      <c r="D182" s="9"/>
      <c r="E182" s="9"/>
      <c r="F182" s="10"/>
      <c r="G182" s="10"/>
      <c r="H182" s="9" t="s">
        <v>139</v>
      </c>
      <c r="I182" s="9"/>
      <c r="J182" s="9"/>
      <c r="K182" s="9"/>
      <c r="L182" s="9"/>
      <c r="M182" s="9"/>
      <c r="N182" s="9"/>
      <c r="O182" s="10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t="s">
        <v>353</v>
      </c>
      <c r="BQ182" t="s">
        <v>369</v>
      </c>
    </row>
    <row r="183" ht="28" customHeight="1" spans="1:69" x14ac:dyDescent="0.25">
      <c r="A183" s="9"/>
      <c r="B183" s="9"/>
      <c r="C183" s="9"/>
      <c r="D183" s="9"/>
      <c r="E183" s="9"/>
      <c r="F183" s="10" t="s">
        <v>370</v>
      </c>
      <c r="G183" s="10" t="s">
        <v>371</v>
      </c>
      <c r="H183" s="9" t="s">
        <v>136</v>
      </c>
      <c r="I183" s="9">
        <v>2</v>
      </c>
      <c r="J183" s="9">
        <v>300</v>
      </c>
      <c r="K183" s="9" t="s">
        <v>367</v>
      </c>
      <c r="L183" s="9" t="s">
        <v>9</v>
      </c>
      <c r="M183" s="9"/>
      <c r="N183" s="9" t="s">
        <v>368</v>
      </c>
      <c r="O183" s="10"/>
      <c r="P183" s="13"/>
      <c r="Q183" s="13"/>
      <c r="R183" s="13"/>
      <c r="S183" s="16">
        <v>2</v>
      </c>
      <c r="T183" s="13"/>
      <c r="U183" s="13"/>
      <c r="V183" s="16">
        <v>2</v>
      </c>
      <c r="W183" s="13"/>
      <c r="X183" s="13"/>
      <c r="Y183" s="16">
        <v>2</v>
      </c>
      <c r="Z183" s="13"/>
      <c r="AA183" s="13"/>
      <c r="AB183" s="16">
        <v>2</v>
      </c>
      <c r="AC183" s="13"/>
      <c r="AD183" s="13"/>
      <c r="AE183" s="16">
        <v>2</v>
      </c>
      <c r="AF183" s="13"/>
      <c r="AG183" s="13"/>
      <c r="AH183" s="16">
        <v>2</v>
      </c>
      <c r="AI183" s="13"/>
      <c r="AJ183" s="13"/>
      <c r="AK183" s="16">
        <v>2</v>
      </c>
      <c r="AL183" s="13"/>
      <c r="AM183" s="13"/>
      <c r="AN183" s="16">
        <v>2</v>
      </c>
      <c r="AO183" s="13"/>
      <c r="AP183" s="13"/>
      <c r="AQ183" s="16">
        <v>2</v>
      </c>
      <c r="AR183" s="13"/>
      <c r="AS183" s="13"/>
      <c r="AT183" s="16">
        <v>2</v>
      </c>
      <c r="AU183" s="13"/>
      <c r="AV183" s="13"/>
      <c r="AW183" s="16">
        <v>2</v>
      </c>
      <c r="AX183" s="13"/>
      <c r="AY183" s="13"/>
      <c r="AZ183" s="16">
        <v>2</v>
      </c>
      <c r="BA183" s="13"/>
      <c r="BB183" s="13"/>
      <c r="BC183" s="16">
        <v>2</v>
      </c>
      <c r="BD183" s="13"/>
      <c r="BE183" s="13"/>
      <c r="BF183" s="16">
        <v>2</v>
      </c>
      <c r="BG183" s="13"/>
      <c r="BH183" s="13"/>
      <c r="BI183" s="16">
        <v>2</v>
      </c>
      <c r="BJ183" s="13"/>
      <c r="BK183" s="13"/>
      <c r="BL183" s="16">
        <v>2</v>
      </c>
      <c r="BM183" s="13"/>
      <c r="BN183" s="13"/>
      <c r="BO183" s="16">
        <v>2</v>
      </c>
      <c r="BP183" t="s">
        <v>353</v>
      </c>
      <c r="BQ183" t="s">
        <v>372</v>
      </c>
    </row>
    <row r="184" ht="18" customHeight="1" spans="1:69" x14ac:dyDescent="0.25">
      <c r="A184" s="9"/>
      <c r="B184" s="9"/>
      <c r="C184" s="9"/>
      <c r="D184" s="9"/>
      <c r="E184" s="9"/>
      <c r="F184" s="10"/>
      <c r="G184" s="10"/>
      <c r="H184" s="9" t="s">
        <v>139</v>
      </c>
      <c r="I184" s="9"/>
      <c r="J184" s="9"/>
      <c r="K184" s="9"/>
      <c r="L184" s="9"/>
      <c r="M184" s="9"/>
      <c r="N184" s="9"/>
      <c r="O184" s="10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t="s">
        <v>353</v>
      </c>
      <c r="BQ184" t="s">
        <v>372</v>
      </c>
    </row>
    <row r="185" ht="28" customHeight="1" spans="1:69" x14ac:dyDescent="0.25">
      <c r="A185" s="9"/>
      <c r="B185" s="9"/>
      <c r="C185" s="9"/>
      <c r="D185" s="9"/>
      <c r="E185" s="9"/>
      <c r="F185" s="10" t="s">
        <v>370</v>
      </c>
      <c r="G185" s="10" t="s">
        <v>373</v>
      </c>
      <c r="H185" s="9" t="s">
        <v>136</v>
      </c>
      <c r="I185" s="9">
        <v>2</v>
      </c>
      <c r="J185" s="9">
        <v>300</v>
      </c>
      <c r="K185" s="9" t="s">
        <v>367</v>
      </c>
      <c r="L185" s="9" t="s">
        <v>9</v>
      </c>
      <c r="M185" s="9"/>
      <c r="N185" s="9" t="s">
        <v>368</v>
      </c>
      <c r="O185" s="10"/>
      <c r="P185" s="13"/>
      <c r="Q185" s="13"/>
      <c r="R185" s="13"/>
      <c r="S185" s="16">
        <v>2</v>
      </c>
      <c r="T185" s="13"/>
      <c r="U185" s="13"/>
      <c r="V185" s="16">
        <v>2</v>
      </c>
      <c r="W185" s="13"/>
      <c r="X185" s="13"/>
      <c r="Y185" s="16">
        <v>2</v>
      </c>
      <c r="Z185" s="13"/>
      <c r="AA185" s="13"/>
      <c r="AB185" s="16">
        <v>2</v>
      </c>
      <c r="AC185" s="13"/>
      <c r="AD185" s="13"/>
      <c r="AE185" s="16">
        <v>2</v>
      </c>
      <c r="AF185" s="13"/>
      <c r="AG185" s="13"/>
      <c r="AH185" s="16">
        <v>2</v>
      </c>
      <c r="AI185" s="13"/>
      <c r="AJ185" s="13"/>
      <c r="AK185" s="16">
        <v>2</v>
      </c>
      <c r="AL185" s="13"/>
      <c r="AM185" s="13"/>
      <c r="AN185" s="16">
        <v>2</v>
      </c>
      <c r="AO185" s="13"/>
      <c r="AP185" s="13"/>
      <c r="AQ185" s="16">
        <v>2</v>
      </c>
      <c r="AR185" s="13"/>
      <c r="AS185" s="13"/>
      <c r="AT185" s="16">
        <v>2</v>
      </c>
      <c r="AU185" s="13"/>
      <c r="AV185" s="13"/>
      <c r="AW185" s="16">
        <v>2</v>
      </c>
      <c r="AX185" s="13"/>
      <c r="AY185" s="13"/>
      <c r="AZ185" s="16">
        <v>2</v>
      </c>
      <c r="BA185" s="13"/>
      <c r="BB185" s="13"/>
      <c r="BC185" s="16">
        <v>2</v>
      </c>
      <c r="BD185" s="13"/>
      <c r="BE185" s="13"/>
      <c r="BF185" s="16">
        <v>2</v>
      </c>
      <c r="BG185" s="13"/>
      <c r="BH185" s="13"/>
      <c r="BI185" s="16">
        <v>2</v>
      </c>
      <c r="BJ185" s="13"/>
      <c r="BK185" s="13"/>
      <c r="BL185" s="16">
        <v>2</v>
      </c>
      <c r="BM185" s="13"/>
      <c r="BN185" s="13"/>
      <c r="BO185" s="16">
        <v>2</v>
      </c>
      <c r="BP185" t="s">
        <v>353</v>
      </c>
      <c r="BQ185" t="s">
        <v>374</v>
      </c>
    </row>
    <row r="186" ht="18" customHeight="1" spans="1:69" x14ac:dyDescent="0.25">
      <c r="A186" s="9"/>
      <c r="B186" s="9"/>
      <c r="C186" s="9"/>
      <c r="D186" s="9"/>
      <c r="E186" s="9"/>
      <c r="F186" s="10"/>
      <c r="G186" s="10"/>
      <c r="H186" s="9" t="s">
        <v>139</v>
      </c>
      <c r="I186" s="9"/>
      <c r="J186" s="9"/>
      <c r="K186" s="9"/>
      <c r="L186" s="9"/>
      <c r="M186" s="9"/>
      <c r="N186" s="9"/>
      <c r="O186" s="10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t="s">
        <v>353</v>
      </c>
      <c r="BQ186" t="s">
        <v>374</v>
      </c>
    </row>
    <row r="187" ht="28" customHeight="1" spans="1:69" x14ac:dyDescent="0.25">
      <c r="A187" s="9"/>
      <c r="B187" s="9"/>
      <c r="C187" s="9"/>
      <c r="D187" s="9"/>
      <c r="E187" s="9"/>
      <c r="F187" s="10" t="s">
        <v>375</v>
      </c>
      <c r="G187" s="10" t="s">
        <v>376</v>
      </c>
      <c r="H187" s="9" t="s">
        <v>136</v>
      </c>
      <c r="I187" s="9">
        <v>3</v>
      </c>
      <c r="J187" s="9">
        <v>3</v>
      </c>
      <c r="K187" s="9" t="s">
        <v>6</v>
      </c>
      <c r="L187" s="9" t="s">
        <v>137</v>
      </c>
      <c r="M187" s="9"/>
      <c r="N187" s="9"/>
      <c r="O187" s="10"/>
      <c r="P187" s="15">
        <v>3</v>
      </c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5">
        <v>3</v>
      </c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5">
        <v>3</v>
      </c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5">
        <v>3</v>
      </c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t="s">
        <v>353</v>
      </c>
      <c r="BQ187" t="s">
        <v>377</v>
      </c>
    </row>
    <row r="188" ht="18" customHeight="1" spans="1:69" x14ac:dyDescent="0.25">
      <c r="A188" s="9"/>
      <c r="B188" s="9"/>
      <c r="C188" s="9"/>
      <c r="D188" s="9"/>
      <c r="E188" s="9"/>
      <c r="F188" s="10"/>
      <c r="G188" s="10"/>
      <c r="H188" s="9" t="s">
        <v>139</v>
      </c>
      <c r="I188" s="9"/>
      <c r="J188" s="9"/>
      <c r="K188" s="9"/>
      <c r="L188" s="9"/>
      <c r="M188" s="9"/>
      <c r="N188" s="9"/>
      <c r="O188" s="10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t="s">
        <v>353</v>
      </c>
      <c r="BQ188" t="s">
        <v>377</v>
      </c>
    </row>
    <row r="189" ht="28" customHeight="1" spans="1:69" x14ac:dyDescent="0.25">
      <c r="A189" s="9"/>
      <c r="B189" s="9"/>
      <c r="C189" s="9"/>
      <c r="D189" s="9"/>
      <c r="E189" s="9"/>
      <c r="F189" s="10" t="s">
        <v>378</v>
      </c>
      <c r="G189" s="10" t="s">
        <v>379</v>
      </c>
      <c r="H189" s="9" t="s">
        <v>136</v>
      </c>
      <c r="I189" s="9">
        <v>2</v>
      </c>
      <c r="J189" s="9">
        <v>500</v>
      </c>
      <c r="K189" s="9" t="s">
        <v>362</v>
      </c>
      <c r="L189" s="9" t="s">
        <v>9</v>
      </c>
      <c r="M189" s="9"/>
      <c r="N189" s="9" t="s">
        <v>363</v>
      </c>
      <c r="O189" s="10"/>
      <c r="P189" s="13"/>
      <c r="Q189" s="13"/>
      <c r="R189" s="13"/>
      <c r="S189" s="13"/>
      <c r="T189" s="13"/>
      <c r="U189" s="16">
        <v>2</v>
      </c>
      <c r="V189" s="13"/>
      <c r="W189" s="13"/>
      <c r="X189" s="13"/>
      <c r="Y189" s="13"/>
      <c r="Z189" s="16">
        <v>2</v>
      </c>
      <c r="AA189" s="13"/>
      <c r="AB189" s="13"/>
      <c r="AC189" s="13"/>
      <c r="AD189" s="13"/>
      <c r="AE189" s="16">
        <v>2</v>
      </c>
      <c r="AF189" s="13"/>
      <c r="AG189" s="13"/>
      <c r="AH189" s="13"/>
      <c r="AI189" s="13"/>
      <c r="AJ189" s="16">
        <v>2</v>
      </c>
      <c r="AK189" s="13"/>
      <c r="AL189" s="13"/>
      <c r="AM189" s="13"/>
      <c r="AN189" s="13"/>
      <c r="AO189" s="16">
        <v>2</v>
      </c>
      <c r="AP189" s="13"/>
      <c r="AQ189" s="13"/>
      <c r="AR189" s="13"/>
      <c r="AS189" s="13"/>
      <c r="AT189" s="16">
        <v>2</v>
      </c>
      <c r="AU189" s="13"/>
      <c r="AV189" s="13"/>
      <c r="AW189" s="13"/>
      <c r="AX189" s="13"/>
      <c r="AY189" s="16">
        <v>2</v>
      </c>
      <c r="AZ189" s="13"/>
      <c r="BA189" s="13"/>
      <c r="BB189" s="13"/>
      <c r="BC189" s="13"/>
      <c r="BD189" s="16">
        <v>2</v>
      </c>
      <c r="BE189" s="13"/>
      <c r="BF189" s="13"/>
      <c r="BG189" s="13"/>
      <c r="BH189" s="13"/>
      <c r="BI189" s="16">
        <v>2</v>
      </c>
      <c r="BJ189" s="13"/>
      <c r="BK189" s="13"/>
      <c r="BL189" s="13"/>
      <c r="BM189" s="13"/>
      <c r="BN189" s="16">
        <v>2</v>
      </c>
      <c r="BO189" s="13"/>
      <c r="BP189" t="s">
        <v>353</v>
      </c>
      <c r="BQ189" t="s">
        <v>380</v>
      </c>
    </row>
    <row r="190" ht="18" customHeight="1" spans="1:69" x14ac:dyDescent="0.25">
      <c r="A190" s="9"/>
      <c r="B190" s="9"/>
      <c r="C190" s="9"/>
      <c r="D190" s="9"/>
      <c r="E190" s="9"/>
      <c r="F190" s="10"/>
      <c r="G190" s="10"/>
      <c r="H190" s="9" t="s">
        <v>139</v>
      </c>
      <c r="I190" s="9"/>
      <c r="J190" s="9"/>
      <c r="K190" s="9"/>
      <c r="L190" s="9"/>
      <c r="M190" s="9"/>
      <c r="N190" s="9"/>
      <c r="O190" s="10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t="s">
        <v>353</v>
      </c>
      <c r="BQ190" t="s">
        <v>380</v>
      </c>
    </row>
    <row r="191" ht="28" customHeight="1" spans="1:69" x14ac:dyDescent="0.25">
      <c r="A191" s="9"/>
      <c r="B191" s="9"/>
      <c r="C191" s="9"/>
      <c r="D191" s="9"/>
      <c r="E191" s="9"/>
      <c r="F191" s="10" t="s">
        <v>381</v>
      </c>
      <c r="G191" s="10" t="s">
        <v>382</v>
      </c>
      <c r="H191" s="9" t="s">
        <v>136</v>
      </c>
      <c r="I191" s="9">
        <v>2</v>
      </c>
      <c r="J191" s="9">
        <v>200</v>
      </c>
      <c r="K191" s="9" t="s">
        <v>383</v>
      </c>
      <c r="L191" s="9" t="s">
        <v>9</v>
      </c>
      <c r="M191" s="9"/>
      <c r="N191" s="9" t="s">
        <v>384</v>
      </c>
      <c r="O191" s="10"/>
      <c r="P191" s="13"/>
      <c r="Q191" s="13"/>
      <c r="R191" s="16">
        <v>2</v>
      </c>
      <c r="S191" s="13"/>
      <c r="T191" s="16">
        <v>2</v>
      </c>
      <c r="U191" s="13"/>
      <c r="V191" s="16">
        <v>2</v>
      </c>
      <c r="W191" s="13"/>
      <c r="X191" s="16">
        <v>2</v>
      </c>
      <c r="Y191" s="13"/>
      <c r="Z191" s="16">
        <v>2</v>
      </c>
      <c r="AA191" s="13"/>
      <c r="AB191" s="16">
        <v>2</v>
      </c>
      <c r="AC191" s="13"/>
      <c r="AD191" s="16">
        <v>2</v>
      </c>
      <c r="AE191" s="13"/>
      <c r="AF191" s="16">
        <v>2</v>
      </c>
      <c r="AG191" s="13"/>
      <c r="AH191" s="16">
        <v>2</v>
      </c>
      <c r="AI191" s="13"/>
      <c r="AJ191" s="16">
        <v>2</v>
      </c>
      <c r="AK191" s="13"/>
      <c r="AL191" s="16">
        <v>2</v>
      </c>
      <c r="AM191" s="13"/>
      <c r="AN191" s="16">
        <v>2</v>
      </c>
      <c r="AO191" s="13"/>
      <c r="AP191" s="16">
        <v>2</v>
      </c>
      <c r="AQ191" s="13"/>
      <c r="AR191" s="16">
        <v>2</v>
      </c>
      <c r="AS191" s="13"/>
      <c r="AT191" s="16">
        <v>2</v>
      </c>
      <c r="AU191" s="13"/>
      <c r="AV191" s="16">
        <v>2</v>
      </c>
      <c r="AW191" s="13"/>
      <c r="AX191" s="16">
        <v>2</v>
      </c>
      <c r="AY191" s="13"/>
      <c r="AZ191" s="16">
        <v>2</v>
      </c>
      <c r="BA191" s="13"/>
      <c r="BB191" s="16">
        <v>2</v>
      </c>
      <c r="BC191" s="13"/>
      <c r="BD191" s="16">
        <v>2</v>
      </c>
      <c r="BE191" s="13"/>
      <c r="BF191" s="16">
        <v>2</v>
      </c>
      <c r="BG191" s="13"/>
      <c r="BH191" s="16">
        <v>2</v>
      </c>
      <c r="BI191" s="13"/>
      <c r="BJ191" s="16">
        <v>2</v>
      </c>
      <c r="BK191" s="13"/>
      <c r="BL191" s="16">
        <v>2</v>
      </c>
      <c r="BM191" s="13"/>
      <c r="BN191" s="16">
        <v>2</v>
      </c>
      <c r="BO191" s="13"/>
      <c r="BP191" t="s">
        <v>353</v>
      </c>
      <c r="BQ191" t="s">
        <v>385</v>
      </c>
    </row>
    <row r="192" ht="18" customHeight="1" spans="1:69" x14ac:dyDescent="0.25">
      <c r="A192" s="9"/>
      <c r="B192" s="9"/>
      <c r="C192" s="9"/>
      <c r="D192" s="9"/>
      <c r="E192" s="9"/>
      <c r="F192" s="10"/>
      <c r="G192" s="10"/>
      <c r="H192" s="9" t="s">
        <v>139</v>
      </c>
      <c r="I192" s="9"/>
      <c r="J192" s="9"/>
      <c r="K192" s="9"/>
      <c r="L192" s="9"/>
      <c r="M192" s="9"/>
      <c r="N192" s="9"/>
      <c r="O192" s="10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t="s">
        <v>353</v>
      </c>
      <c r="BQ192" t="s">
        <v>385</v>
      </c>
    </row>
    <row r="193" ht="28" customHeight="1" spans="1:69" x14ac:dyDescent="0.25">
      <c r="A193" s="9"/>
      <c r="B193" s="9"/>
      <c r="C193" s="9"/>
      <c r="D193" s="9"/>
      <c r="E193" s="9"/>
      <c r="F193" s="10" t="s">
        <v>386</v>
      </c>
      <c r="G193" s="10" t="s">
        <v>387</v>
      </c>
      <c r="H193" s="9" t="s">
        <v>136</v>
      </c>
      <c r="I193" s="9">
        <v>2</v>
      </c>
      <c r="J193" s="9">
        <v>200</v>
      </c>
      <c r="K193" s="9" t="s">
        <v>383</v>
      </c>
      <c r="L193" s="9" t="s">
        <v>9</v>
      </c>
      <c r="M193" s="9"/>
      <c r="N193" s="9" t="s">
        <v>384</v>
      </c>
      <c r="O193" s="10"/>
      <c r="P193" s="13"/>
      <c r="Q193" s="13"/>
      <c r="R193" s="16">
        <v>2</v>
      </c>
      <c r="S193" s="13"/>
      <c r="T193" s="16">
        <v>2</v>
      </c>
      <c r="U193" s="13"/>
      <c r="V193" s="16">
        <v>2</v>
      </c>
      <c r="W193" s="13"/>
      <c r="X193" s="16">
        <v>2</v>
      </c>
      <c r="Y193" s="13"/>
      <c r="Z193" s="16">
        <v>2</v>
      </c>
      <c r="AA193" s="13"/>
      <c r="AB193" s="16">
        <v>2</v>
      </c>
      <c r="AC193" s="13"/>
      <c r="AD193" s="16">
        <v>2</v>
      </c>
      <c r="AE193" s="13"/>
      <c r="AF193" s="16">
        <v>2</v>
      </c>
      <c r="AG193" s="13"/>
      <c r="AH193" s="16">
        <v>2</v>
      </c>
      <c r="AI193" s="13"/>
      <c r="AJ193" s="16">
        <v>2</v>
      </c>
      <c r="AK193" s="13"/>
      <c r="AL193" s="16">
        <v>2</v>
      </c>
      <c r="AM193" s="13"/>
      <c r="AN193" s="16">
        <v>2</v>
      </c>
      <c r="AO193" s="13"/>
      <c r="AP193" s="16">
        <v>2</v>
      </c>
      <c r="AQ193" s="13"/>
      <c r="AR193" s="16">
        <v>2</v>
      </c>
      <c r="AS193" s="13"/>
      <c r="AT193" s="16">
        <v>2</v>
      </c>
      <c r="AU193" s="13"/>
      <c r="AV193" s="16">
        <v>2</v>
      </c>
      <c r="AW193" s="13"/>
      <c r="AX193" s="16">
        <v>2</v>
      </c>
      <c r="AY193" s="13"/>
      <c r="AZ193" s="16">
        <v>2</v>
      </c>
      <c r="BA193" s="13"/>
      <c r="BB193" s="16">
        <v>2</v>
      </c>
      <c r="BC193" s="13"/>
      <c r="BD193" s="16">
        <v>2</v>
      </c>
      <c r="BE193" s="13"/>
      <c r="BF193" s="16">
        <v>2</v>
      </c>
      <c r="BG193" s="13"/>
      <c r="BH193" s="16">
        <v>2</v>
      </c>
      <c r="BI193" s="13"/>
      <c r="BJ193" s="16">
        <v>2</v>
      </c>
      <c r="BK193" s="13"/>
      <c r="BL193" s="16">
        <v>2</v>
      </c>
      <c r="BM193" s="13"/>
      <c r="BN193" s="16">
        <v>2</v>
      </c>
      <c r="BO193" s="13"/>
      <c r="BP193" t="s">
        <v>353</v>
      </c>
      <c r="BQ193" t="s">
        <v>388</v>
      </c>
    </row>
    <row r="194" ht="18" customHeight="1" spans="1:69" x14ac:dyDescent="0.25">
      <c r="A194" s="9"/>
      <c r="B194" s="9"/>
      <c r="C194" s="9"/>
      <c r="D194" s="9"/>
      <c r="E194" s="9"/>
      <c r="F194" s="10"/>
      <c r="G194" s="10"/>
      <c r="H194" s="9" t="s">
        <v>139</v>
      </c>
      <c r="I194" s="9"/>
      <c r="J194" s="9"/>
      <c r="K194" s="9"/>
      <c r="L194" s="9"/>
      <c r="M194" s="9"/>
      <c r="N194" s="9"/>
      <c r="O194" s="10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t="s">
        <v>353</v>
      </c>
      <c r="BQ194" t="s">
        <v>388</v>
      </c>
    </row>
    <row r="195" ht="28" customHeight="1" spans="1:69" x14ac:dyDescent="0.25">
      <c r="A195" s="9"/>
      <c r="B195" s="9"/>
      <c r="C195" s="9"/>
      <c r="D195" s="9"/>
      <c r="E195" s="9"/>
      <c r="F195" s="10" t="s">
        <v>389</v>
      </c>
      <c r="G195" s="10" t="s">
        <v>390</v>
      </c>
      <c r="H195" s="9" t="s">
        <v>136</v>
      </c>
      <c r="I195" s="9">
        <v>3</v>
      </c>
      <c r="J195" s="9">
        <v>1000</v>
      </c>
      <c r="K195" s="9" t="s">
        <v>153</v>
      </c>
      <c r="L195" s="9" t="s">
        <v>9</v>
      </c>
      <c r="M195" s="9"/>
      <c r="N195" s="9" t="s">
        <v>154</v>
      </c>
      <c r="O195" s="10"/>
      <c r="P195" s="13"/>
      <c r="Q195" s="13"/>
      <c r="R195" s="13"/>
      <c r="S195" s="13"/>
      <c r="T195" s="13"/>
      <c r="U195" s="13"/>
      <c r="V195" s="13"/>
      <c r="W195" s="13"/>
      <c r="X195" s="13"/>
      <c r="Y195" s="15">
        <v>3</v>
      </c>
      <c r="Z195" s="13"/>
      <c r="AA195" s="13"/>
      <c r="AB195" s="13"/>
      <c r="AC195" s="13"/>
      <c r="AD195" s="13"/>
      <c r="AE195" s="13"/>
      <c r="AF195" s="13"/>
      <c r="AG195" s="13"/>
      <c r="AH195" s="15">
        <v>3</v>
      </c>
      <c r="AI195" s="13"/>
      <c r="AJ195" s="13"/>
      <c r="AK195" s="13"/>
      <c r="AL195" s="13"/>
      <c r="AM195" s="13"/>
      <c r="AN195" s="13"/>
      <c r="AO195" s="13"/>
      <c r="AP195" s="13"/>
      <c r="AQ195" s="15">
        <v>3</v>
      </c>
      <c r="AR195" s="13"/>
      <c r="AS195" s="13"/>
      <c r="AT195" s="13"/>
      <c r="AU195" s="13"/>
      <c r="AV195" s="13"/>
      <c r="AW195" s="13"/>
      <c r="AX195" s="13"/>
      <c r="AY195" s="13"/>
      <c r="AZ195" s="15">
        <v>3</v>
      </c>
      <c r="BA195" s="13"/>
      <c r="BB195" s="13"/>
      <c r="BC195" s="13"/>
      <c r="BD195" s="13"/>
      <c r="BE195" s="13"/>
      <c r="BF195" s="13"/>
      <c r="BG195" s="13"/>
      <c r="BH195" s="13"/>
      <c r="BI195" s="15">
        <v>3</v>
      </c>
      <c r="BJ195" s="13"/>
      <c r="BK195" s="13"/>
      <c r="BL195" s="13"/>
      <c r="BM195" s="13"/>
      <c r="BN195" s="13"/>
      <c r="BO195" s="13"/>
      <c r="BP195" t="s">
        <v>353</v>
      </c>
      <c r="BQ195" t="s">
        <v>391</v>
      </c>
    </row>
    <row r="196" ht="18" customHeight="1" spans="1:69" x14ac:dyDescent="0.25">
      <c r="A196" s="9"/>
      <c r="B196" s="9"/>
      <c r="C196" s="9"/>
      <c r="D196" s="9"/>
      <c r="E196" s="9"/>
      <c r="F196" s="10"/>
      <c r="G196" s="10"/>
      <c r="H196" s="9" t="s">
        <v>139</v>
      </c>
      <c r="I196" s="9"/>
      <c r="J196" s="9"/>
      <c r="K196" s="9"/>
      <c r="L196" s="9"/>
      <c r="M196" s="9"/>
      <c r="N196" s="9"/>
      <c r="O196" s="10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t="s">
        <v>353</v>
      </c>
      <c r="BQ196" t="s">
        <v>391</v>
      </c>
    </row>
    <row r="197" ht="28" customHeight="1" spans="1:69" x14ac:dyDescent="0.25">
      <c r="A197" s="9"/>
      <c r="B197" s="9"/>
      <c r="C197" s="9"/>
      <c r="D197" s="9"/>
      <c r="E197" s="9"/>
      <c r="F197" s="10" t="s">
        <v>392</v>
      </c>
      <c r="G197" s="10" t="s">
        <v>390</v>
      </c>
      <c r="H197" s="9" t="s">
        <v>136</v>
      </c>
      <c r="I197" s="9">
        <v>2</v>
      </c>
      <c r="J197" s="9">
        <v>500</v>
      </c>
      <c r="K197" s="9" t="s">
        <v>362</v>
      </c>
      <c r="L197" s="9" t="s">
        <v>9</v>
      </c>
      <c r="M197" s="9"/>
      <c r="N197" s="9" t="s">
        <v>363</v>
      </c>
      <c r="O197" s="10"/>
      <c r="P197" s="13"/>
      <c r="Q197" s="13"/>
      <c r="R197" s="13"/>
      <c r="S197" s="13"/>
      <c r="T197" s="13"/>
      <c r="U197" s="16">
        <v>2</v>
      </c>
      <c r="V197" s="13"/>
      <c r="W197" s="13"/>
      <c r="X197" s="13"/>
      <c r="Y197" s="13"/>
      <c r="Z197" s="16">
        <v>2</v>
      </c>
      <c r="AA197" s="13"/>
      <c r="AB197" s="13"/>
      <c r="AC197" s="13"/>
      <c r="AD197" s="13"/>
      <c r="AE197" s="16">
        <v>2</v>
      </c>
      <c r="AF197" s="13"/>
      <c r="AG197" s="13"/>
      <c r="AH197" s="13"/>
      <c r="AI197" s="13"/>
      <c r="AJ197" s="16">
        <v>2</v>
      </c>
      <c r="AK197" s="13"/>
      <c r="AL197" s="13"/>
      <c r="AM197" s="13"/>
      <c r="AN197" s="13"/>
      <c r="AO197" s="16">
        <v>2</v>
      </c>
      <c r="AP197" s="13"/>
      <c r="AQ197" s="13"/>
      <c r="AR197" s="13"/>
      <c r="AS197" s="13"/>
      <c r="AT197" s="16">
        <v>2</v>
      </c>
      <c r="AU197" s="13"/>
      <c r="AV197" s="13"/>
      <c r="AW197" s="13"/>
      <c r="AX197" s="13"/>
      <c r="AY197" s="16">
        <v>2</v>
      </c>
      <c r="AZ197" s="13"/>
      <c r="BA197" s="13"/>
      <c r="BB197" s="13"/>
      <c r="BC197" s="13"/>
      <c r="BD197" s="16">
        <v>2</v>
      </c>
      <c r="BE197" s="13"/>
      <c r="BF197" s="13"/>
      <c r="BG197" s="13"/>
      <c r="BH197" s="13"/>
      <c r="BI197" s="16">
        <v>2</v>
      </c>
      <c r="BJ197" s="13"/>
      <c r="BK197" s="13"/>
      <c r="BL197" s="13"/>
      <c r="BM197" s="13"/>
      <c r="BN197" s="16">
        <v>2</v>
      </c>
      <c r="BO197" s="13"/>
      <c r="BP197" t="s">
        <v>353</v>
      </c>
      <c r="BQ197" t="s">
        <v>393</v>
      </c>
    </row>
    <row r="198" ht="18" customHeight="1" spans="1:69" x14ac:dyDescent="0.25">
      <c r="A198" s="9"/>
      <c r="B198" s="9"/>
      <c r="C198" s="9"/>
      <c r="D198" s="9"/>
      <c r="E198" s="9"/>
      <c r="F198" s="10"/>
      <c r="G198" s="10"/>
      <c r="H198" s="9" t="s">
        <v>139</v>
      </c>
      <c r="I198" s="9"/>
      <c r="J198" s="9"/>
      <c r="K198" s="9"/>
      <c r="L198" s="9"/>
      <c r="M198" s="9"/>
      <c r="N198" s="9"/>
      <c r="O198" s="10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t="s">
        <v>353</v>
      </c>
      <c r="BQ198" t="s">
        <v>393</v>
      </c>
    </row>
    <row r="199" ht="28" customHeight="1" spans="1:69" x14ac:dyDescent="0.25">
      <c r="A199" s="9"/>
      <c r="B199" s="9"/>
      <c r="C199" s="9"/>
      <c r="D199" s="9"/>
      <c r="E199" s="9"/>
      <c r="F199" s="10" t="s">
        <v>394</v>
      </c>
      <c r="G199" s="10" t="s">
        <v>395</v>
      </c>
      <c r="H199" s="9" t="s">
        <v>136</v>
      </c>
      <c r="I199" s="9">
        <v>1</v>
      </c>
      <c r="J199" s="9">
        <v>1</v>
      </c>
      <c r="K199" s="9" t="s">
        <v>4</v>
      </c>
      <c r="L199" s="9" t="s">
        <v>137</v>
      </c>
      <c r="M199" s="9"/>
      <c r="N199" s="9"/>
      <c r="O199" s="10"/>
      <c r="P199" s="11">
        <v>1</v>
      </c>
      <c r="Q199" s="11">
        <v>1</v>
      </c>
      <c r="R199" s="11">
        <v>1</v>
      </c>
      <c r="S199" s="11">
        <v>1</v>
      </c>
      <c r="T199" s="11">
        <v>1</v>
      </c>
      <c r="U199" s="11">
        <v>1</v>
      </c>
      <c r="V199" s="11">
        <v>1</v>
      </c>
      <c r="W199" s="11">
        <v>1</v>
      </c>
      <c r="X199" s="11">
        <v>1</v>
      </c>
      <c r="Y199" s="11">
        <v>1</v>
      </c>
      <c r="Z199" s="11">
        <v>1</v>
      </c>
      <c r="AA199" s="11">
        <v>1</v>
      </c>
      <c r="AB199" s="11">
        <v>1</v>
      </c>
      <c r="AC199" s="11">
        <v>1</v>
      </c>
      <c r="AD199" s="11">
        <v>1</v>
      </c>
      <c r="AE199" s="11">
        <v>1</v>
      </c>
      <c r="AF199" s="11">
        <v>1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  <c r="AM199" s="11">
        <v>1</v>
      </c>
      <c r="AN199" s="11">
        <v>1</v>
      </c>
      <c r="AO199" s="11">
        <v>1</v>
      </c>
      <c r="AP199" s="11">
        <v>1</v>
      </c>
      <c r="AQ199" s="11">
        <v>1</v>
      </c>
      <c r="AR199" s="11">
        <v>1</v>
      </c>
      <c r="AS199" s="11">
        <v>1</v>
      </c>
      <c r="AT199" s="11">
        <v>1</v>
      </c>
      <c r="AU199" s="11">
        <v>1</v>
      </c>
      <c r="AV199" s="11">
        <v>1</v>
      </c>
      <c r="AW199" s="11">
        <v>1</v>
      </c>
      <c r="AX199" s="11">
        <v>1</v>
      </c>
      <c r="AY199" s="11">
        <v>1</v>
      </c>
      <c r="AZ199" s="11">
        <v>1</v>
      </c>
      <c r="BA199" s="11">
        <v>1</v>
      </c>
      <c r="BB199" s="11">
        <v>1</v>
      </c>
      <c r="BC199" s="11">
        <v>1</v>
      </c>
      <c r="BD199" s="11">
        <v>1</v>
      </c>
      <c r="BE199" s="11">
        <v>1</v>
      </c>
      <c r="BF199" s="11">
        <v>1</v>
      </c>
      <c r="BG199" s="11">
        <v>1</v>
      </c>
      <c r="BH199" s="11">
        <v>1</v>
      </c>
      <c r="BI199" s="11">
        <v>1</v>
      </c>
      <c r="BJ199" s="11">
        <v>1</v>
      </c>
      <c r="BK199" s="11">
        <v>1</v>
      </c>
      <c r="BL199" s="11">
        <v>1</v>
      </c>
      <c r="BM199" s="11">
        <v>1</v>
      </c>
      <c r="BN199" s="11">
        <v>1</v>
      </c>
      <c r="BO199" s="11">
        <v>1</v>
      </c>
      <c r="BP199" t="s">
        <v>353</v>
      </c>
      <c r="BQ199" t="s">
        <v>396</v>
      </c>
    </row>
    <row r="200" ht="18" customHeight="1" spans="1:69" x14ac:dyDescent="0.25">
      <c r="A200" s="9"/>
      <c r="B200" s="9"/>
      <c r="C200" s="9"/>
      <c r="D200" s="9"/>
      <c r="E200" s="9"/>
      <c r="F200" s="10"/>
      <c r="G200" s="10"/>
      <c r="H200" s="9" t="s">
        <v>139</v>
      </c>
      <c r="I200" s="9"/>
      <c r="J200" s="9"/>
      <c r="K200" s="9"/>
      <c r="L200" s="9"/>
      <c r="M200" s="9"/>
      <c r="N200" s="9"/>
      <c r="O200" s="10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t="s">
        <v>353</v>
      </c>
      <c r="BQ200" t="s">
        <v>396</v>
      </c>
    </row>
    <row r="201" ht="28" customHeight="1" spans="1:69" x14ac:dyDescent="0.25">
      <c r="A201" s="9"/>
      <c r="B201" s="9"/>
      <c r="C201" s="9"/>
      <c r="D201" s="9"/>
      <c r="E201" s="9"/>
      <c r="F201" s="10" t="s">
        <v>394</v>
      </c>
      <c r="G201" s="10" t="s">
        <v>397</v>
      </c>
      <c r="H201" s="9" t="s">
        <v>136</v>
      </c>
      <c r="I201" s="9">
        <v>1</v>
      </c>
      <c r="J201" s="9">
        <v>1</v>
      </c>
      <c r="K201" s="9" t="s">
        <v>4</v>
      </c>
      <c r="L201" s="9" t="s">
        <v>137</v>
      </c>
      <c r="M201" s="9"/>
      <c r="N201" s="9"/>
      <c r="O201" s="10"/>
      <c r="P201" s="11">
        <v>1</v>
      </c>
      <c r="Q201" s="11">
        <v>1</v>
      </c>
      <c r="R201" s="11">
        <v>1</v>
      </c>
      <c r="S201" s="11">
        <v>1</v>
      </c>
      <c r="T201" s="11">
        <v>1</v>
      </c>
      <c r="U201" s="11">
        <v>1</v>
      </c>
      <c r="V201" s="11">
        <v>1</v>
      </c>
      <c r="W201" s="11">
        <v>1</v>
      </c>
      <c r="X201" s="11">
        <v>1</v>
      </c>
      <c r="Y201" s="11">
        <v>1</v>
      </c>
      <c r="Z201" s="11">
        <v>1</v>
      </c>
      <c r="AA201" s="11">
        <v>1</v>
      </c>
      <c r="AB201" s="11">
        <v>1</v>
      </c>
      <c r="AC201" s="11">
        <v>1</v>
      </c>
      <c r="AD201" s="11">
        <v>1</v>
      </c>
      <c r="AE201" s="11">
        <v>1</v>
      </c>
      <c r="AF201" s="11">
        <v>1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  <c r="AM201" s="11">
        <v>1</v>
      </c>
      <c r="AN201" s="11">
        <v>1</v>
      </c>
      <c r="AO201" s="11">
        <v>1</v>
      </c>
      <c r="AP201" s="11">
        <v>1</v>
      </c>
      <c r="AQ201" s="11">
        <v>1</v>
      </c>
      <c r="AR201" s="11">
        <v>1</v>
      </c>
      <c r="AS201" s="11">
        <v>1</v>
      </c>
      <c r="AT201" s="11">
        <v>1</v>
      </c>
      <c r="AU201" s="11">
        <v>1</v>
      </c>
      <c r="AV201" s="11">
        <v>1</v>
      </c>
      <c r="AW201" s="11">
        <v>1</v>
      </c>
      <c r="AX201" s="11">
        <v>1</v>
      </c>
      <c r="AY201" s="11">
        <v>1</v>
      </c>
      <c r="AZ201" s="11">
        <v>1</v>
      </c>
      <c r="BA201" s="11">
        <v>1</v>
      </c>
      <c r="BB201" s="11">
        <v>1</v>
      </c>
      <c r="BC201" s="11">
        <v>1</v>
      </c>
      <c r="BD201" s="11">
        <v>1</v>
      </c>
      <c r="BE201" s="11">
        <v>1</v>
      </c>
      <c r="BF201" s="11">
        <v>1</v>
      </c>
      <c r="BG201" s="11">
        <v>1</v>
      </c>
      <c r="BH201" s="11">
        <v>1</v>
      </c>
      <c r="BI201" s="11">
        <v>1</v>
      </c>
      <c r="BJ201" s="11">
        <v>1</v>
      </c>
      <c r="BK201" s="11">
        <v>1</v>
      </c>
      <c r="BL201" s="11">
        <v>1</v>
      </c>
      <c r="BM201" s="11">
        <v>1</v>
      </c>
      <c r="BN201" s="11">
        <v>1</v>
      </c>
      <c r="BO201" s="11">
        <v>1</v>
      </c>
      <c r="BP201" t="s">
        <v>353</v>
      </c>
      <c r="BQ201" t="s">
        <v>398</v>
      </c>
    </row>
    <row r="202" ht="18" customHeight="1" spans="1:69" x14ac:dyDescent="0.25">
      <c r="A202" s="9"/>
      <c r="B202" s="9"/>
      <c r="C202" s="9"/>
      <c r="D202" s="9"/>
      <c r="E202" s="9"/>
      <c r="F202" s="10"/>
      <c r="G202" s="10"/>
      <c r="H202" s="9" t="s">
        <v>139</v>
      </c>
      <c r="I202" s="9"/>
      <c r="J202" s="9"/>
      <c r="K202" s="9"/>
      <c r="L202" s="9"/>
      <c r="M202" s="9"/>
      <c r="N202" s="9"/>
      <c r="O202" s="10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t="s">
        <v>353</v>
      </c>
      <c r="BQ202" t="s">
        <v>398</v>
      </c>
    </row>
    <row r="203" ht="28" customHeight="1" spans="1:69" x14ac:dyDescent="0.25">
      <c r="A203" s="9"/>
      <c r="B203" s="9"/>
      <c r="C203" s="9"/>
      <c r="D203" s="9"/>
      <c r="E203" s="9"/>
      <c r="F203" s="10" t="s">
        <v>399</v>
      </c>
      <c r="G203" s="10" t="s">
        <v>400</v>
      </c>
      <c r="H203" s="9" t="s">
        <v>136</v>
      </c>
      <c r="I203" s="9">
        <v>1</v>
      </c>
      <c r="J203" s="9">
        <v>1</v>
      </c>
      <c r="K203" s="9" t="s">
        <v>4</v>
      </c>
      <c r="L203" s="9" t="s">
        <v>137</v>
      </c>
      <c r="M203" s="9"/>
      <c r="N203" s="9"/>
      <c r="O203" s="10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t="s">
        <v>353</v>
      </c>
      <c r="BQ203" t="s">
        <v>401</v>
      </c>
    </row>
    <row r="204" ht="18" customHeight="1" spans="1:69" x14ac:dyDescent="0.25">
      <c r="A204" s="9"/>
      <c r="B204" s="9"/>
      <c r="C204" s="9"/>
      <c r="D204" s="9"/>
      <c r="E204" s="9"/>
      <c r="F204" s="10"/>
      <c r="G204" s="10"/>
      <c r="H204" s="9" t="s">
        <v>139</v>
      </c>
      <c r="I204" s="9"/>
      <c r="J204" s="9"/>
      <c r="K204" s="9"/>
      <c r="L204" s="9"/>
      <c r="M204" s="9"/>
      <c r="N204" s="9"/>
      <c r="O204" s="10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t="s">
        <v>353</v>
      </c>
      <c r="BQ204" t="s">
        <v>401</v>
      </c>
    </row>
    <row r="205" ht="28" customHeight="1" spans="1:69" x14ac:dyDescent="0.25">
      <c r="A205" s="9"/>
      <c r="B205" s="9"/>
      <c r="C205" s="9"/>
      <c r="D205" s="9"/>
      <c r="E205" s="9"/>
      <c r="F205" s="10" t="s">
        <v>402</v>
      </c>
      <c r="G205" s="10" t="s">
        <v>403</v>
      </c>
      <c r="H205" s="9" t="s">
        <v>136</v>
      </c>
      <c r="I205" s="9">
        <v>1</v>
      </c>
      <c r="J205" s="9">
        <v>1</v>
      </c>
      <c r="K205" s="9" t="s">
        <v>4</v>
      </c>
      <c r="L205" s="9" t="s">
        <v>137</v>
      </c>
      <c r="M205" s="9"/>
      <c r="N205" s="9"/>
      <c r="O205" s="10"/>
      <c r="P205" s="11">
        <v>1</v>
      </c>
      <c r="Q205" s="11">
        <v>1</v>
      </c>
      <c r="R205" s="11">
        <v>1</v>
      </c>
      <c r="S205" s="11">
        <v>1</v>
      </c>
      <c r="T205" s="11">
        <v>1</v>
      </c>
      <c r="U205" s="11">
        <v>1</v>
      </c>
      <c r="V205" s="11">
        <v>1</v>
      </c>
      <c r="W205" s="11">
        <v>1</v>
      </c>
      <c r="X205" s="11">
        <v>1</v>
      </c>
      <c r="Y205" s="11">
        <v>1</v>
      </c>
      <c r="Z205" s="11">
        <v>1</v>
      </c>
      <c r="AA205" s="11">
        <v>1</v>
      </c>
      <c r="AB205" s="11">
        <v>1</v>
      </c>
      <c r="AC205" s="11">
        <v>1</v>
      </c>
      <c r="AD205" s="11">
        <v>1</v>
      </c>
      <c r="AE205" s="11">
        <v>1</v>
      </c>
      <c r="AF205" s="11">
        <v>1</v>
      </c>
      <c r="AG205" s="11">
        <v>1</v>
      </c>
      <c r="AH205" s="11">
        <v>1</v>
      </c>
      <c r="AI205" s="11">
        <v>1</v>
      </c>
      <c r="AJ205" s="11">
        <v>1</v>
      </c>
      <c r="AK205" s="11">
        <v>1</v>
      </c>
      <c r="AL205" s="11">
        <v>1</v>
      </c>
      <c r="AM205" s="11">
        <v>1</v>
      </c>
      <c r="AN205" s="11">
        <v>1</v>
      </c>
      <c r="AO205" s="11">
        <v>1</v>
      </c>
      <c r="AP205" s="11">
        <v>1</v>
      </c>
      <c r="AQ205" s="11">
        <v>1</v>
      </c>
      <c r="AR205" s="11">
        <v>1</v>
      </c>
      <c r="AS205" s="11">
        <v>1</v>
      </c>
      <c r="AT205" s="11">
        <v>1</v>
      </c>
      <c r="AU205" s="11">
        <v>1</v>
      </c>
      <c r="AV205" s="11">
        <v>1</v>
      </c>
      <c r="AW205" s="11">
        <v>1</v>
      </c>
      <c r="AX205" s="11">
        <v>1</v>
      </c>
      <c r="AY205" s="11">
        <v>1</v>
      </c>
      <c r="AZ205" s="11">
        <v>1</v>
      </c>
      <c r="BA205" s="11">
        <v>1</v>
      </c>
      <c r="BB205" s="11">
        <v>1</v>
      </c>
      <c r="BC205" s="11">
        <v>1</v>
      </c>
      <c r="BD205" s="11">
        <v>1</v>
      </c>
      <c r="BE205" s="11">
        <v>1</v>
      </c>
      <c r="BF205" s="11">
        <v>1</v>
      </c>
      <c r="BG205" s="11">
        <v>1</v>
      </c>
      <c r="BH205" s="11">
        <v>1</v>
      </c>
      <c r="BI205" s="11">
        <v>1</v>
      </c>
      <c r="BJ205" s="11">
        <v>1</v>
      </c>
      <c r="BK205" s="11">
        <v>1</v>
      </c>
      <c r="BL205" s="11">
        <v>1</v>
      </c>
      <c r="BM205" s="11">
        <v>1</v>
      </c>
      <c r="BN205" s="11">
        <v>1</v>
      </c>
      <c r="BO205" s="11">
        <v>1</v>
      </c>
      <c r="BP205" t="s">
        <v>353</v>
      </c>
      <c r="BQ205" t="s">
        <v>404</v>
      </c>
    </row>
    <row r="206" ht="18" customHeight="1" spans="1:69" x14ac:dyDescent="0.25">
      <c r="A206" s="9"/>
      <c r="B206" s="9"/>
      <c r="C206" s="9"/>
      <c r="D206" s="9"/>
      <c r="E206" s="9"/>
      <c r="F206" s="10"/>
      <c r="G206" s="10"/>
      <c r="H206" s="9" t="s">
        <v>139</v>
      </c>
      <c r="I206" s="9"/>
      <c r="J206" s="9"/>
      <c r="K206" s="9"/>
      <c r="L206" s="9"/>
      <c r="M206" s="9"/>
      <c r="N206" s="9"/>
      <c r="O206" s="10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t="s">
        <v>353</v>
      </c>
      <c r="BQ206" t="s">
        <v>404</v>
      </c>
    </row>
    <row r="207" ht="28" customHeight="1" spans="1:69" x14ac:dyDescent="0.25">
      <c r="A207" s="9"/>
      <c r="B207" s="9" t="s">
        <v>405</v>
      </c>
      <c r="C207" s="9" t="s">
        <v>406</v>
      </c>
      <c r="D207" s="9" t="s">
        <v>407</v>
      </c>
      <c r="E207" s="9" t="s">
        <v>408</v>
      </c>
      <c r="F207" s="10" t="s">
        <v>134</v>
      </c>
      <c r="G207" s="10" t="s">
        <v>169</v>
      </c>
      <c r="H207" s="9" t="s">
        <v>136</v>
      </c>
      <c r="I207" s="9">
        <v>1</v>
      </c>
      <c r="J207" s="9">
        <v>1</v>
      </c>
      <c r="K207" s="9" t="s">
        <v>4</v>
      </c>
      <c r="L207" s="9" t="s">
        <v>137</v>
      </c>
      <c r="M207" s="9"/>
      <c r="N207" s="9"/>
      <c r="O207" s="10"/>
      <c r="P207" s="11">
        <v>1</v>
      </c>
      <c r="Q207" s="11">
        <v>1</v>
      </c>
      <c r="R207" s="11">
        <v>1</v>
      </c>
      <c r="S207" s="11">
        <v>1</v>
      </c>
      <c r="T207" s="11">
        <v>1</v>
      </c>
      <c r="U207" s="11">
        <v>1</v>
      </c>
      <c r="V207" s="11">
        <v>1</v>
      </c>
      <c r="W207" s="11">
        <v>1</v>
      </c>
      <c r="X207" s="11">
        <v>1</v>
      </c>
      <c r="Y207" s="11">
        <v>1</v>
      </c>
      <c r="Z207" s="11">
        <v>1</v>
      </c>
      <c r="AA207" s="11">
        <v>1</v>
      </c>
      <c r="AB207" s="11">
        <v>1</v>
      </c>
      <c r="AC207" s="11">
        <v>1</v>
      </c>
      <c r="AD207" s="11">
        <v>1</v>
      </c>
      <c r="AE207" s="11">
        <v>1</v>
      </c>
      <c r="AF207" s="11">
        <v>1</v>
      </c>
      <c r="AG207" s="11">
        <v>1</v>
      </c>
      <c r="AH207" s="11">
        <v>1</v>
      </c>
      <c r="AI207" s="11">
        <v>1</v>
      </c>
      <c r="AJ207" s="11">
        <v>1</v>
      </c>
      <c r="AK207" s="11">
        <v>1</v>
      </c>
      <c r="AL207" s="11">
        <v>1</v>
      </c>
      <c r="AM207" s="11">
        <v>1</v>
      </c>
      <c r="AN207" s="11">
        <v>1</v>
      </c>
      <c r="AO207" s="11">
        <v>1</v>
      </c>
      <c r="AP207" s="11">
        <v>1</v>
      </c>
      <c r="AQ207" s="11">
        <v>1</v>
      </c>
      <c r="AR207" s="11">
        <v>1</v>
      </c>
      <c r="AS207" s="11">
        <v>1</v>
      </c>
      <c r="AT207" s="11">
        <v>1</v>
      </c>
      <c r="AU207" s="11">
        <v>1</v>
      </c>
      <c r="AV207" s="11">
        <v>1</v>
      </c>
      <c r="AW207" s="11">
        <v>1</v>
      </c>
      <c r="AX207" s="11">
        <v>1</v>
      </c>
      <c r="AY207" s="11">
        <v>1</v>
      </c>
      <c r="AZ207" s="11">
        <v>1</v>
      </c>
      <c r="BA207" s="11">
        <v>1</v>
      </c>
      <c r="BB207" s="11">
        <v>1</v>
      </c>
      <c r="BC207" s="11">
        <v>1</v>
      </c>
      <c r="BD207" s="11">
        <v>1</v>
      </c>
      <c r="BE207" s="11">
        <v>1</v>
      </c>
      <c r="BF207" s="11">
        <v>1</v>
      </c>
      <c r="BG207" s="11">
        <v>1</v>
      </c>
      <c r="BH207" s="11">
        <v>1</v>
      </c>
      <c r="BI207" s="11">
        <v>1</v>
      </c>
      <c r="BJ207" s="11">
        <v>1</v>
      </c>
      <c r="BK207" s="11">
        <v>1</v>
      </c>
      <c r="BL207" s="11">
        <v>1</v>
      </c>
      <c r="BM207" s="11">
        <v>1</v>
      </c>
      <c r="BN207" s="11">
        <v>1</v>
      </c>
      <c r="BO207" s="11">
        <v>1</v>
      </c>
      <c r="BP207" t="s">
        <v>405</v>
      </c>
      <c r="BQ207" t="s">
        <v>409</v>
      </c>
    </row>
    <row r="208" ht="18" customHeight="1" spans="1:69" x14ac:dyDescent="0.25">
      <c r="A208" s="9"/>
      <c r="B208" s="9"/>
      <c r="C208" s="9"/>
      <c r="D208" s="9"/>
      <c r="E208" s="9"/>
      <c r="F208" s="10"/>
      <c r="G208" s="10"/>
      <c r="H208" s="9" t="s">
        <v>139</v>
      </c>
      <c r="I208" s="9"/>
      <c r="J208" s="9"/>
      <c r="K208" s="9"/>
      <c r="L208" s="9"/>
      <c r="M208" s="9"/>
      <c r="N208" s="9"/>
      <c r="O208" s="10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t="s">
        <v>405</v>
      </c>
      <c r="BQ208" t="s">
        <v>409</v>
      </c>
    </row>
    <row r="209" ht="28" customHeight="1" spans="1:69" x14ac:dyDescent="0.25">
      <c r="A209" s="9"/>
      <c r="B209" s="9"/>
      <c r="C209" s="9"/>
      <c r="D209" s="9"/>
      <c r="E209" s="9"/>
      <c r="F209" s="10" t="s">
        <v>410</v>
      </c>
      <c r="G209" s="10" t="s">
        <v>183</v>
      </c>
      <c r="H209" s="9" t="s">
        <v>136</v>
      </c>
      <c r="I209" s="9">
        <v>2</v>
      </c>
      <c r="J209" s="9">
        <v>200</v>
      </c>
      <c r="K209" s="9" t="s">
        <v>383</v>
      </c>
      <c r="L209" s="9" t="s">
        <v>9</v>
      </c>
      <c r="M209" s="9"/>
      <c r="N209" s="9" t="s">
        <v>384</v>
      </c>
      <c r="O209" s="10"/>
      <c r="P209" s="13"/>
      <c r="Q209" s="13"/>
      <c r="R209" s="16">
        <v>2</v>
      </c>
      <c r="S209" s="13"/>
      <c r="T209" s="16">
        <v>2</v>
      </c>
      <c r="U209" s="13"/>
      <c r="V209" s="16">
        <v>2</v>
      </c>
      <c r="W209" s="13"/>
      <c r="X209" s="16">
        <v>2</v>
      </c>
      <c r="Y209" s="13"/>
      <c r="Z209" s="16">
        <v>2</v>
      </c>
      <c r="AA209" s="13"/>
      <c r="AB209" s="16">
        <v>2</v>
      </c>
      <c r="AC209" s="13"/>
      <c r="AD209" s="16">
        <v>2</v>
      </c>
      <c r="AE209" s="13"/>
      <c r="AF209" s="16">
        <v>2</v>
      </c>
      <c r="AG209" s="13"/>
      <c r="AH209" s="16">
        <v>2</v>
      </c>
      <c r="AI209" s="13"/>
      <c r="AJ209" s="16">
        <v>2</v>
      </c>
      <c r="AK209" s="13"/>
      <c r="AL209" s="16">
        <v>2</v>
      </c>
      <c r="AM209" s="13"/>
      <c r="AN209" s="16">
        <v>2</v>
      </c>
      <c r="AO209" s="13"/>
      <c r="AP209" s="16">
        <v>2</v>
      </c>
      <c r="AQ209" s="13"/>
      <c r="AR209" s="16">
        <v>2</v>
      </c>
      <c r="AS209" s="13"/>
      <c r="AT209" s="16">
        <v>2</v>
      </c>
      <c r="AU209" s="13"/>
      <c r="AV209" s="16">
        <v>2</v>
      </c>
      <c r="AW209" s="13"/>
      <c r="AX209" s="16">
        <v>2</v>
      </c>
      <c r="AY209" s="13"/>
      <c r="AZ209" s="16">
        <v>2</v>
      </c>
      <c r="BA209" s="13"/>
      <c r="BB209" s="16">
        <v>2</v>
      </c>
      <c r="BC209" s="13"/>
      <c r="BD209" s="16">
        <v>2</v>
      </c>
      <c r="BE209" s="13"/>
      <c r="BF209" s="16">
        <v>2</v>
      </c>
      <c r="BG209" s="13"/>
      <c r="BH209" s="16">
        <v>2</v>
      </c>
      <c r="BI209" s="13"/>
      <c r="BJ209" s="16">
        <v>2</v>
      </c>
      <c r="BK209" s="13"/>
      <c r="BL209" s="16">
        <v>2</v>
      </c>
      <c r="BM209" s="13"/>
      <c r="BN209" s="16">
        <v>2</v>
      </c>
      <c r="BO209" s="13"/>
      <c r="BP209" t="s">
        <v>405</v>
      </c>
      <c r="BQ209" t="s">
        <v>411</v>
      </c>
    </row>
    <row r="210" ht="18" customHeight="1" spans="1:69" x14ac:dyDescent="0.25">
      <c r="A210" s="9"/>
      <c r="B210" s="9"/>
      <c r="C210" s="9"/>
      <c r="D210" s="9"/>
      <c r="E210" s="9"/>
      <c r="F210" s="10"/>
      <c r="G210" s="10"/>
      <c r="H210" s="9" t="s">
        <v>139</v>
      </c>
      <c r="I210" s="9"/>
      <c r="J210" s="9"/>
      <c r="K210" s="9"/>
      <c r="L210" s="9"/>
      <c r="M210" s="9"/>
      <c r="N210" s="9"/>
      <c r="O210" s="10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t="s">
        <v>405</v>
      </c>
      <c r="BQ210" t="s">
        <v>411</v>
      </c>
    </row>
    <row r="211" ht="28" customHeight="1" spans="1:69" x14ac:dyDescent="0.25">
      <c r="A211" s="9"/>
      <c r="B211" s="9"/>
      <c r="C211" s="9"/>
      <c r="D211" s="9"/>
      <c r="E211" s="9"/>
      <c r="F211" s="10" t="s">
        <v>412</v>
      </c>
      <c r="G211" s="10" t="s">
        <v>413</v>
      </c>
      <c r="H211" s="9" t="s">
        <v>136</v>
      </c>
      <c r="I211" s="9">
        <v>5</v>
      </c>
      <c r="J211" s="9">
        <v>10000</v>
      </c>
      <c r="K211" s="9" t="s">
        <v>145</v>
      </c>
      <c r="L211" s="9" t="s">
        <v>9</v>
      </c>
      <c r="M211" s="9"/>
      <c r="N211" s="9"/>
      <c r="O211" s="10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t="s">
        <v>405</v>
      </c>
      <c r="BQ211" t="s">
        <v>414</v>
      </c>
    </row>
    <row r="212" ht="18" customHeight="1" spans="1:69" x14ac:dyDescent="0.25">
      <c r="A212" s="9"/>
      <c r="B212" s="9"/>
      <c r="C212" s="9"/>
      <c r="D212" s="9"/>
      <c r="E212" s="9"/>
      <c r="F212" s="10"/>
      <c r="G212" s="10"/>
      <c r="H212" s="9" t="s">
        <v>139</v>
      </c>
      <c r="I212" s="9"/>
      <c r="J212" s="9"/>
      <c r="K212" s="9"/>
      <c r="L212" s="9"/>
      <c r="M212" s="9"/>
      <c r="N212" s="9"/>
      <c r="O212" s="10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t="s">
        <v>405</v>
      </c>
      <c r="BQ212" t="s">
        <v>414</v>
      </c>
    </row>
    <row r="213" ht="28" customHeight="1" spans="1:69" x14ac:dyDescent="0.25">
      <c r="A213" s="9"/>
      <c r="B213" s="9"/>
      <c r="C213" s="9"/>
      <c r="D213" s="9"/>
      <c r="E213" s="9"/>
      <c r="F213" s="10" t="s">
        <v>415</v>
      </c>
      <c r="G213" s="10" t="s">
        <v>148</v>
      </c>
      <c r="H213" s="9" t="s">
        <v>136</v>
      </c>
      <c r="I213" s="9">
        <v>2</v>
      </c>
      <c r="J213" s="9">
        <v>500</v>
      </c>
      <c r="K213" s="9" t="s">
        <v>362</v>
      </c>
      <c r="L213" s="9" t="s">
        <v>9</v>
      </c>
      <c r="M213" s="9"/>
      <c r="N213" s="9" t="s">
        <v>363</v>
      </c>
      <c r="O213" s="10"/>
      <c r="P213" s="13"/>
      <c r="Q213" s="13"/>
      <c r="R213" s="13"/>
      <c r="S213" s="13"/>
      <c r="T213" s="13"/>
      <c r="U213" s="16">
        <v>2</v>
      </c>
      <c r="V213" s="13"/>
      <c r="W213" s="13"/>
      <c r="X213" s="13"/>
      <c r="Y213" s="13"/>
      <c r="Z213" s="16">
        <v>2</v>
      </c>
      <c r="AA213" s="13"/>
      <c r="AB213" s="13"/>
      <c r="AC213" s="13"/>
      <c r="AD213" s="13"/>
      <c r="AE213" s="16">
        <v>2</v>
      </c>
      <c r="AF213" s="13"/>
      <c r="AG213" s="13"/>
      <c r="AH213" s="13"/>
      <c r="AI213" s="13"/>
      <c r="AJ213" s="16">
        <v>2</v>
      </c>
      <c r="AK213" s="13"/>
      <c r="AL213" s="13"/>
      <c r="AM213" s="13"/>
      <c r="AN213" s="13"/>
      <c r="AO213" s="16">
        <v>2</v>
      </c>
      <c r="AP213" s="13"/>
      <c r="AQ213" s="13"/>
      <c r="AR213" s="13"/>
      <c r="AS213" s="13"/>
      <c r="AT213" s="16">
        <v>2</v>
      </c>
      <c r="AU213" s="13"/>
      <c r="AV213" s="13"/>
      <c r="AW213" s="13"/>
      <c r="AX213" s="13"/>
      <c r="AY213" s="16">
        <v>2</v>
      </c>
      <c r="AZ213" s="13"/>
      <c r="BA213" s="13"/>
      <c r="BB213" s="13"/>
      <c r="BC213" s="13"/>
      <c r="BD213" s="16">
        <v>2</v>
      </c>
      <c r="BE213" s="13"/>
      <c r="BF213" s="13"/>
      <c r="BG213" s="13"/>
      <c r="BH213" s="13"/>
      <c r="BI213" s="16">
        <v>2</v>
      </c>
      <c r="BJ213" s="13"/>
      <c r="BK213" s="13"/>
      <c r="BL213" s="13"/>
      <c r="BM213" s="13"/>
      <c r="BN213" s="16">
        <v>2</v>
      </c>
      <c r="BO213" s="13"/>
      <c r="BP213" t="s">
        <v>405</v>
      </c>
      <c r="BQ213" t="s">
        <v>416</v>
      </c>
    </row>
    <row r="214" ht="18" customHeight="1" spans="1:69" x14ac:dyDescent="0.25">
      <c r="A214" s="9"/>
      <c r="B214" s="9"/>
      <c r="C214" s="9"/>
      <c r="D214" s="9"/>
      <c r="E214" s="9"/>
      <c r="F214" s="10"/>
      <c r="G214" s="10"/>
      <c r="H214" s="9" t="s">
        <v>139</v>
      </c>
      <c r="I214" s="9"/>
      <c r="J214" s="9"/>
      <c r="K214" s="9"/>
      <c r="L214" s="9"/>
      <c r="M214" s="9"/>
      <c r="N214" s="9"/>
      <c r="O214" s="10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t="s">
        <v>405</v>
      </c>
      <c r="BQ214" t="s">
        <v>416</v>
      </c>
    </row>
    <row r="215" ht="28" customHeight="1" spans="1:69" x14ac:dyDescent="0.25">
      <c r="A215" s="9"/>
      <c r="B215" s="9"/>
      <c r="C215" s="9"/>
      <c r="D215" s="9"/>
      <c r="E215" s="9"/>
      <c r="F215" s="10" t="s">
        <v>417</v>
      </c>
      <c r="G215" s="10" t="s">
        <v>148</v>
      </c>
      <c r="H215" s="9" t="s">
        <v>136</v>
      </c>
      <c r="I215" s="9">
        <v>2</v>
      </c>
      <c r="J215" s="9">
        <v>500</v>
      </c>
      <c r="K215" s="9" t="s">
        <v>362</v>
      </c>
      <c r="L215" s="9" t="s">
        <v>9</v>
      </c>
      <c r="M215" s="9"/>
      <c r="N215" s="9" t="s">
        <v>363</v>
      </c>
      <c r="O215" s="10"/>
      <c r="P215" s="13"/>
      <c r="Q215" s="13"/>
      <c r="R215" s="13"/>
      <c r="S215" s="13"/>
      <c r="T215" s="13"/>
      <c r="U215" s="16">
        <v>2</v>
      </c>
      <c r="V215" s="13"/>
      <c r="W215" s="13"/>
      <c r="X215" s="13"/>
      <c r="Y215" s="13"/>
      <c r="Z215" s="16">
        <v>2</v>
      </c>
      <c r="AA215" s="13"/>
      <c r="AB215" s="13"/>
      <c r="AC215" s="13"/>
      <c r="AD215" s="13"/>
      <c r="AE215" s="16">
        <v>2</v>
      </c>
      <c r="AF215" s="13"/>
      <c r="AG215" s="13"/>
      <c r="AH215" s="13"/>
      <c r="AI215" s="13"/>
      <c r="AJ215" s="16">
        <v>2</v>
      </c>
      <c r="AK215" s="13"/>
      <c r="AL215" s="13"/>
      <c r="AM215" s="13"/>
      <c r="AN215" s="13"/>
      <c r="AO215" s="16">
        <v>2</v>
      </c>
      <c r="AP215" s="13"/>
      <c r="AQ215" s="13"/>
      <c r="AR215" s="13"/>
      <c r="AS215" s="13"/>
      <c r="AT215" s="16">
        <v>2</v>
      </c>
      <c r="AU215" s="13"/>
      <c r="AV215" s="13"/>
      <c r="AW215" s="13"/>
      <c r="AX215" s="13"/>
      <c r="AY215" s="16">
        <v>2</v>
      </c>
      <c r="AZ215" s="13"/>
      <c r="BA215" s="13"/>
      <c r="BB215" s="13"/>
      <c r="BC215" s="13"/>
      <c r="BD215" s="16">
        <v>2</v>
      </c>
      <c r="BE215" s="13"/>
      <c r="BF215" s="13"/>
      <c r="BG215" s="13"/>
      <c r="BH215" s="13"/>
      <c r="BI215" s="16">
        <v>2</v>
      </c>
      <c r="BJ215" s="13"/>
      <c r="BK215" s="13"/>
      <c r="BL215" s="13"/>
      <c r="BM215" s="13"/>
      <c r="BN215" s="16">
        <v>2</v>
      </c>
      <c r="BO215" s="13"/>
      <c r="BP215" t="s">
        <v>405</v>
      </c>
      <c r="BQ215" t="s">
        <v>418</v>
      </c>
    </row>
    <row r="216" ht="18" customHeight="1" spans="1:69" x14ac:dyDescent="0.25">
      <c r="A216" s="9"/>
      <c r="B216" s="9"/>
      <c r="C216" s="9"/>
      <c r="D216" s="9"/>
      <c r="E216" s="9"/>
      <c r="F216" s="10"/>
      <c r="G216" s="10"/>
      <c r="H216" s="9" t="s">
        <v>139</v>
      </c>
      <c r="I216" s="9"/>
      <c r="J216" s="9"/>
      <c r="K216" s="9"/>
      <c r="L216" s="9"/>
      <c r="M216" s="9"/>
      <c r="N216" s="9"/>
      <c r="O216" s="10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t="s">
        <v>405</v>
      </c>
      <c r="BQ216" t="s">
        <v>418</v>
      </c>
    </row>
    <row r="217" ht="28" customHeight="1" spans="1:69" x14ac:dyDescent="0.25">
      <c r="A217" s="9"/>
      <c r="B217" s="9"/>
      <c r="C217" s="9"/>
      <c r="D217" s="9"/>
      <c r="E217" s="9"/>
      <c r="F217" s="10" t="s">
        <v>370</v>
      </c>
      <c r="G217" s="10" t="s">
        <v>148</v>
      </c>
      <c r="H217" s="9" t="s">
        <v>136</v>
      </c>
      <c r="I217" s="9">
        <v>2</v>
      </c>
      <c r="J217" s="9">
        <v>500</v>
      </c>
      <c r="K217" s="9" t="s">
        <v>362</v>
      </c>
      <c r="L217" s="9" t="s">
        <v>9</v>
      </c>
      <c r="M217" s="9"/>
      <c r="N217" s="9" t="s">
        <v>363</v>
      </c>
      <c r="O217" s="10"/>
      <c r="P217" s="13"/>
      <c r="Q217" s="13"/>
      <c r="R217" s="13"/>
      <c r="S217" s="13"/>
      <c r="T217" s="13"/>
      <c r="U217" s="16">
        <v>2</v>
      </c>
      <c r="V217" s="13"/>
      <c r="W217" s="13"/>
      <c r="X217" s="13"/>
      <c r="Y217" s="13"/>
      <c r="Z217" s="16">
        <v>2</v>
      </c>
      <c r="AA217" s="13"/>
      <c r="AB217" s="13"/>
      <c r="AC217" s="13"/>
      <c r="AD217" s="13"/>
      <c r="AE217" s="16">
        <v>2</v>
      </c>
      <c r="AF217" s="13"/>
      <c r="AG217" s="13"/>
      <c r="AH217" s="13"/>
      <c r="AI217" s="13"/>
      <c r="AJ217" s="16">
        <v>2</v>
      </c>
      <c r="AK217" s="13"/>
      <c r="AL217" s="13"/>
      <c r="AM217" s="13"/>
      <c r="AN217" s="13"/>
      <c r="AO217" s="16">
        <v>2</v>
      </c>
      <c r="AP217" s="13"/>
      <c r="AQ217" s="13"/>
      <c r="AR217" s="13"/>
      <c r="AS217" s="13"/>
      <c r="AT217" s="16">
        <v>2</v>
      </c>
      <c r="AU217" s="13"/>
      <c r="AV217" s="13"/>
      <c r="AW217" s="13"/>
      <c r="AX217" s="13"/>
      <c r="AY217" s="16">
        <v>2</v>
      </c>
      <c r="AZ217" s="13"/>
      <c r="BA217" s="13"/>
      <c r="BB217" s="13"/>
      <c r="BC217" s="13"/>
      <c r="BD217" s="16">
        <v>2</v>
      </c>
      <c r="BE217" s="13"/>
      <c r="BF217" s="13"/>
      <c r="BG217" s="13"/>
      <c r="BH217" s="13"/>
      <c r="BI217" s="16">
        <v>2</v>
      </c>
      <c r="BJ217" s="13"/>
      <c r="BK217" s="13"/>
      <c r="BL217" s="13"/>
      <c r="BM217" s="13"/>
      <c r="BN217" s="16">
        <v>2</v>
      </c>
      <c r="BO217" s="13"/>
      <c r="BP217" t="s">
        <v>405</v>
      </c>
      <c r="BQ217" t="s">
        <v>419</v>
      </c>
    </row>
    <row r="218" ht="18" customHeight="1" spans="1:69" x14ac:dyDescent="0.25">
      <c r="A218" s="9"/>
      <c r="B218" s="9"/>
      <c r="C218" s="9"/>
      <c r="D218" s="9"/>
      <c r="E218" s="9"/>
      <c r="F218" s="10"/>
      <c r="G218" s="10"/>
      <c r="H218" s="9" t="s">
        <v>139</v>
      </c>
      <c r="I218" s="9"/>
      <c r="J218" s="9"/>
      <c r="K218" s="9"/>
      <c r="L218" s="9"/>
      <c r="M218" s="9"/>
      <c r="N218" s="9"/>
      <c r="O218" s="10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t="s">
        <v>405</v>
      </c>
      <c r="BQ218" t="s">
        <v>419</v>
      </c>
    </row>
    <row r="219" ht="28" customHeight="1" spans="1:69" x14ac:dyDescent="0.25">
      <c r="A219" s="9"/>
      <c r="B219" s="9"/>
      <c r="C219" s="9"/>
      <c r="D219" s="9"/>
      <c r="E219" s="9"/>
      <c r="F219" s="10" t="s">
        <v>420</v>
      </c>
      <c r="G219" s="10" t="s">
        <v>183</v>
      </c>
      <c r="H219" s="9" t="s">
        <v>136</v>
      </c>
      <c r="I219" s="9">
        <v>2</v>
      </c>
      <c r="J219" s="9">
        <v>500</v>
      </c>
      <c r="K219" s="9" t="s">
        <v>362</v>
      </c>
      <c r="L219" s="9" t="s">
        <v>9</v>
      </c>
      <c r="M219" s="9"/>
      <c r="N219" s="9" t="s">
        <v>363</v>
      </c>
      <c r="O219" s="10"/>
      <c r="P219" s="13"/>
      <c r="Q219" s="13"/>
      <c r="R219" s="13"/>
      <c r="S219" s="13"/>
      <c r="T219" s="13"/>
      <c r="U219" s="16">
        <v>2</v>
      </c>
      <c r="V219" s="13"/>
      <c r="W219" s="13"/>
      <c r="X219" s="13"/>
      <c r="Y219" s="13"/>
      <c r="Z219" s="16">
        <v>2</v>
      </c>
      <c r="AA219" s="13"/>
      <c r="AB219" s="13"/>
      <c r="AC219" s="13"/>
      <c r="AD219" s="13"/>
      <c r="AE219" s="16">
        <v>2</v>
      </c>
      <c r="AF219" s="13"/>
      <c r="AG219" s="13"/>
      <c r="AH219" s="13"/>
      <c r="AI219" s="13"/>
      <c r="AJ219" s="16">
        <v>2</v>
      </c>
      <c r="AK219" s="13"/>
      <c r="AL219" s="13"/>
      <c r="AM219" s="13"/>
      <c r="AN219" s="13"/>
      <c r="AO219" s="16">
        <v>2</v>
      </c>
      <c r="AP219" s="13"/>
      <c r="AQ219" s="13"/>
      <c r="AR219" s="13"/>
      <c r="AS219" s="13"/>
      <c r="AT219" s="16">
        <v>2</v>
      </c>
      <c r="AU219" s="13"/>
      <c r="AV219" s="13"/>
      <c r="AW219" s="13"/>
      <c r="AX219" s="13"/>
      <c r="AY219" s="16">
        <v>2</v>
      </c>
      <c r="AZ219" s="13"/>
      <c r="BA219" s="13"/>
      <c r="BB219" s="13"/>
      <c r="BC219" s="13"/>
      <c r="BD219" s="16">
        <v>2</v>
      </c>
      <c r="BE219" s="13"/>
      <c r="BF219" s="13"/>
      <c r="BG219" s="13"/>
      <c r="BH219" s="13"/>
      <c r="BI219" s="16">
        <v>2</v>
      </c>
      <c r="BJ219" s="13"/>
      <c r="BK219" s="13"/>
      <c r="BL219" s="13"/>
      <c r="BM219" s="13"/>
      <c r="BN219" s="16">
        <v>2</v>
      </c>
      <c r="BO219" s="13"/>
      <c r="BP219" t="s">
        <v>405</v>
      </c>
      <c r="BQ219" t="s">
        <v>421</v>
      </c>
    </row>
    <row r="220" ht="18" customHeight="1" spans="1:69" x14ac:dyDescent="0.25">
      <c r="A220" s="9"/>
      <c r="B220" s="9"/>
      <c r="C220" s="9"/>
      <c r="D220" s="9"/>
      <c r="E220" s="9"/>
      <c r="F220" s="10"/>
      <c r="G220" s="10"/>
      <c r="H220" s="9" t="s">
        <v>139</v>
      </c>
      <c r="I220" s="9"/>
      <c r="J220" s="9"/>
      <c r="K220" s="9"/>
      <c r="L220" s="9"/>
      <c r="M220" s="9"/>
      <c r="N220" s="9"/>
      <c r="O220" s="10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t="s">
        <v>405</v>
      </c>
      <c r="BQ220" t="s">
        <v>421</v>
      </c>
    </row>
    <row r="221" ht="28" customHeight="1" spans="1:69" x14ac:dyDescent="0.25">
      <c r="A221" s="9"/>
      <c r="B221" s="9"/>
      <c r="C221" s="9"/>
      <c r="D221" s="9"/>
      <c r="E221" s="9"/>
      <c r="F221" s="10" t="s">
        <v>392</v>
      </c>
      <c r="G221" s="10" t="s">
        <v>183</v>
      </c>
      <c r="H221" s="9" t="s">
        <v>136</v>
      </c>
      <c r="I221" s="9">
        <v>3</v>
      </c>
      <c r="J221" s="9">
        <v>1000</v>
      </c>
      <c r="K221" s="9" t="s">
        <v>153</v>
      </c>
      <c r="L221" s="9" t="s">
        <v>9</v>
      </c>
      <c r="M221" s="9"/>
      <c r="N221" s="9" t="s">
        <v>154</v>
      </c>
      <c r="O221" s="10"/>
      <c r="P221" s="13"/>
      <c r="Q221" s="13"/>
      <c r="R221" s="13"/>
      <c r="S221" s="13"/>
      <c r="T221" s="13"/>
      <c r="U221" s="13"/>
      <c r="V221" s="13"/>
      <c r="W221" s="13"/>
      <c r="X221" s="13"/>
      <c r="Y221" s="15">
        <v>3</v>
      </c>
      <c r="Z221" s="13"/>
      <c r="AA221" s="13"/>
      <c r="AB221" s="13"/>
      <c r="AC221" s="13"/>
      <c r="AD221" s="13"/>
      <c r="AE221" s="13"/>
      <c r="AF221" s="13"/>
      <c r="AG221" s="13"/>
      <c r="AH221" s="15">
        <v>3</v>
      </c>
      <c r="AI221" s="13"/>
      <c r="AJ221" s="13"/>
      <c r="AK221" s="13"/>
      <c r="AL221" s="13"/>
      <c r="AM221" s="13"/>
      <c r="AN221" s="13"/>
      <c r="AO221" s="13"/>
      <c r="AP221" s="13"/>
      <c r="AQ221" s="15">
        <v>3</v>
      </c>
      <c r="AR221" s="13"/>
      <c r="AS221" s="13"/>
      <c r="AT221" s="13"/>
      <c r="AU221" s="13"/>
      <c r="AV221" s="13"/>
      <c r="AW221" s="13"/>
      <c r="AX221" s="13"/>
      <c r="AY221" s="13"/>
      <c r="AZ221" s="15">
        <v>3</v>
      </c>
      <c r="BA221" s="13"/>
      <c r="BB221" s="13"/>
      <c r="BC221" s="13"/>
      <c r="BD221" s="13"/>
      <c r="BE221" s="13"/>
      <c r="BF221" s="13"/>
      <c r="BG221" s="13"/>
      <c r="BH221" s="13"/>
      <c r="BI221" s="15">
        <v>3</v>
      </c>
      <c r="BJ221" s="13"/>
      <c r="BK221" s="13"/>
      <c r="BL221" s="13"/>
      <c r="BM221" s="13"/>
      <c r="BN221" s="13"/>
      <c r="BO221" s="13"/>
      <c r="BP221" t="s">
        <v>405</v>
      </c>
      <c r="BQ221" t="s">
        <v>422</v>
      </c>
    </row>
    <row r="222" ht="18" customHeight="1" spans="1:69" x14ac:dyDescent="0.25">
      <c r="A222" s="9"/>
      <c r="B222" s="9"/>
      <c r="C222" s="9"/>
      <c r="D222" s="9"/>
      <c r="E222" s="9"/>
      <c r="F222" s="10"/>
      <c r="G222" s="10"/>
      <c r="H222" s="9" t="s">
        <v>139</v>
      </c>
      <c r="I222" s="9"/>
      <c r="J222" s="9"/>
      <c r="K222" s="9"/>
      <c r="L222" s="9"/>
      <c r="M222" s="9"/>
      <c r="N222" s="9"/>
      <c r="O222" s="10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t="s">
        <v>405</v>
      </c>
      <c r="BQ222" t="s">
        <v>422</v>
      </c>
    </row>
    <row r="223" ht="28" customHeight="1" spans="1:69" x14ac:dyDescent="0.25">
      <c r="A223" s="9"/>
      <c r="B223" s="9"/>
      <c r="C223" s="9"/>
      <c r="D223" s="9"/>
      <c r="E223" s="9"/>
      <c r="F223" s="10" t="s">
        <v>423</v>
      </c>
      <c r="G223" s="10" t="s">
        <v>183</v>
      </c>
      <c r="H223" s="9" t="s">
        <v>136</v>
      </c>
      <c r="I223" s="9">
        <v>2</v>
      </c>
      <c r="J223" s="9">
        <v>500</v>
      </c>
      <c r="K223" s="9" t="s">
        <v>362</v>
      </c>
      <c r="L223" s="9" t="s">
        <v>9</v>
      </c>
      <c r="M223" s="9"/>
      <c r="N223" s="9" t="s">
        <v>363</v>
      </c>
      <c r="O223" s="10"/>
      <c r="P223" s="13"/>
      <c r="Q223" s="13"/>
      <c r="R223" s="13"/>
      <c r="S223" s="13"/>
      <c r="T223" s="13"/>
      <c r="U223" s="16">
        <v>2</v>
      </c>
      <c r="V223" s="13"/>
      <c r="W223" s="13"/>
      <c r="X223" s="13"/>
      <c r="Y223" s="13"/>
      <c r="Z223" s="16">
        <v>2</v>
      </c>
      <c r="AA223" s="13"/>
      <c r="AB223" s="13"/>
      <c r="AC223" s="13"/>
      <c r="AD223" s="13"/>
      <c r="AE223" s="16">
        <v>2</v>
      </c>
      <c r="AF223" s="13"/>
      <c r="AG223" s="13"/>
      <c r="AH223" s="13"/>
      <c r="AI223" s="13"/>
      <c r="AJ223" s="16">
        <v>2</v>
      </c>
      <c r="AK223" s="13"/>
      <c r="AL223" s="13"/>
      <c r="AM223" s="13"/>
      <c r="AN223" s="13"/>
      <c r="AO223" s="16">
        <v>2</v>
      </c>
      <c r="AP223" s="13"/>
      <c r="AQ223" s="13"/>
      <c r="AR223" s="13"/>
      <c r="AS223" s="13"/>
      <c r="AT223" s="16">
        <v>2</v>
      </c>
      <c r="AU223" s="13"/>
      <c r="AV223" s="13"/>
      <c r="AW223" s="13"/>
      <c r="AX223" s="13"/>
      <c r="AY223" s="16">
        <v>2</v>
      </c>
      <c r="AZ223" s="13"/>
      <c r="BA223" s="13"/>
      <c r="BB223" s="13"/>
      <c r="BC223" s="13"/>
      <c r="BD223" s="16">
        <v>2</v>
      </c>
      <c r="BE223" s="13"/>
      <c r="BF223" s="13"/>
      <c r="BG223" s="13"/>
      <c r="BH223" s="13"/>
      <c r="BI223" s="16">
        <v>2</v>
      </c>
      <c r="BJ223" s="13"/>
      <c r="BK223" s="13"/>
      <c r="BL223" s="13"/>
      <c r="BM223" s="13"/>
      <c r="BN223" s="16">
        <v>2</v>
      </c>
      <c r="BO223" s="13"/>
      <c r="BP223" t="s">
        <v>405</v>
      </c>
      <c r="BQ223" t="s">
        <v>424</v>
      </c>
    </row>
    <row r="224" ht="18" customHeight="1" spans="1:69" x14ac:dyDescent="0.25">
      <c r="A224" s="9"/>
      <c r="B224" s="9"/>
      <c r="C224" s="9"/>
      <c r="D224" s="9"/>
      <c r="E224" s="9"/>
      <c r="F224" s="10"/>
      <c r="G224" s="10"/>
      <c r="H224" s="9" t="s">
        <v>139</v>
      </c>
      <c r="I224" s="9"/>
      <c r="J224" s="9"/>
      <c r="K224" s="9"/>
      <c r="L224" s="9"/>
      <c r="M224" s="9"/>
      <c r="N224" s="9"/>
      <c r="O224" s="10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t="s">
        <v>405</v>
      </c>
      <c r="BQ224" t="s">
        <v>424</v>
      </c>
    </row>
    <row r="225" ht="28" customHeight="1" spans="1:69" x14ac:dyDescent="0.25">
      <c r="A225" s="9"/>
      <c r="B225" s="9"/>
      <c r="C225" s="9"/>
      <c r="D225" s="9"/>
      <c r="E225" s="9"/>
      <c r="F225" s="10" t="s">
        <v>394</v>
      </c>
      <c r="G225" s="10" t="s">
        <v>425</v>
      </c>
      <c r="H225" s="9" t="s">
        <v>136</v>
      </c>
      <c r="I225" s="9">
        <v>1</v>
      </c>
      <c r="J225" s="9">
        <v>1</v>
      </c>
      <c r="K225" s="9" t="s">
        <v>4</v>
      </c>
      <c r="L225" s="9" t="s">
        <v>137</v>
      </c>
      <c r="M225" s="9"/>
      <c r="N225" s="9"/>
      <c r="O225" s="10"/>
      <c r="P225" s="11">
        <v>1</v>
      </c>
      <c r="Q225" s="11">
        <v>1</v>
      </c>
      <c r="R225" s="11">
        <v>1</v>
      </c>
      <c r="S225" s="11">
        <v>1</v>
      </c>
      <c r="T225" s="11">
        <v>1</v>
      </c>
      <c r="U225" s="11">
        <v>1</v>
      </c>
      <c r="V225" s="11">
        <v>1</v>
      </c>
      <c r="W225" s="11">
        <v>1</v>
      </c>
      <c r="X225" s="11">
        <v>1</v>
      </c>
      <c r="Y225" s="11">
        <v>1</v>
      </c>
      <c r="Z225" s="11">
        <v>1</v>
      </c>
      <c r="AA225" s="11">
        <v>1</v>
      </c>
      <c r="AB225" s="11">
        <v>1</v>
      </c>
      <c r="AC225" s="11">
        <v>1</v>
      </c>
      <c r="AD225" s="11">
        <v>1</v>
      </c>
      <c r="AE225" s="11">
        <v>1</v>
      </c>
      <c r="AF225" s="11">
        <v>1</v>
      </c>
      <c r="AG225" s="11">
        <v>1</v>
      </c>
      <c r="AH225" s="11">
        <v>1</v>
      </c>
      <c r="AI225" s="11">
        <v>1</v>
      </c>
      <c r="AJ225" s="11">
        <v>1</v>
      </c>
      <c r="AK225" s="11">
        <v>1</v>
      </c>
      <c r="AL225" s="11">
        <v>1</v>
      </c>
      <c r="AM225" s="11">
        <v>1</v>
      </c>
      <c r="AN225" s="11">
        <v>1</v>
      </c>
      <c r="AO225" s="11">
        <v>1</v>
      </c>
      <c r="AP225" s="11">
        <v>1</v>
      </c>
      <c r="AQ225" s="11">
        <v>1</v>
      </c>
      <c r="AR225" s="11">
        <v>1</v>
      </c>
      <c r="AS225" s="11">
        <v>1</v>
      </c>
      <c r="AT225" s="11">
        <v>1</v>
      </c>
      <c r="AU225" s="11">
        <v>1</v>
      </c>
      <c r="AV225" s="11">
        <v>1</v>
      </c>
      <c r="AW225" s="11">
        <v>1</v>
      </c>
      <c r="AX225" s="11">
        <v>1</v>
      </c>
      <c r="AY225" s="11">
        <v>1</v>
      </c>
      <c r="AZ225" s="11">
        <v>1</v>
      </c>
      <c r="BA225" s="11">
        <v>1</v>
      </c>
      <c r="BB225" s="11">
        <v>1</v>
      </c>
      <c r="BC225" s="11">
        <v>1</v>
      </c>
      <c r="BD225" s="11">
        <v>1</v>
      </c>
      <c r="BE225" s="11">
        <v>1</v>
      </c>
      <c r="BF225" s="11">
        <v>1</v>
      </c>
      <c r="BG225" s="11">
        <v>1</v>
      </c>
      <c r="BH225" s="11">
        <v>1</v>
      </c>
      <c r="BI225" s="11">
        <v>1</v>
      </c>
      <c r="BJ225" s="11">
        <v>1</v>
      </c>
      <c r="BK225" s="11">
        <v>1</v>
      </c>
      <c r="BL225" s="11">
        <v>1</v>
      </c>
      <c r="BM225" s="11">
        <v>1</v>
      </c>
      <c r="BN225" s="11">
        <v>1</v>
      </c>
      <c r="BO225" s="11">
        <v>1</v>
      </c>
      <c r="BP225" t="s">
        <v>405</v>
      </c>
      <c r="BQ225" t="s">
        <v>426</v>
      </c>
    </row>
    <row r="226" ht="18" customHeight="1" spans="1:69" x14ac:dyDescent="0.25">
      <c r="A226" s="9"/>
      <c r="B226" s="9"/>
      <c r="C226" s="9"/>
      <c r="D226" s="9"/>
      <c r="E226" s="9"/>
      <c r="F226" s="10"/>
      <c r="G226" s="10"/>
      <c r="H226" s="9" t="s">
        <v>139</v>
      </c>
      <c r="I226" s="9"/>
      <c r="J226" s="9"/>
      <c r="K226" s="9"/>
      <c r="L226" s="9"/>
      <c r="M226" s="9"/>
      <c r="N226" s="9"/>
      <c r="O226" s="10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t="s">
        <v>405</v>
      </c>
      <c r="BQ226" t="s">
        <v>426</v>
      </c>
    </row>
    <row r="227" ht="28" customHeight="1" spans="1:69" x14ac:dyDescent="0.25">
      <c r="A227" s="9"/>
      <c r="B227" s="9"/>
      <c r="C227" s="9"/>
      <c r="D227" s="9"/>
      <c r="E227" s="9"/>
      <c r="F227" s="10" t="s">
        <v>394</v>
      </c>
      <c r="G227" s="10" t="s">
        <v>427</v>
      </c>
      <c r="H227" s="9" t="s">
        <v>136</v>
      </c>
      <c r="I227" s="9">
        <v>1</v>
      </c>
      <c r="J227" s="9">
        <v>1</v>
      </c>
      <c r="K227" s="9" t="s">
        <v>4</v>
      </c>
      <c r="L227" s="9" t="s">
        <v>137</v>
      </c>
      <c r="M227" s="9"/>
      <c r="N227" s="9"/>
      <c r="O227" s="10"/>
      <c r="P227" s="11">
        <v>1</v>
      </c>
      <c r="Q227" s="11">
        <v>1</v>
      </c>
      <c r="R227" s="11">
        <v>1</v>
      </c>
      <c r="S227" s="11">
        <v>1</v>
      </c>
      <c r="T227" s="11">
        <v>1</v>
      </c>
      <c r="U227" s="11">
        <v>1</v>
      </c>
      <c r="V227" s="11">
        <v>1</v>
      </c>
      <c r="W227" s="11">
        <v>1</v>
      </c>
      <c r="X227" s="11">
        <v>1</v>
      </c>
      <c r="Y227" s="11">
        <v>1</v>
      </c>
      <c r="Z227" s="11">
        <v>1</v>
      </c>
      <c r="AA227" s="11">
        <v>1</v>
      </c>
      <c r="AB227" s="11">
        <v>1</v>
      </c>
      <c r="AC227" s="11">
        <v>1</v>
      </c>
      <c r="AD227" s="11">
        <v>1</v>
      </c>
      <c r="AE227" s="11">
        <v>1</v>
      </c>
      <c r="AF227" s="11">
        <v>1</v>
      </c>
      <c r="AG227" s="11">
        <v>1</v>
      </c>
      <c r="AH227" s="11">
        <v>1</v>
      </c>
      <c r="AI227" s="11">
        <v>1</v>
      </c>
      <c r="AJ227" s="11">
        <v>1</v>
      </c>
      <c r="AK227" s="11">
        <v>1</v>
      </c>
      <c r="AL227" s="11">
        <v>1</v>
      </c>
      <c r="AM227" s="11">
        <v>1</v>
      </c>
      <c r="AN227" s="11">
        <v>1</v>
      </c>
      <c r="AO227" s="11">
        <v>1</v>
      </c>
      <c r="AP227" s="11">
        <v>1</v>
      </c>
      <c r="AQ227" s="11">
        <v>1</v>
      </c>
      <c r="AR227" s="11">
        <v>1</v>
      </c>
      <c r="AS227" s="11">
        <v>1</v>
      </c>
      <c r="AT227" s="11">
        <v>1</v>
      </c>
      <c r="AU227" s="11">
        <v>1</v>
      </c>
      <c r="AV227" s="11">
        <v>1</v>
      </c>
      <c r="AW227" s="11">
        <v>1</v>
      </c>
      <c r="AX227" s="11">
        <v>1</v>
      </c>
      <c r="AY227" s="11">
        <v>1</v>
      </c>
      <c r="AZ227" s="11">
        <v>1</v>
      </c>
      <c r="BA227" s="11">
        <v>1</v>
      </c>
      <c r="BB227" s="11">
        <v>1</v>
      </c>
      <c r="BC227" s="11">
        <v>1</v>
      </c>
      <c r="BD227" s="11">
        <v>1</v>
      </c>
      <c r="BE227" s="11">
        <v>1</v>
      </c>
      <c r="BF227" s="11">
        <v>1</v>
      </c>
      <c r="BG227" s="11">
        <v>1</v>
      </c>
      <c r="BH227" s="11">
        <v>1</v>
      </c>
      <c r="BI227" s="11">
        <v>1</v>
      </c>
      <c r="BJ227" s="11">
        <v>1</v>
      </c>
      <c r="BK227" s="11">
        <v>1</v>
      </c>
      <c r="BL227" s="11">
        <v>1</v>
      </c>
      <c r="BM227" s="11">
        <v>1</v>
      </c>
      <c r="BN227" s="11">
        <v>1</v>
      </c>
      <c r="BO227" s="11">
        <v>1</v>
      </c>
      <c r="BP227" t="s">
        <v>405</v>
      </c>
      <c r="BQ227" t="s">
        <v>428</v>
      </c>
    </row>
    <row r="228" ht="18" customHeight="1" spans="1:69" x14ac:dyDescent="0.25">
      <c r="A228" s="9"/>
      <c r="B228" s="9"/>
      <c r="C228" s="9"/>
      <c r="D228" s="9"/>
      <c r="E228" s="9"/>
      <c r="F228" s="10"/>
      <c r="G228" s="10"/>
      <c r="H228" s="9" t="s">
        <v>139</v>
      </c>
      <c r="I228" s="9"/>
      <c r="J228" s="9"/>
      <c r="K228" s="9"/>
      <c r="L228" s="9"/>
      <c r="M228" s="9"/>
      <c r="N228" s="9"/>
      <c r="O228" s="10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t="s">
        <v>405</v>
      </c>
      <c r="BQ228" t="s">
        <v>428</v>
      </c>
    </row>
    <row r="229" ht="28" customHeight="1" spans="1:69" x14ac:dyDescent="0.25">
      <c r="A229" s="9"/>
      <c r="B229" s="9"/>
      <c r="C229" s="9"/>
      <c r="D229" s="9"/>
      <c r="E229" s="9"/>
      <c r="F229" s="10" t="s">
        <v>429</v>
      </c>
      <c r="G229" s="10" t="s">
        <v>430</v>
      </c>
      <c r="H229" s="9" t="s">
        <v>136</v>
      </c>
      <c r="I229" s="9">
        <v>1</v>
      </c>
      <c r="J229" s="9">
        <v>1</v>
      </c>
      <c r="K229" s="9" t="s">
        <v>4</v>
      </c>
      <c r="L229" s="9" t="s">
        <v>137</v>
      </c>
      <c r="M229" s="9"/>
      <c r="N229" s="9"/>
      <c r="O229" s="10"/>
      <c r="P229" s="11">
        <v>1</v>
      </c>
      <c r="Q229" s="11">
        <v>1</v>
      </c>
      <c r="R229" s="11">
        <v>1</v>
      </c>
      <c r="S229" s="11">
        <v>1</v>
      </c>
      <c r="T229" s="11">
        <v>1</v>
      </c>
      <c r="U229" s="11">
        <v>1</v>
      </c>
      <c r="V229" s="11">
        <v>1</v>
      </c>
      <c r="W229" s="11">
        <v>1</v>
      </c>
      <c r="X229" s="11">
        <v>1</v>
      </c>
      <c r="Y229" s="11">
        <v>1</v>
      </c>
      <c r="Z229" s="11">
        <v>1</v>
      </c>
      <c r="AA229" s="11">
        <v>1</v>
      </c>
      <c r="AB229" s="11">
        <v>1</v>
      </c>
      <c r="AC229" s="11">
        <v>1</v>
      </c>
      <c r="AD229" s="11">
        <v>1</v>
      </c>
      <c r="AE229" s="11">
        <v>1</v>
      </c>
      <c r="AF229" s="11">
        <v>1</v>
      </c>
      <c r="AG229" s="11">
        <v>1</v>
      </c>
      <c r="AH229" s="11">
        <v>1</v>
      </c>
      <c r="AI229" s="11">
        <v>1</v>
      </c>
      <c r="AJ229" s="11">
        <v>1</v>
      </c>
      <c r="AK229" s="11">
        <v>1</v>
      </c>
      <c r="AL229" s="11">
        <v>1</v>
      </c>
      <c r="AM229" s="11">
        <v>1</v>
      </c>
      <c r="AN229" s="11">
        <v>1</v>
      </c>
      <c r="AO229" s="11">
        <v>1</v>
      </c>
      <c r="AP229" s="11">
        <v>1</v>
      </c>
      <c r="AQ229" s="11">
        <v>1</v>
      </c>
      <c r="AR229" s="11">
        <v>1</v>
      </c>
      <c r="AS229" s="11">
        <v>1</v>
      </c>
      <c r="AT229" s="11">
        <v>1</v>
      </c>
      <c r="AU229" s="11">
        <v>1</v>
      </c>
      <c r="AV229" s="11">
        <v>1</v>
      </c>
      <c r="AW229" s="11">
        <v>1</v>
      </c>
      <c r="AX229" s="11">
        <v>1</v>
      </c>
      <c r="AY229" s="11">
        <v>1</v>
      </c>
      <c r="AZ229" s="11">
        <v>1</v>
      </c>
      <c r="BA229" s="11">
        <v>1</v>
      </c>
      <c r="BB229" s="11">
        <v>1</v>
      </c>
      <c r="BC229" s="11">
        <v>1</v>
      </c>
      <c r="BD229" s="11">
        <v>1</v>
      </c>
      <c r="BE229" s="11">
        <v>1</v>
      </c>
      <c r="BF229" s="11">
        <v>1</v>
      </c>
      <c r="BG229" s="11">
        <v>1</v>
      </c>
      <c r="BH229" s="11">
        <v>1</v>
      </c>
      <c r="BI229" s="11">
        <v>1</v>
      </c>
      <c r="BJ229" s="11">
        <v>1</v>
      </c>
      <c r="BK229" s="11">
        <v>1</v>
      </c>
      <c r="BL229" s="11">
        <v>1</v>
      </c>
      <c r="BM229" s="11">
        <v>1</v>
      </c>
      <c r="BN229" s="11">
        <v>1</v>
      </c>
      <c r="BO229" s="11">
        <v>1</v>
      </c>
      <c r="BP229" t="s">
        <v>405</v>
      </c>
      <c r="BQ229" t="s">
        <v>431</v>
      </c>
    </row>
    <row r="230" ht="18" customHeight="1" spans="1:69" x14ac:dyDescent="0.25">
      <c r="A230" s="9"/>
      <c r="B230" s="9"/>
      <c r="C230" s="9"/>
      <c r="D230" s="9"/>
      <c r="E230" s="9"/>
      <c r="F230" s="10"/>
      <c r="G230" s="10"/>
      <c r="H230" s="9" t="s">
        <v>139</v>
      </c>
      <c r="I230" s="9"/>
      <c r="J230" s="9"/>
      <c r="K230" s="9"/>
      <c r="L230" s="9"/>
      <c r="M230" s="9"/>
      <c r="N230" s="9"/>
      <c r="O230" s="10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t="s">
        <v>405</v>
      </c>
      <c r="BQ230" t="s">
        <v>431</v>
      </c>
    </row>
    <row r="231" ht="28" customHeight="1" spans="1:69" x14ac:dyDescent="0.25">
      <c r="A231" s="9"/>
      <c r="B231" s="9" t="s">
        <v>432</v>
      </c>
      <c r="C231" s="9" t="s">
        <v>433</v>
      </c>
      <c r="D231" s="9" t="s">
        <v>434</v>
      </c>
      <c r="E231" s="9" t="s">
        <v>435</v>
      </c>
      <c r="F231" s="10" t="s">
        <v>436</v>
      </c>
      <c r="G231" s="10" t="s">
        <v>437</v>
      </c>
      <c r="H231" s="9" t="s">
        <v>136</v>
      </c>
      <c r="I231" s="9">
        <v>2</v>
      </c>
      <c r="J231" s="9">
        <v>1</v>
      </c>
      <c r="K231" s="9" t="s">
        <v>5</v>
      </c>
      <c r="L231" s="9" t="s">
        <v>137</v>
      </c>
      <c r="M231" s="9"/>
      <c r="N231" s="9"/>
      <c r="O231" s="10"/>
      <c r="P231" s="13"/>
      <c r="Q231" s="13"/>
      <c r="R231" s="16">
        <v>2</v>
      </c>
      <c r="S231" s="13"/>
      <c r="T231" s="13"/>
      <c r="U231" s="13"/>
      <c r="V231" s="13"/>
      <c r="W231" s="16">
        <v>2</v>
      </c>
      <c r="X231" s="13"/>
      <c r="Y231" s="13"/>
      <c r="Z231" s="13"/>
      <c r="AA231" s="16">
        <v>2</v>
      </c>
      <c r="AB231" s="13"/>
      <c r="AC231" s="13"/>
      <c r="AD231" s="13"/>
      <c r="AE231" s="16">
        <v>2</v>
      </c>
      <c r="AF231" s="13"/>
      <c r="AG231" s="13"/>
      <c r="AH231" s="13"/>
      <c r="AI231" s="16">
        <v>2</v>
      </c>
      <c r="AJ231" s="13"/>
      <c r="AK231" s="13"/>
      <c r="AL231" s="13"/>
      <c r="AM231" s="13"/>
      <c r="AN231" s="16">
        <v>2</v>
      </c>
      <c r="AO231" s="13"/>
      <c r="AP231" s="13"/>
      <c r="AQ231" s="13"/>
      <c r="AR231" s="16">
        <v>2</v>
      </c>
      <c r="AS231" s="13"/>
      <c r="AT231" s="13"/>
      <c r="AU231" s="13"/>
      <c r="AV231" s="13"/>
      <c r="AW231" s="16">
        <v>2</v>
      </c>
      <c r="AX231" s="13"/>
      <c r="AY231" s="13"/>
      <c r="AZ231" s="13"/>
      <c r="BA231" s="16">
        <v>2</v>
      </c>
      <c r="BB231" s="13"/>
      <c r="BC231" s="13"/>
      <c r="BD231" s="13"/>
      <c r="BE231" s="16">
        <v>2</v>
      </c>
      <c r="BF231" s="13"/>
      <c r="BG231" s="13"/>
      <c r="BH231" s="13"/>
      <c r="BI231" s="13"/>
      <c r="BJ231" s="16">
        <v>2</v>
      </c>
      <c r="BK231" s="13"/>
      <c r="BL231" s="13"/>
      <c r="BM231" s="13"/>
      <c r="BN231" s="16">
        <v>2</v>
      </c>
      <c r="BO231" s="13"/>
      <c r="BP231" t="s">
        <v>432</v>
      </c>
      <c r="BQ231" t="s">
        <v>438</v>
      </c>
    </row>
    <row r="232" ht="18" customHeight="1" spans="1:69" x14ac:dyDescent="0.25">
      <c r="A232" s="9"/>
      <c r="B232" s="9"/>
      <c r="C232" s="9"/>
      <c r="D232" s="9"/>
      <c r="E232" s="9"/>
      <c r="F232" s="10"/>
      <c r="G232" s="10"/>
      <c r="H232" s="9" t="s">
        <v>139</v>
      </c>
      <c r="I232" s="9"/>
      <c r="J232" s="9"/>
      <c r="K232" s="9"/>
      <c r="L232" s="9"/>
      <c r="M232" s="9"/>
      <c r="N232" s="9"/>
      <c r="O232" s="10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t="s">
        <v>432</v>
      </c>
      <c r="BQ232" t="s">
        <v>438</v>
      </c>
    </row>
    <row r="233" ht="28" customHeight="1" spans="1:69" x14ac:dyDescent="0.25">
      <c r="A233" s="9"/>
      <c r="B233" s="9"/>
      <c r="C233" s="9"/>
      <c r="D233" s="9"/>
      <c r="E233" s="9"/>
      <c r="F233" s="10" t="s">
        <v>439</v>
      </c>
      <c r="G233" s="10" t="s">
        <v>440</v>
      </c>
      <c r="H233" s="9" t="s">
        <v>136</v>
      </c>
      <c r="I233" s="9">
        <v>1</v>
      </c>
      <c r="J233" s="9">
        <v>1</v>
      </c>
      <c r="K233" s="9" t="s">
        <v>4</v>
      </c>
      <c r="L233" s="9" t="s">
        <v>137</v>
      </c>
      <c r="M233" s="9"/>
      <c r="N233" s="9"/>
      <c r="O233" s="10"/>
      <c r="P233" s="11">
        <v>1</v>
      </c>
      <c r="Q233" s="11">
        <v>1</v>
      </c>
      <c r="R233" s="11">
        <v>1</v>
      </c>
      <c r="S233" s="11">
        <v>1</v>
      </c>
      <c r="T233" s="11">
        <v>1</v>
      </c>
      <c r="U233" s="11">
        <v>1</v>
      </c>
      <c r="V233" s="11">
        <v>1</v>
      </c>
      <c r="W233" s="11">
        <v>1</v>
      </c>
      <c r="X233" s="11">
        <v>1</v>
      </c>
      <c r="Y233" s="11">
        <v>1</v>
      </c>
      <c r="Z233" s="11">
        <v>1</v>
      </c>
      <c r="AA233" s="11">
        <v>1</v>
      </c>
      <c r="AB233" s="11">
        <v>1</v>
      </c>
      <c r="AC233" s="11">
        <v>1</v>
      </c>
      <c r="AD233" s="11">
        <v>1</v>
      </c>
      <c r="AE233" s="11">
        <v>1</v>
      </c>
      <c r="AF233" s="11">
        <v>1</v>
      </c>
      <c r="AG233" s="11">
        <v>1</v>
      </c>
      <c r="AH233" s="11">
        <v>1</v>
      </c>
      <c r="AI233" s="11">
        <v>1</v>
      </c>
      <c r="AJ233" s="11">
        <v>1</v>
      </c>
      <c r="AK233" s="11">
        <v>1</v>
      </c>
      <c r="AL233" s="11">
        <v>1</v>
      </c>
      <c r="AM233" s="11">
        <v>1</v>
      </c>
      <c r="AN233" s="11">
        <v>1</v>
      </c>
      <c r="AO233" s="11">
        <v>1</v>
      </c>
      <c r="AP233" s="11">
        <v>1</v>
      </c>
      <c r="AQ233" s="11">
        <v>1</v>
      </c>
      <c r="AR233" s="11">
        <v>1</v>
      </c>
      <c r="AS233" s="11">
        <v>1</v>
      </c>
      <c r="AT233" s="11">
        <v>1</v>
      </c>
      <c r="AU233" s="11">
        <v>1</v>
      </c>
      <c r="AV233" s="11">
        <v>1</v>
      </c>
      <c r="AW233" s="11">
        <v>1</v>
      </c>
      <c r="AX233" s="11">
        <v>1</v>
      </c>
      <c r="AY233" s="11">
        <v>1</v>
      </c>
      <c r="AZ233" s="11">
        <v>1</v>
      </c>
      <c r="BA233" s="11">
        <v>1</v>
      </c>
      <c r="BB233" s="11">
        <v>1</v>
      </c>
      <c r="BC233" s="11">
        <v>1</v>
      </c>
      <c r="BD233" s="11">
        <v>1</v>
      </c>
      <c r="BE233" s="11">
        <v>1</v>
      </c>
      <c r="BF233" s="11">
        <v>1</v>
      </c>
      <c r="BG233" s="11">
        <v>1</v>
      </c>
      <c r="BH233" s="11">
        <v>1</v>
      </c>
      <c r="BI233" s="11">
        <v>1</v>
      </c>
      <c r="BJ233" s="11">
        <v>1</v>
      </c>
      <c r="BK233" s="11">
        <v>1</v>
      </c>
      <c r="BL233" s="11">
        <v>1</v>
      </c>
      <c r="BM233" s="11">
        <v>1</v>
      </c>
      <c r="BN233" s="11">
        <v>1</v>
      </c>
      <c r="BO233" s="11">
        <v>1</v>
      </c>
      <c r="BP233" t="s">
        <v>432</v>
      </c>
      <c r="BQ233" t="s">
        <v>441</v>
      </c>
    </row>
    <row r="234" ht="18" customHeight="1" spans="1:69" x14ac:dyDescent="0.25">
      <c r="A234" s="9"/>
      <c r="B234" s="9"/>
      <c r="C234" s="9"/>
      <c r="D234" s="9"/>
      <c r="E234" s="9"/>
      <c r="F234" s="10"/>
      <c r="G234" s="10"/>
      <c r="H234" s="9" t="s">
        <v>139</v>
      </c>
      <c r="I234" s="9"/>
      <c r="J234" s="9"/>
      <c r="K234" s="9"/>
      <c r="L234" s="9"/>
      <c r="M234" s="9"/>
      <c r="N234" s="9"/>
      <c r="O234" s="10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t="s">
        <v>432</v>
      </c>
      <c r="BQ234" t="s">
        <v>441</v>
      </c>
    </row>
    <row r="235" ht="28" customHeight="1" spans="1:69" x14ac:dyDescent="0.25">
      <c r="A235" s="9"/>
      <c r="B235" s="9" t="s">
        <v>442</v>
      </c>
      <c r="C235" s="9" t="s">
        <v>443</v>
      </c>
      <c r="D235" s="9" t="s">
        <v>444</v>
      </c>
      <c r="E235" s="9" t="s">
        <v>300</v>
      </c>
      <c r="F235" s="10" t="s">
        <v>134</v>
      </c>
      <c r="G235" s="10" t="s">
        <v>301</v>
      </c>
      <c r="H235" s="9" t="s">
        <v>136</v>
      </c>
      <c r="I235" s="9">
        <v>1</v>
      </c>
      <c r="J235" s="9">
        <v>1</v>
      </c>
      <c r="K235" s="9" t="s">
        <v>4</v>
      </c>
      <c r="L235" s="9" t="s">
        <v>137</v>
      </c>
      <c r="M235" s="9"/>
      <c r="N235" s="9"/>
      <c r="O235" s="10"/>
      <c r="P235" s="11">
        <v>1</v>
      </c>
      <c r="Q235" s="11">
        <v>1</v>
      </c>
      <c r="R235" s="11">
        <v>1</v>
      </c>
      <c r="S235" s="11">
        <v>1</v>
      </c>
      <c r="T235" s="11">
        <v>1</v>
      </c>
      <c r="U235" s="11">
        <v>1</v>
      </c>
      <c r="V235" s="11">
        <v>1</v>
      </c>
      <c r="W235" s="11">
        <v>1</v>
      </c>
      <c r="X235" s="11">
        <v>1</v>
      </c>
      <c r="Y235" s="11">
        <v>1</v>
      </c>
      <c r="Z235" s="11">
        <v>1</v>
      </c>
      <c r="AA235" s="11">
        <v>1</v>
      </c>
      <c r="AB235" s="11">
        <v>1</v>
      </c>
      <c r="AC235" s="11">
        <v>1</v>
      </c>
      <c r="AD235" s="11">
        <v>1</v>
      </c>
      <c r="AE235" s="11">
        <v>1</v>
      </c>
      <c r="AF235" s="11">
        <v>1</v>
      </c>
      <c r="AG235" s="11">
        <v>1</v>
      </c>
      <c r="AH235" s="11">
        <v>1</v>
      </c>
      <c r="AI235" s="11">
        <v>1</v>
      </c>
      <c r="AJ235" s="11">
        <v>1</v>
      </c>
      <c r="AK235" s="11">
        <v>1</v>
      </c>
      <c r="AL235" s="11">
        <v>1</v>
      </c>
      <c r="AM235" s="11">
        <v>1</v>
      </c>
      <c r="AN235" s="11">
        <v>1</v>
      </c>
      <c r="AO235" s="11">
        <v>1</v>
      </c>
      <c r="AP235" s="11">
        <v>1</v>
      </c>
      <c r="AQ235" s="11">
        <v>1</v>
      </c>
      <c r="AR235" s="11">
        <v>1</v>
      </c>
      <c r="AS235" s="11">
        <v>1</v>
      </c>
      <c r="AT235" s="11">
        <v>1</v>
      </c>
      <c r="AU235" s="11">
        <v>1</v>
      </c>
      <c r="AV235" s="11">
        <v>1</v>
      </c>
      <c r="AW235" s="11">
        <v>1</v>
      </c>
      <c r="AX235" s="11">
        <v>1</v>
      </c>
      <c r="AY235" s="11">
        <v>1</v>
      </c>
      <c r="AZ235" s="11">
        <v>1</v>
      </c>
      <c r="BA235" s="11">
        <v>1</v>
      </c>
      <c r="BB235" s="11">
        <v>1</v>
      </c>
      <c r="BC235" s="11">
        <v>1</v>
      </c>
      <c r="BD235" s="11">
        <v>1</v>
      </c>
      <c r="BE235" s="11">
        <v>1</v>
      </c>
      <c r="BF235" s="11">
        <v>1</v>
      </c>
      <c r="BG235" s="11">
        <v>1</v>
      </c>
      <c r="BH235" s="11">
        <v>1</v>
      </c>
      <c r="BI235" s="11">
        <v>1</v>
      </c>
      <c r="BJ235" s="11">
        <v>1</v>
      </c>
      <c r="BK235" s="11">
        <v>1</v>
      </c>
      <c r="BL235" s="11">
        <v>1</v>
      </c>
      <c r="BM235" s="11">
        <v>1</v>
      </c>
      <c r="BN235" s="11">
        <v>1</v>
      </c>
      <c r="BO235" s="11">
        <v>1</v>
      </c>
      <c r="BP235" t="s">
        <v>442</v>
      </c>
      <c r="BQ235" t="s">
        <v>445</v>
      </c>
    </row>
    <row r="236" ht="18" customHeight="1" spans="1:69" x14ac:dyDescent="0.25">
      <c r="A236" s="9"/>
      <c r="B236" s="9"/>
      <c r="C236" s="9"/>
      <c r="D236" s="9"/>
      <c r="E236" s="9"/>
      <c r="F236" s="10"/>
      <c r="G236" s="10"/>
      <c r="H236" s="9" t="s">
        <v>139</v>
      </c>
      <c r="I236" s="9"/>
      <c r="J236" s="9"/>
      <c r="K236" s="9"/>
      <c r="L236" s="9"/>
      <c r="M236" s="9"/>
      <c r="N236" s="9"/>
      <c r="O236" s="10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t="s">
        <v>442</v>
      </c>
      <c r="BQ236" t="s">
        <v>445</v>
      </c>
    </row>
    <row r="237" ht="28" customHeight="1" spans="1:69" x14ac:dyDescent="0.25">
      <c r="A237" s="9"/>
      <c r="B237" s="9"/>
      <c r="C237" s="9"/>
      <c r="D237" s="9"/>
      <c r="E237" s="9"/>
      <c r="F237" s="10" t="s">
        <v>171</v>
      </c>
      <c r="G237" s="10" t="s">
        <v>303</v>
      </c>
      <c r="H237" s="9" t="s">
        <v>136</v>
      </c>
      <c r="I237" s="9">
        <v>3</v>
      </c>
      <c r="J237" s="9">
        <v>2000</v>
      </c>
      <c r="K237" s="9" t="s">
        <v>192</v>
      </c>
      <c r="L237" s="9" t="s">
        <v>9</v>
      </c>
      <c r="M237" s="9"/>
      <c r="N237" s="9" t="s">
        <v>193</v>
      </c>
      <c r="O237" s="10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5">
        <v>3</v>
      </c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5">
        <v>3</v>
      </c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5">
        <v>3</v>
      </c>
      <c r="BP237" t="s">
        <v>442</v>
      </c>
      <c r="BQ237" t="s">
        <v>446</v>
      </c>
    </row>
    <row r="238" ht="18" customHeight="1" spans="1:69" x14ac:dyDescent="0.25">
      <c r="A238" s="9"/>
      <c r="B238" s="9"/>
      <c r="C238" s="9"/>
      <c r="D238" s="9"/>
      <c r="E238" s="9"/>
      <c r="F238" s="10"/>
      <c r="G238" s="10"/>
      <c r="H238" s="9" t="s">
        <v>139</v>
      </c>
      <c r="I238" s="9"/>
      <c r="J238" s="9"/>
      <c r="K238" s="9"/>
      <c r="L238" s="9"/>
      <c r="M238" s="9"/>
      <c r="N238" s="9"/>
      <c r="O238" s="10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t="s">
        <v>442</v>
      </c>
      <c r="BQ238" t="s">
        <v>446</v>
      </c>
    </row>
    <row r="239" ht="28" customHeight="1" spans="1:69" x14ac:dyDescent="0.25">
      <c r="A239" s="9"/>
      <c r="B239" s="9"/>
      <c r="C239" s="9"/>
      <c r="D239" s="9"/>
      <c r="E239" s="9"/>
      <c r="F239" s="10" t="s">
        <v>171</v>
      </c>
      <c r="G239" s="10" t="s">
        <v>305</v>
      </c>
      <c r="H239" s="9" t="s">
        <v>136</v>
      </c>
      <c r="I239" s="9">
        <v>5</v>
      </c>
      <c r="J239" s="9">
        <v>10000</v>
      </c>
      <c r="K239" s="9" t="s">
        <v>145</v>
      </c>
      <c r="L239" s="9" t="s">
        <v>9</v>
      </c>
      <c r="M239" s="9"/>
      <c r="N239" s="9"/>
      <c r="O239" s="10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t="s">
        <v>442</v>
      </c>
      <c r="BQ239" t="s">
        <v>447</v>
      </c>
    </row>
    <row r="240" ht="18" customHeight="1" spans="1:69" x14ac:dyDescent="0.25">
      <c r="A240" s="9"/>
      <c r="B240" s="9"/>
      <c r="C240" s="9"/>
      <c r="D240" s="9"/>
      <c r="E240" s="9"/>
      <c r="F240" s="10"/>
      <c r="G240" s="10"/>
      <c r="H240" s="9" t="s">
        <v>139</v>
      </c>
      <c r="I240" s="9"/>
      <c r="J240" s="9"/>
      <c r="K240" s="9"/>
      <c r="L240" s="9"/>
      <c r="M240" s="9"/>
      <c r="N240" s="9"/>
      <c r="O240" s="10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t="s">
        <v>442</v>
      </c>
      <c r="BQ240" t="s">
        <v>447</v>
      </c>
    </row>
    <row r="241" ht="28" customHeight="1" spans="1:69" x14ac:dyDescent="0.25">
      <c r="A241" s="9"/>
      <c r="B241" s="9"/>
      <c r="C241" s="9"/>
      <c r="D241" s="9"/>
      <c r="E241" s="9"/>
      <c r="F241" s="10" t="s">
        <v>307</v>
      </c>
      <c r="G241" s="10" t="s">
        <v>308</v>
      </c>
      <c r="H241" s="9" t="s">
        <v>136</v>
      </c>
      <c r="I241" s="9">
        <v>3</v>
      </c>
      <c r="J241" s="9">
        <v>1000</v>
      </c>
      <c r="K241" s="9" t="s">
        <v>153</v>
      </c>
      <c r="L241" s="9" t="s">
        <v>9</v>
      </c>
      <c r="M241" s="9"/>
      <c r="N241" s="9" t="s">
        <v>154</v>
      </c>
      <c r="O241" s="10"/>
      <c r="P241" s="13"/>
      <c r="Q241" s="13"/>
      <c r="R241" s="13"/>
      <c r="S241" s="13"/>
      <c r="T241" s="13"/>
      <c r="U241" s="13"/>
      <c r="V241" s="13"/>
      <c r="W241" s="13"/>
      <c r="X241" s="13"/>
      <c r="Y241" s="15">
        <v>3</v>
      </c>
      <c r="Z241" s="13"/>
      <c r="AA241" s="13"/>
      <c r="AB241" s="13"/>
      <c r="AC241" s="13"/>
      <c r="AD241" s="13"/>
      <c r="AE241" s="13"/>
      <c r="AF241" s="13"/>
      <c r="AG241" s="13"/>
      <c r="AH241" s="15">
        <v>3</v>
      </c>
      <c r="AI241" s="13"/>
      <c r="AJ241" s="13"/>
      <c r="AK241" s="13"/>
      <c r="AL241" s="13"/>
      <c r="AM241" s="13"/>
      <c r="AN241" s="13"/>
      <c r="AO241" s="13"/>
      <c r="AP241" s="13"/>
      <c r="AQ241" s="15">
        <v>3</v>
      </c>
      <c r="AR241" s="13"/>
      <c r="AS241" s="13"/>
      <c r="AT241" s="13"/>
      <c r="AU241" s="13"/>
      <c r="AV241" s="13"/>
      <c r="AW241" s="13"/>
      <c r="AX241" s="13"/>
      <c r="AY241" s="13"/>
      <c r="AZ241" s="15">
        <v>3</v>
      </c>
      <c r="BA241" s="13"/>
      <c r="BB241" s="13"/>
      <c r="BC241" s="13"/>
      <c r="BD241" s="13"/>
      <c r="BE241" s="13"/>
      <c r="BF241" s="13"/>
      <c r="BG241" s="13"/>
      <c r="BH241" s="13"/>
      <c r="BI241" s="15">
        <v>3</v>
      </c>
      <c r="BJ241" s="13"/>
      <c r="BK241" s="13"/>
      <c r="BL241" s="13"/>
      <c r="BM241" s="13"/>
      <c r="BN241" s="13"/>
      <c r="BO241" s="13"/>
      <c r="BP241" t="s">
        <v>442</v>
      </c>
      <c r="BQ241" t="s">
        <v>448</v>
      </c>
    </row>
    <row r="242" ht="18" customHeight="1" spans="1:69" x14ac:dyDescent="0.25">
      <c r="A242" s="9"/>
      <c r="B242" s="9"/>
      <c r="C242" s="9"/>
      <c r="D242" s="9"/>
      <c r="E242" s="9"/>
      <c r="F242" s="10"/>
      <c r="G242" s="10"/>
      <c r="H242" s="9" t="s">
        <v>139</v>
      </c>
      <c r="I242" s="9"/>
      <c r="J242" s="9"/>
      <c r="K242" s="9"/>
      <c r="L242" s="9"/>
      <c r="M242" s="9"/>
      <c r="N242" s="9"/>
      <c r="O242" s="10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t="s">
        <v>442</v>
      </c>
      <c r="BQ242" t="s">
        <v>448</v>
      </c>
    </row>
    <row r="243" ht="28" customHeight="1" spans="1:69" x14ac:dyDescent="0.25">
      <c r="A243" s="9"/>
      <c r="B243" s="9" t="s">
        <v>449</v>
      </c>
      <c r="C243" s="9" t="s">
        <v>450</v>
      </c>
      <c r="D243" s="9" t="s">
        <v>451</v>
      </c>
      <c r="E243" s="9" t="s">
        <v>300</v>
      </c>
      <c r="F243" s="10" t="s">
        <v>134</v>
      </c>
      <c r="G243" s="10" t="s">
        <v>301</v>
      </c>
      <c r="H243" s="9" t="s">
        <v>136</v>
      </c>
      <c r="I243" s="9">
        <v>1</v>
      </c>
      <c r="J243" s="9">
        <v>1</v>
      </c>
      <c r="K243" s="9" t="s">
        <v>4</v>
      </c>
      <c r="L243" s="9" t="s">
        <v>137</v>
      </c>
      <c r="M243" s="9"/>
      <c r="N243" s="9"/>
      <c r="O243" s="10"/>
      <c r="P243" s="11">
        <v>1</v>
      </c>
      <c r="Q243" s="11">
        <v>1</v>
      </c>
      <c r="R243" s="11">
        <v>1</v>
      </c>
      <c r="S243" s="11">
        <v>1</v>
      </c>
      <c r="T243" s="11">
        <v>1</v>
      </c>
      <c r="U243" s="11">
        <v>1</v>
      </c>
      <c r="V243" s="11">
        <v>1</v>
      </c>
      <c r="W243" s="11">
        <v>1</v>
      </c>
      <c r="X243" s="11">
        <v>1</v>
      </c>
      <c r="Y243" s="11">
        <v>1</v>
      </c>
      <c r="Z243" s="11">
        <v>1</v>
      </c>
      <c r="AA243" s="11">
        <v>1</v>
      </c>
      <c r="AB243" s="11">
        <v>1</v>
      </c>
      <c r="AC243" s="11">
        <v>1</v>
      </c>
      <c r="AD243" s="11">
        <v>1</v>
      </c>
      <c r="AE243" s="11">
        <v>1</v>
      </c>
      <c r="AF243" s="11">
        <v>1</v>
      </c>
      <c r="AG243" s="11">
        <v>1</v>
      </c>
      <c r="AH243" s="11">
        <v>1</v>
      </c>
      <c r="AI243" s="11">
        <v>1</v>
      </c>
      <c r="AJ243" s="11">
        <v>1</v>
      </c>
      <c r="AK243" s="11">
        <v>1</v>
      </c>
      <c r="AL243" s="11">
        <v>1</v>
      </c>
      <c r="AM243" s="11">
        <v>1</v>
      </c>
      <c r="AN243" s="11">
        <v>1</v>
      </c>
      <c r="AO243" s="11">
        <v>1</v>
      </c>
      <c r="AP243" s="11">
        <v>1</v>
      </c>
      <c r="AQ243" s="11">
        <v>1</v>
      </c>
      <c r="AR243" s="11">
        <v>1</v>
      </c>
      <c r="AS243" s="11">
        <v>1</v>
      </c>
      <c r="AT243" s="11">
        <v>1</v>
      </c>
      <c r="AU243" s="11">
        <v>1</v>
      </c>
      <c r="AV243" s="11">
        <v>1</v>
      </c>
      <c r="AW243" s="11">
        <v>1</v>
      </c>
      <c r="AX243" s="11">
        <v>1</v>
      </c>
      <c r="AY243" s="11">
        <v>1</v>
      </c>
      <c r="AZ243" s="11">
        <v>1</v>
      </c>
      <c r="BA243" s="11">
        <v>1</v>
      </c>
      <c r="BB243" s="11">
        <v>1</v>
      </c>
      <c r="BC243" s="11">
        <v>1</v>
      </c>
      <c r="BD243" s="11">
        <v>1</v>
      </c>
      <c r="BE243" s="11">
        <v>1</v>
      </c>
      <c r="BF243" s="11">
        <v>1</v>
      </c>
      <c r="BG243" s="11">
        <v>1</v>
      </c>
      <c r="BH243" s="11">
        <v>1</v>
      </c>
      <c r="BI243" s="11">
        <v>1</v>
      </c>
      <c r="BJ243" s="11">
        <v>1</v>
      </c>
      <c r="BK243" s="11">
        <v>1</v>
      </c>
      <c r="BL243" s="11">
        <v>1</v>
      </c>
      <c r="BM243" s="11">
        <v>1</v>
      </c>
      <c r="BN243" s="11">
        <v>1</v>
      </c>
      <c r="BO243" s="11">
        <v>1</v>
      </c>
      <c r="BP243" t="s">
        <v>449</v>
      </c>
      <c r="BQ243" t="s">
        <v>452</v>
      </c>
    </row>
    <row r="244" ht="18" customHeight="1" spans="1:69" x14ac:dyDescent="0.25">
      <c r="A244" s="9"/>
      <c r="B244" s="9"/>
      <c r="C244" s="9"/>
      <c r="D244" s="9"/>
      <c r="E244" s="9"/>
      <c r="F244" s="10"/>
      <c r="G244" s="10"/>
      <c r="H244" s="9" t="s">
        <v>139</v>
      </c>
      <c r="I244" s="9"/>
      <c r="J244" s="9"/>
      <c r="K244" s="9"/>
      <c r="L244" s="9"/>
      <c r="M244" s="9"/>
      <c r="N244" s="9"/>
      <c r="O244" s="10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t="s">
        <v>449</v>
      </c>
      <c r="BQ244" t="s">
        <v>452</v>
      </c>
    </row>
    <row r="245" ht="28" customHeight="1" spans="1:69" x14ac:dyDescent="0.25">
      <c r="A245" s="9"/>
      <c r="B245" s="9"/>
      <c r="C245" s="9"/>
      <c r="D245" s="9"/>
      <c r="E245" s="9"/>
      <c r="F245" s="10" t="s">
        <v>171</v>
      </c>
      <c r="G245" s="10" t="s">
        <v>303</v>
      </c>
      <c r="H245" s="9" t="s">
        <v>136</v>
      </c>
      <c r="I245" s="9">
        <v>3</v>
      </c>
      <c r="J245" s="9">
        <v>2000</v>
      </c>
      <c r="K245" s="9" t="s">
        <v>192</v>
      </c>
      <c r="L245" s="9" t="s">
        <v>9</v>
      </c>
      <c r="M245" s="9"/>
      <c r="N245" s="9" t="s">
        <v>193</v>
      </c>
      <c r="O245" s="10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5">
        <v>3</v>
      </c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5">
        <v>3</v>
      </c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5">
        <v>3</v>
      </c>
      <c r="BP245" t="s">
        <v>449</v>
      </c>
      <c r="BQ245" t="s">
        <v>453</v>
      </c>
    </row>
    <row r="246" ht="18" customHeight="1" spans="1:69" x14ac:dyDescent="0.25">
      <c r="A246" s="9"/>
      <c r="B246" s="9"/>
      <c r="C246" s="9"/>
      <c r="D246" s="9"/>
      <c r="E246" s="9"/>
      <c r="F246" s="10"/>
      <c r="G246" s="10"/>
      <c r="H246" s="9" t="s">
        <v>139</v>
      </c>
      <c r="I246" s="9"/>
      <c r="J246" s="9"/>
      <c r="K246" s="9"/>
      <c r="L246" s="9"/>
      <c r="M246" s="9"/>
      <c r="N246" s="9"/>
      <c r="O246" s="10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t="s">
        <v>449</v>
      </c>
      <c r="BQ246" t="s">
        <v>453</v>
      </c>
    </row>
    <row r="247" ht="28" customHeight="1" spans="1:69" x14ac:dyDescent="0.25">
      <c r="A247" s="9"/>
      <c r="B247" s="9"/>
      <c r="C247" s="9"/>
      <c r="D247" s="9"/>
      <c r="E247" s="9"/>
      <c r="F247" s="10" t="s">
        <v>171</v>
      </c>
      <c r="G247" s="10" t="s">
        <v>305</v>
      </c>
      <c r="H247" s="9" t="s">
        <v>136</v>
      </c>
      <c r="I247" s="9">
        <v>5</v>
      </c>
      <c r="J247" s="9">
        <v>10000</v>
      </c>
      <c r="K247" s="9" t="s">
        <v>145</v>
      </c>
      <c r="L247" s="9" t="s">
        <v>9</v>
      </c>
      <c r="M247" s="9"/>
      <c r="N247" s="9"/>
      <c r="O247" s="10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t="s">
        <v>449</v>
      </c>
      <c r="BQ247" t="s">
        <v>454</v>
      </c>
    </row>
    <row r="248" ht="18" customHeight="1" spans="1:69" x14ac:dyDescent="0.25">
      <c r="A248" s="9"/>
      <c r="B248" s="9"/>
      <c r="C248" s="9"/>
      <c r="D248" s="9"/>
      <c r="E248" s="9"/>
      <c r="F248" s="10"/>
      <c r="G248" s="10"/>
      <c r="H248" s="9" t="s">
        <v>139</v>
      </c>
      <c r="I248" s="9"/>
      <c r="J248" s="9"/>
      <c r="K248" s="9"/>
      <c r="L248" s="9"/>
      <c r="M248" s="9"/>
      <c r="N248" s="9"/>
      <c r="O248" s="10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t="s">
        <v>449</v>
      </c>
      <c r="BQ248" t="s">
        <v>454</v>
      </c>
    </row>
    <row r="249" ht="28" customHeight="1" spans="1:69" x14ac:dyDescent="0.25">
      <c r="A249" s="9"/>
      <c r="B249" s="9"/>
      <c r="C249" s="9"/>
      <c r="D249" s="9"/>
      <c r="E249" s="9"/>
      <c r="F249" s="10" t="s">
        <v>307</v>
      </c>
      <c r="G249" s="10" t="s">
        <v>308</v>
      </c>
      <c r="H249" s="9" t="s">
        <v>136</v>
      </c>
      <c r="I249" s="9">
        <v>3</v>
      </c>
      <c r="J249" s="9">
        <v>1000</v>
      </c>
      <c r="K249" s="9" t="s">
        <v>153</v>
      </c>
      <c r="L249" s="9" t="s">
        <v>9</v>
      </c>
      <c r="M249" s="9"/>
      <c r="N249" s="9" t="s">
        <v>154</v>
      </c>
      <c r="O249" s="10"/>
      <c r="P249" s="13"/>
      <c r="Q249" s="13"/>
      <c r="R249" s="13"/>
      <c r="S249" s="13"/>
      <c r="T249" s="13"/>
      <c r="U249" s="13"/>
      <c r="V249" s="13"/>
      <c r="W249" s="13"/>
      <c r="X249" s="13"/>
      <c r="Y249" s="15">
        <v>3</v>
      </c>
      <c r="Z249" s="13"/>
      <c r="AA249" s="13"/>
      <c r="AB249" s="13"/>
      <c r="AC249" s="13"/>
      <c r="AD249" s="13"/>
      <c r="AE249" s="13"/>
      <c r="AF249" s="13"/>
      <c r="AG249" s="13"/>
      <c r="AH249" s="15">
        <v>3</v>
      </c>
      <c r="AI249" s="13"/>
      <c r="AJ249" s="13"/>
      <c r="AK249" s="13"/>
      <c r="AL249" s="13"/>
      <c r="AM249" s="13"/>
      <c r="AN249" s="13"/>
      <c r="AO249" s="13"/>
      <c r="AP249" s="13"/>
      <c r="AQ249" s="15">
        <v>3</v>
      </c>
      <c r="AR249" s="13"/>
      <c r="AS249" s="13"/>
      <c r="AT249" s="13"/>
      <c r="AU249" s="13"/>
      <c r="AV249" s="13"/>
      <c r="AW249" s="13"/>
      <c r="AX249" s="13"/>
      <c r="AY249" s="13"/>
      <c r="AZ249" s="15">
        <v>3</v>
      </c>
      <c r="BA249" s="13"/>
      <c r="BB249" s="13"/>
      <c r="BC249" s="13"/>
      <c r="BD249" s="13"/>
      <c r="BE249" s="13"/>
      <c r="BF249" s="13"/>
      <c r="BG249" s="13"/>
      <c r="BH249" s="13"/>
      <c r="BI249" s="15">
        <v>3</v>
      </c>
      <c r="BJ249" s="13"/>
      <c r="BK249" s="13"/>
      <c r="BL249" s="13"/>
      <c r="BM249" s="13"/>
      <c r="BN249" s="13"/>
      <c r="BO249" s="13"/>
      <c r="BP249" t="s">
        <v>449</v>
      </c>
      <c r="BQ249" t="s">
        <v>455</v>
      </c>
    </row>
    <row r="250" ht="18" customHeight="1" spans="1:69" x14ac:dyDescent="0.25">
      <c r="A250" s="9"/>
      <c r="B250" s="9"/>
      <c r="C250" s="9"/>
      <c r="D250" s="9"/>
      <c r="E250" s="9"/>
      <c r="F250" s="10"/>
      <c r="G250" s="10"/>
      <c r="H250" s="9" t="s">
        <v>139</v>
      </c>
      <c r="I250" s="9"/>
      <c r="J250" s="9"/>
      <c r="K250" s="9"/>
      <c r="L250" s="9"/>
      <c r="M250" s="9"/>
      <c r="N250" s="9"/>
      <c r="O250" s="10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t="s">
        <v>449</v>
      </c>
      <c r="BQ250" t="s">
        <v>455</v>
      </c>
    </row>
    <row r="251" ht="28" customHeight="1" spans="1:69" x14ac:dyDescent="0.25">
      <c r="A251" s="9"/>
      <c r="B251" s="9" t="s">
        <v>456</v>
      </c>
      <c r="C251" s="9" t="s">
        <v>457</v>
      </c>
      <c r="D251" s="9" t="s">
        <v>458</v>
      </c>
      <c r="E251" s="9" t="s">
        <v>300</v>
      </c>
      <c r="F251" s="10" t="s">
        <v>134</v>
      </c>
      <c r="G251" s="10" t="s">
        <v>301</v>
      </c>
      <c r="H251" s="9" t="s">
        <v>136</v>
      </c>
      <c r="I251" s="9">
        <v>1</v>
      </c>
      <c r="J251" s="9">
        <v>1</v>
      </c>
      <c r="K251" s="9" t="s">
        <v>4</v>
      </c>
      <c r="L251" s="9" t="s">
        <v>137</v>
      </c>
      <c r="M251" s="9"/>
      <c r="N251" s="9"/>
      <c r="O251" s="10"/>
      <c r="P251" s="11">
        <v>1</v>
      </c>
      <c r="Q251" s="11">
        <v>1</v>
      </c>
      <c r="R251" s="11">
        <v>1</v>
      </c>
      <c r="S251" s="11">
        <v>1</v>
      </c>
      <c r="T251" s="11">
        <v>1</v>
      </c>
      <c r="U251" s="11">
        <v>1</v>
      </c>
      <c r="V251" s="11">
        <v>1</v>
      </c>
      <c r="W251" s="11">
        <v>1</v>
      </c>
      <c r="X251" s="11">
        <v>1</v>
      </c>
      <c r="Y251" s="11">
        <v>1</v>
      </c>
      <c r="Z251" s="11">
        <v>1</v>
      </c>
      <c r="AA251" s="11">
        <v>1</v>
      </c>
      <c r="AB251" s="11">
        <v>1</v>
      </c>
      <c r="AC251" s="11">
        <v>1</v>
      </c>
      <c r="AD251" s="11">
        <v>1</v>
      </c>
      <c r="AE251" s="11">
        <v>1</v>
      </c>
      <c r="AF251" s="11">
        <v>1</v>
      </c>
      <c r="AG251" s="11">
        <v>1</v>
      </c>
      <c r="AH251" s="11">
        <v>1</v>
      </c>
      <c r="AI251" s="11">
        <v>1</v>
      </c>
      <c r="AJ251" s="11">
        <v>1</v>
      </c>
      <c r="AK251" s="11">
        <v>1</v>
      </c>
      <c r="AL251" s="11">
        <v>1</v>
      </c>
      <c r="AM251" s="11">
        <v>1</v>
      </c>
      <c r="AN251" s="11">
        <v>1</v>
      </c>
      <c r="AO251" s="11">
        <v>1</v>
      </c>
      <c r="AP251" s="11">
        <v>1</v>
      </c>
      <c r="AQ251" s="11">
        <v>1</v>
      </c>
      <c r="AR251" s="11">
        <v>1</v>
      </c>
      <c r="AS251" s="11">
        <v>1</v>
      </c>
      <c r="AT251" s="11">
        <v>1</v>
      </c>
      <c r="AU251" s="11">
        <v>1</v>
      </c>
      <c r="AV251" s="11">
        <v>1</v>
      </c>
      <c r="AW251" s="11">
        <v>1</v>
      </c>
      <c r="AX251" s="11">
        <v>1</v>
      </c>
      <c r="AY251" s="11">
        <v>1</v>
      </c>
      <c r="AZ251" s="11">
        <v>1</v>
      </c>
      <c r="BA251" s="11">
        <v>1</v>
      </c>
      <c r="BB251" s="11">
        <v>1</v>
      </c>
      <c r="BC251" s="11">
        <v>1</v>
      </c>
      <c r="BD251" s="11">
        <v>1</v>
      </c>
      <c r="BE251" s="11">
        <v>1</v>
      </c>
      <c r="BF251" s="11">
        <v>1</v>
      </c>
      <c r="BG251" s="11">
        <v>1</v>
      </c>
      <c r="BH251" s="11">
        <v>1</v>
      </c>
      <c r="BI251" s="11">
        <v>1</v>
      </c>
      <c r="BJ251" s="11">
        <v>1</v>
      </c>
      <c r="BK251" s="11">
        <v>1</v>
      </c>
      <c r="BL251" s="11">
        <v>1</v>
      </c>
      <c r="BM251" s="11">
        <v>1</v>
      </c>
      <c r="BN251" s="11">
        <v>1</v>
      </c>
      <c r="BO251" s="11">
        <v>1</v>
      </c>
      <c r="BP251" t="s">
        <v>456</v>
      </c>
      <c r="BQ251" t="s">
        <v>459</v>
      </c>
    </row>
    <row r="252" ht="18" customHeight="1" spans="1:69" x14ac:dyDescent="0.25">
      <c r="A252" s="9"/>
      <c r="B252" s="9"/>
      <c r="C252" s="9"/>
      <c r="D252" s="9"/>
      <c r="E252" s="9"/>
      <c r="F252" s="10"/>
      <c r="G252" s="10"/>
      <c r="H252" s="9" t="s">
        <v>139</v>
      </c>
      <c r="I252" s="9"/>
      <c r="J252" s="9"/>
      <c r="K252" s="9"/>
      <c r="L252" s="9"/>
      <c r="M252" s="9"/>
      <c r="N252" s="9"/>
      <c r="O252" s="10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t="s">
        <v>456</v>
      </c>
      <c r="BQ252" t="s">
        <v>459</v>
      </c>
    </row>
    <row r="253" ht="28" customHeight="1" spans="1:69" x14ac:dyDescent="0.25">
      <c r="A253" s="9"/>
      <c r="B253" s="9"/>
      <c r="C253" s="9"/>
      <c r="D253" s="9"/>
      <c r="E253" s="9"/>
      <c r="F253" s="10" t="s">
        <v>171</v>
      </c>
      <c r="G253" s="10" t="s">
        <v>303</v>
      </c>
      <c r="H253" s="9" t="s">
        <v>136</v>
      </c>
      <c r="I253" s="9">
        <v>3</v>
      </c>
      <c r="J253" s="9">
        <v>2000</v>
      </c>
      <c r="K253" s="9" t="s">
        <v>192</v>
      </c>
      <c r="L253" s="9" t="s">
        <v>9</v>
      </c>
      <c r="M253" s="9"/>
      <c r="N253" s="9" t="s">
        <v>193</v>
      </c>
      <c r="O253" s="10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5">
        <v>3</v>
      </c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5">
        <v>3</v>
      </c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5">
        <v>3</v>
      </c>
      <c r="BP253" t="s">
        <v>456</v>
      </c>
      <c r="BQ253" t="s">
        <v>460</v>
      </c>
    </row>
    <row r="254" ht="18" customHeight="1" spans="1:69" x14ac:dyDescent="0.25">
      <c r="A254" s="9"/>
      <c r="B254" s="9"/>
      <c r="C254" s="9"/>
      <c r="D254" s="9"/>
      <c r="E254" s="9"/>
      <c r="F254" s="10"/>
      <c r="G254" s="10"/>
      <c r="H254" s="9" t="s">
        <v>139</v>
      </c>
      <c r="I254" s="9"/>
      <c r="J254" s="9"/>
      <c r="K254" s="9"/>
      <c r="L254" s="9"/>
      <c r="M254" s="9"/>
      <c r="N254" s="9"/>
      <c r="O254" s="10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t="s">
        <v>456</v>
      </c>
      <c r="BQ254" t="s">
        <v>460</v>
      </c>
    </row>
    <row r="255" ht="28" customHeight="1" spans="1:69" x14ac:dyDescent="0.25">
      <c r="A255" s="9"/>
      <c r="B255" s="9"/>
      <c r="C255" s="9"/>
      <c r="D255" s="9"/>
      <c r="E255" s="9"/>
      <c r="F255" s="10" t="s">
        <v>171</v>
      </c>
      <c r="G255" s="10" t="s">
        <v>305</v>
      </c>
      <c r="H255" s="9" t="s">
        <v>136</v>
      </c>
      <c r="I255" s="9">
        <v>5</v>
      </c>
      <c r="J255" s="9">
        <v>10000</v>
      </c>
      <c r="K255" s="9" t="s">
        <v>145</v>
      </c>
      <c r="L255" s="9" t="s">
        <v>9</v>
      </c>
      <c r="M255" s="9"/>
      <c r="N255" s="9"/>
      <c r="O255" s="10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t="s">
        <v>456</v>
      </c>
      <c r="BQ255" t="s">
        <v>461</v>
      </c>
    </row>
    <row r="256" ht="18" customHeight="1" spans="1:69" x14ac:dyDescent="0.25">
      <c r="A256" s="9"/>
      <c r="B256" s="9"/>
      <c r="C256" s="9"/>
      <c r="D256" s="9"/>
      <c r="E256" s="9"/>
      <c r="F256" s="10"/>
      <c r="G256" s="10"/>
      <c r="H256" s="9" t="s">
        <v>139</v>
      </c>
      <c r="I256" s="9"/>
      <c r="J256" s="9"/>
      <c r="K256" s="9"/>
      <c r="L256" s="9"/>
      <c r="M256" s="9"/>
      <c r="N256" s="9"/>
      <c r="O256" s="10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t="s">
        <v>456</v>
      </c>
      <c r="BQ256" t="s">
        <v>461</v>
      </c>
    </row>
    <row r="257" ht="28" customHeight="1" spans="1:69" x14ac:dyDescent="0.25">
      <c r="A257" s="9"/>
      <c r="B257" s="9"/>
      <c r="C257" s="9"/>
      <c r="D257" s="9"/>
      <c r="E257" s="9"/>
      <c r="F257" s="10" t="s">
        <v>307</v>
      </c>
      <c r="G257" s="10" t="s">
        <v>308</v>
      </c>
      <c r="H257" s="9" t="s">
        <v>136</v>
      </c>
      <c r="I257" s="9">
        <v>3</v>
      </c>
      <c r="J257" s="9">
        <v>1000</v>
      </c>
      <c r="K257" s="9" t="s">
        <v>153</v>
      </c>
      <c r="L257" s="9" t="s">
        <v>9</v>
      </c>
      <c r="M257" s="9"/>
      <c r="N257" s="9" t="s">
        <v>154</v>
      </c>
      <c r="O257" s="10"/>
      <c r="P257" s="13"/>
      <c r="Q257" s="13"/>
      <c r="R257" s="13"/>
      <c r="S257" s="13"/>
      <c r="T257" s="13"/>
      <c r="U257" s="13"/>
      <c r="V257" s="13"/>
      <c r="W257" s="13"/>
      <c r="X257" s="13"/>
      <c r="Y257" s="15">
        <v>3</v>
      </c>
      <c r="Z257" s="13"/>
      <c r="AA257" s="13"/>
      <c r="AB257" s="13"/>
      <c r="AC257" s="13"/>
      <c r="AD257" s="13"/>
      <c r="AE257" s="13"/>
      <c r="AF257" s="13"/>
      <c r="AG257" s="13"/>
      <c r="AH257" s="15">
        <v>3</v>
      </c>
      <c r="AI257" s="13"/>
      <c r="AJ257" s="13"/>
      <c r="AK257" s="13"/>
      <c r="AL257" s="13"/>
      <c r="AM257" s="13"/>
      <c r="AN257" s="13"/>
      <c r="AO257" s="13"/>
      <c r="AP257" s="13"/>
      <c r="AQ257" s="15">
        <v>3</v>
      </c>
      <c r="AR257" s="13"/>
      <c r="AS257" s="13"/>
      <c r="AT257" s="13"/>
      <c r="AU257" s="13"/>
      <c r="AV257" s="13"/>
      <c r="AW257" s="13"/>
      <c r="AX257" s="13"/>
      <c r="AY257" s="13"/>
      <c r="AZ257" s="15">
        <v>3</v>
      </c>
      <c r="BA257" s="13"/>
      <c r="BB257" s="13"/>
      <c r="BC257" s="13"/>
      <c r="BD257" s="13"/>
      <c r="BE257" s="13"/>
      <c r="BF257" s="13"/>
      <c r="BG257" s="13"/>
      <c r="BH257" s="13"/>
      <c r="BI257" s="15">
        <v>3</v>
      </c>
      <c r="BJ257" s="13"/>
      <c r="BK257" s="13"/>
      <c r="BL257" s="13"/>
      <c r="BM257" s="13"/>
      <c r="BN257" s="13"/>
      <c r="BO257" s="13"/>
      <c r="BP257" t="s">
        <v>456</v>
      </c>
      <c r="BQ257" t="s">
        <v>462</v>
      </c>
    </row>
    <row r="258" ht="18" customHeight="1" spans="1:69" x14ac:dyDescent="0.25">
      <c r="A258" s="9"/>
      <c r="B258" s="9"/>
      <c r="C258" s="9"/>
      <c r="D258" s="9"/>
      <c r="E258" s="9"/>
      <c r="F258" s="10"/>
      <c r="G258" s="10"/>
      <c r="H258" s="9" t="s">
        <v>139</v>
      </c>
      <c r="I258" s="9"/>
      <c r="J258" s="9"/>
      <c r="K258" s="9"/>
      <c r="L258" s="9"/>
      <c r="M258" s="9"/>
      <c r="N258" s="9"/>
      <c r="O258" s="10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t="s">
        <v>456</v>
      </c>
      <c r="BQ258" t="s">
        <v>462</v>
      </c>
    </row>
    <row r="259" ht="28" customHeight="1" spans="1:69" x14ac:dyDescent="0.25">
      <c r="A259" s="9"/>
      <c r="B259" s="9" t="s">
        <v>463</v>
      </c>
      <c r="C259" s="9" t="s">
        <v>464</v>
      </c>
      <c r="D259" s="9" t="s">
        <v>465</v>
      </c>
      <c r="E259" s="9" t="s">
        <v>466</v>
      </c>
      <c r="F259" s="10" t="s">
        <v>235</v>
      </c>
      <c r="G259" s="10" t="s">
        <v>169</v>
      </c>
      <c r="H259" s="9" t="s">
        <v>136</v>
      </c>
      <c r="I259" s="9">
        <v>1</v>
      </c>
      <c r="J259" s="9">
        <v>1</v>
      </c>
      <c r="K259" s="9" t="s">
        <v>4</v>
      </c>
      <c r="L259" s="9" t="s">
        <v>137</v>
      </c>
      <c r="M259" s="9"/>
      <c r="N259" s="9"/>
      <c r="O259" s="10"/>
      <c r="P259" s="11">
        <v>1</v>
      </c>
      <c r="Q259" s="11">
        <v>1</v>
      </c>
      <c r="R259" s="11">
        <v>1</v>
      </c>
      <c r="S259" s="11">
        <v>1</v>
      </c>
      <c r="T259" s="11">
        <v>1</v>
      </c>
      <c r="U259" s="11">
        <v>1</v>
      </c>
      <c r="V259" s="11">
        <v>1</v>
      </c>
      <c r="W259" s="11">
        <v>1</v>
      </c>
      <c r="X259" s="11">
        <v>1</v>
      </c>
      <c r="Y259" s="11">
        <v>1</v>
      </c>
      <c r="Z259" s="11">
        <v>1</v>
      </c>
      <c r="AA259" s="11">
        <v>1</v>
      </c>
      <c r="AB259" s="11">
        <v>1</v>
      </c>
      <c r="AC259" s="11">
        <v>1</v>
      </c>
      <c r="AD259" s="11">
        <v>1</v>
      </c>
      <c r="AE259" s="11">
        <v>1</v>
      </c>
      <c r="AF259" s="11">
        <v>1</v>
      </c>
      <c r="AG259" s="11">
        <v>1</v>
      </c>
      <c r="AH259" s="11">
        <v>1</v>
      </c>
      <c r="AI259" s="11">
        <v>1</v>
      </c>
      <c r="AJ259" s="11">
        <v>1</v>
      </c>
      <c r="AK259" s="11">
        <v>1</v>
      </c>
      <c r="AL259" s="11">
        <v>1</v>
      </c>
      <c r="AM259" s="11">
        <v>1</v>
      </c>
      <c r="AN259" s="11">
        <v>1</v>
      </c>
      <c r="AO259" s="11">
        <v>1</v>
      </c>
      <c r="AP259" s="11">
        <v>1</v>
      </c>
      <c r="AQ259" s="11">
        <v>1</v>
      </c>
      <c r="AR259" s="11">
        <v>1</v>
      </c>
      <c r="AS259" s="11">
        <v>1</v>
      </c>
      <c r="AT259" s="11">
        <v>1</v>
      </c>
      <c r="AU259" s="11">
        <v>1</v>
      </c>
      <c r="AV259" s="11">
        <v>1</v>
      </c>
      <c r="AW259" s="11">
        <v>1</v>
      </c>
      <c r="AX259" s="11">
        <v>1</v>
      </c>
      <c r="AY259" s="11">
        <v>1</v>
      </c>
      <c r="AZ259" s="11">
        <v>1</v>
      </c>
      <c r="BA259" s="11">
        <v>1</v>
      </c>
      <c r="BB259" s="11">
        <v>1</v>
      </c>
      <c r="BC259" s="11">
        <v>1</v>
      </c>
      <c r="BD259" s="11">
        <v>1</v>
      </c>
      <c r="BE259" s="11">
        <v>1</v>
      </c>
      <c r="BF259" s="11">
        <v>1</v>
      </c>
      <c r="BG259" s="11">
        <v>1</v>
      </c>
      <c r="BH259" s="11">
        <v>1</v>
      </c>
      <c r="BI259" s="11">
        <v>1</v>
      </c>
      <c r="BJ259" s="11">
        <v>1</v>
      </c>
      <c r="BK259" s="11">
        <v>1</v>
      </c>
      <c r="BL259" s="11">
        <v>1</v>
      </c>
      <c r="BM259" s="11">
        <v>1</v>
      </c>
      <c r="BN259" s="11">
        <v>1</v>
      </c>
      <c r="BO259" s="11">
        <v>1</v>
      </c>
      <c r="BP259" t="s">
        <v>463</v>
      </c>
      <c r="BQ259" t="s">
        <v>467</v>
      </c>
    </row>
    <row r="260" ht="18" customHeight="1" spans="1:69" x14ac:dyDescent="0.25">
      <c r="A260" s="9"/>
      <c r="B260" s="9"/>
      <c r="C260" s="9"/>
      <c r="D260" s="9"/>
      <c r="E260" s="9"/>
      <c r="F260" s="10"/>
      <c r="G260" s="10"/>
      <c r="H260" s="9" t="s">
        <v>139</v>
      </c>
      <c r="I260" s="9"/>
      <c r="J260" s="9"/>
      <c r="K260" s="9"/>
      <c r="L260" s="9"/>
      <c r="M260" s="9"/>
      <c r="N260" s="9"/>
      <c r="O260" s="10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t="s">
        <v>463</v>
      </c>
      <c r="BQ260" t="s">
        <v>467</v>
      </c>
    </row>
    <row r="261" ht="28" customHeight="1" spans="1:69" x14ac:dyDescent="0.25">
      <c r="A261" s="9"/>
      <c r="B261" s="9" t="s">
        <v>468</v>
      </c>
      <c r="C261" s="9" t="s">
        <v>469</v>
      </c>
      <c r="D261" s="9" t="s">
        <v>470</v>
      </c>
      <c r="E261" s="9" t="s">
        <v>466</v>
      </c>
      <c r="F261" s="10" t="s">
        <v>235</v>
      </c>
      <c r="G261" s="10" t="s">
        <v>169</v>
      </c>
      <c r="H261" s="9" t="s">
        <v>136</v>
      </c>
      <c r="I261" s="9">
        <v>1</v>
      </c>
      <c r="J261" s="9">
        <v>1</v>
      </c>
      <c r="K261" s="9" t="s">
        <v>4</v>
      </c>
      <c r="L261" s="9" t="s">
        <v>137</v>
      </c>
      <c r="M261" s="9"/>
      <c r="N261" s="9"/>
      <c r="O261" s="10"/>
      <c r="P261" s="11">
        <v>1</v>
      </c>
      <c r="Q261" s="11">
        <v>1</v>
      </c>
      <c r="R261" s="11">
        <v>1</v>
      </c>
      <c r="S261" s="11">
        <v>1</v>
      </c>
      <c r="T261" s="11">
        <v>1</v>
      </c>
      <c r="U261" s="11">
        <v>1</v>
      </c>
      <c r="V261" s="11">
        <v>1</v>
      </c>
      <c r="W261" s="11">
        <v>1</v>
      </c>
      <c r="X261" s="11">
        <v>1</v>
      </c>
      <c r="Y261" s="11">
        <v>1</v>
      </c>
      <c r="Z261" s="11">
        <v>1</v>
      </c>
      <c r="AA261" s="11">
        <v>1</v>
      </c>
      <c r="AB261" s="11">
        <v>1</v>
      </c>
      <c r="AC261" s="11">
        <v>1</v>
      </c>
      <c r="AD261" s="11">
        <v>1</v>
      </c>
      <c r="AE261" s="11">
        <v>1</v>
      </c>
      <c r="AF261" s="11">
        <v>1</v>
      </c>
      <c r="AG261" s="11">
        <v>1</v>
      </c>
      <c r="AH261" s="11">
        <v>1</v>
      </c>
      <c r="AI261" s="11">
        <v>1</v>
      </c>
      <c r="AJ261" s="11">
        <v>1</v>
      </c>
      <c r="AK261" s="11">
        <v>1</v>
      </c>
      <c r="AL261" s="11">
        <v>1</v>
      </c>
      <c r="AM261" s="11">
        <v>1</v>
      </c>
      <c r="AN261" s="11">
        <v>1</v>
      </c>
      <c r="AO261" s="11">
        <v>1</v>
      </c>
      <c r="AP261" s="11">
        <v>1</v>
      </c>
      <c r="AQ261" s="11">
        <v>1</v>
      </c>
      <c r="AR261" s="11">
        <v>1</v>
      </c>
      <c r="AS261" s="11">
        <v>1</v>
      </c>
      <c r="AT261" s="11">
        <v>1</v>
      </c>
      <c r="AU261" s="11">
        <v>1</v>
      </c>
      <c r="AV261" s="11">
        <v>1</v>
      </c>
      <c r="AW261" s="11">
        <v>1</v>
      </c>
      <c r="AX261" s="11">
        <v>1</v>
      </c>
      <c r="AY261" s="11">
        <v>1</v>
      </c>
      <c r="AZ261" s="11">
        <v>1</v>
      </c>
      <c r="BA261" s="11">
        <v>1</v>
      </c>
      <c r="BB261" s="11">
        <v>1</v>
      </c>
      <c r="BC261" s="11">
        <v>1</v>
      </c>
      <c r="BD261" s="11">
        <v>1</v>
      </c>
      <c r="BE261" s="11">
        <v>1</v>
      </c>
      <c r="BF261" s="11">
        <v>1</v>
      </c>
      <c r="BG261" s="11">
        <v>1</v>
      </c>
      <c r="BH261" s="11">
        <v>1</v>
      </c>
      <c r="BI261" s="11">
        <v>1</v>
      </c>
      <c r="BJ261" s="11">
        <v>1</v>
      </c>
      <c r="BK261" s="11">
        <v>1</v>
      </c>
      <c r="BL261" s="11">
        <v>1</v>
      </c>
      <c r="BM261" s="11">
        <v>1</v>
      </c>
      <c r="BN261" s="11">
        <v>1</v>
      </c>
      <c r="BO261" s="11">
        <v>1</v>
      </c>
      <c r="BP261" t="s">
        <v>468</v>
      </c>
      <c r="BQ261" t="s">
        <v>471</v>
      </c>
    </row>
    <row r="262" ht="18" customHeight="1" spans="1:69" x14ac:dyDescent="0.25">
      <c r="A262" s="9"/>
      <c r="B262" s="9"/>
      <c r="C262" s="9"/>
      <c r="D262" s="9"/>
      <c r="E262" s="9"/>
      <c r="F262" s="10"/>
      <c r="G262" s="10"/>
      <c r="H262" s="9" t="s">
        <v>139</v>
      </c>
      <c r="I262" s="9"/>
      <c r="J262" s="9"/>
      <c r="K262" s="9"/>
      <c r="L262" s="9"/>
      <c r="M262" s="9"/>
      <c r="N262" s="9"/>
      <c r="O262" s="10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t="s">
        <v>468</v>
      </c>
      <c r="BQ262" t="s">
        <v>471</v>
      </c>
    </row>
    <row r="263" ht="28" customHeight="1" spans="1:69" x14ac:dyDescent="0.25">
      <c r="A263" s="9"/>
      <c r="B263" s="9" t="s">
        <v>472</v>
      </c>
      <c r="C263" s="9" t="s">
        <v>473</v>
      </c>
      <c r="D263" s="9" t="s">
        <v>474</v>
      </c>
      <c r="E263" s="9" t="s">
        <v>475</v>
      </c>
      <c r="F263" s="10" t="s">
        <v>134</v>
      </c>
      <c r="G263" s="10" t="s">
        <v>135</v>
      </c>
      <c r="H263" s="9" t="s">
        <v>136</v>
      </c>
      <c r="I263" s="9">
        <v>1</v>
      </c>
      <c r="J263" s="9">
        <v>1</v>
      </c>
      <c r="K263" s="9" t="s">
        <v>4</v>
      </c>
      <c r="L263" s="9" t="s">
        <v>137</v>
      </c>
      <c r="M263" s="9"/>
      <c r="N263" s="9"/>
      <c r="O263" s="10"/>
      <c r="P263" s="11">
        <v>1</v>
      </c>
      <c r="Q263" s="11">
        <v>1</v>
      </c>
      <c r="R263" s="11">
        <v>1</v>
      </c>
      <c r="S263" s="11">
        <v>1</v>
      </c>
      <c r="T263" s="11">
        <v>1</v>
      </c>
      <c r="U263" s="11">
        <v>1</v>
      </c>
      <c r="V263" s="11">
        <v>1</v>
      </c>
      <c r="W263" s="11">
        <v>1</v>
      </c>
      <c r="X263" s="11">
        <v>1</v>
      </c>
      <c r="Y263" s="11">
        <v>1</v>
      </c>
      <c r="Z263" s="11">
        <v>1</v>
      </c>
      <c r="AA263" s="11">
        <v>1</v>
      </c>
      <c r="AB263" s="11">
        <v>1</v>
      </c>
      <c r="AC263" s="11">
        <v>1</v>
      </c>
      <c r="AD263" s="11">
        <v>1</v>
      </c>
      <c r="AE263" s="11">
        <v>1</v>
      </c>
      <c r="AF263" s="11">
        <v>1</v>
      </c>
      <c r="AG263" s="11">
        <v>1</v>
      </c>
      <c r="AH263" s="11">
        <v>1</v>
      </c>
      <c r="AI263" s="11">
        <v>1</v>
      </c>
      <c r="AJ263" s="11">
        <v>1</v>
      </c>
      <c r="AK263" s="11">
        <v>1</v>
      </c>
      <c r="AL263" s="11">
        <v>1</v>
      </c>
      <c r="AM263" s="11">
        <v>1</v>
      </c>
      <c r="AN263" s="11">
        <v>1</v>
      </c>
      <c r="AO263" s="11">
        <v>1</v>
      </c>
      <c r="AP263" s="11">
        <v>1</v>
      </c>
      <c r="AQ263" s="11">
        <v>1</v>
      </c>
      <c r="AR263" s="11">
        <v>1</v>
      </c>
      <c r="AS263" s="11">
        <v>1</v>
      </c>
      <c r="AT263" s="11">
        <v>1</v>
      </c>
      <c r="AU263" s="11">
        <v>1</v>
      </c>
      <c r="AV263" s="11">
        <v>1</v>
      </c>
      <c r="AW263" s="11">
        <v>1</v>
      </c>
      <c r="AX263" s="11">
        <v>1</v>
      </c>
      <c r="AY263" s="11">
        <v>1</v>
      </c>
      <c r="AZ263" s="11">
        <v>1</v>
      </c>
      <c r="BA263" s="11">
        <v>1</v>
      </c>
      <c r="BB263" s="11">
        <v>1</v>
      </c>
      <c r="BC263" s="11">
        <v>1</v>
      </c>
      <c r="BD263" s="11">
        <v>1</v>
      </c>
      <c r="BE263" s="11">
        <v>1</v>
      </c>
      <c r="BF263" s="11">
        <v>1</v>
      </c>
      <c r="BG263" s="11">
        <v>1</v>
      </c>
      <c r="BH263" s="11">
        <v>1</v>
      </c>
      <c r="BI263" s="11">
        <v>1</v>
      </c>
      <c r="BJ263" s="11">
        <v>1</v>
      </c>
      <c r="BK263" s="11">
        <v>1</v>
      </c>
      <c r="BL263" s="11">
        <v>1</v>
      </c>
      <c r="BM263" s="11">
        <v>1</v>
      </c>
      <c r="BN263" s="11">
        <v>1</v>
      </c>
      <c r="BO263" s="11">
        <v>1</v>
      </c>
      <c r="BP263" t="s">
        <v>472</v>
      </c>
      <c r="BQ263" t="s">
        <v>476</v>
      </c>
    </row>
    <row r="264" ht="18" customHeight="1" spans="1:69" x14ac:dyDescent="0.25">
      <c r="A264" s="9"/>
      <c r="B264" s="9"/>
      <c r="C264" s="9"/>
      <c r="D264" s="9"/>
      <c r="E264" s="9"/>
      <c r="F264" s="10"/>
      <c r="G264" s="10"/>
      <c r="H264" s="9" t="s">
        <v>139</v>
      </c>
      <c r="I264" s="9"/>
      <c r="J264" s="9"/>
      <c r="K264" s="9"/>
      <c r="L264" s="9"/>
      <c r="M264" s="9"/>
      <c r="N264" s="9"/>
      <c r="O264" s="10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t="s">
        <v>472</v>
      </c>
      <c r="BQ264" t="s">
        <v>476</v>
      </c>
    </row>
    <row r="265" ht="28" customHeight="1" spans="1:69" x14ac:dyDescent="0.25">
      <c r="A265" s="9"/>
      <c r="B265" s="9"/>
      <c r="C265" s="9"/>
      <c r="D265" s="9"/>
      <c r="E265" s="9"/>
      <c r="F265" s="10" t="s">
        <v>227</v>
      </c>
      <c r="G265" s="10" t="s">
        <v>477</v>
      </c>
      <c r="H265" s="9" t="s">
        <v>136</v>
      </c>
      <c r="I265" s="9">
        <v>3</v>
      </c>
      <c r="J265" s="9">
        <v>3</v>
      </c>
      <c r="K265" s="9" t="s">
        <v>6</v>
      </c>
      <c r="L265" s="9" t="s">
        <v>137</v>
      </c>
      <c r="M265" s="9"/>
      <c r="N265" s="9"/>
      <c r="O265" s="10"/>
      <c r="P265" s="13"/>
      <c r="Q265" s="13"/>
      <c r="R265" s="15">
        <v>3</v>
      </c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5">
        <v>3</v>
      </c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5">
        <v>3</v>
      </c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5">
        <v>3</v>
      </c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t="s">
        <v>472</v>
      </c>
      <c r="BQ265" t="s">
        <v>478</v>
      </c>
    </row>
    <row r="266" ht="18" customHeight="1" spans="1:69" x14ac:dyDescent="0.25">
      <c r="A266" s="9"/>
      <c r="B266" s="9"/>
      <c r="C266" s="9"/>
      <c r="D266" s="9"/>
      <c r="E266" s="9"/>
      <c r="F266" s="10"/>
      <c r="G266" s="10"/>
      <c r="H266" s="9" t="s">
        <v>139</v>
      </c>
      <c r="I266" s="9"/>
      <c r="J266" s="9"/>
      <c r="K266" s="9"/>
      <c r="L266" s="9"/>
      <c r="M266" s="9"/>
      <c r="N266" s="9"/>
      <c r="O266" s="10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t="s">
        <v>472</v>
      </c>
      <c r="BQ266" t="s">
        <v>478</v>
      </c>
    </row>
    <row r="267" ht="28" customHeight="1" spans="1:69" x14ac:dyDescent="0.25">
      <c r="A267" s="9"/>
      <c r="B267" s="9"/>
      <c r="C267" s="9"/>
      <c r="D267" s="9"/>
      <c r="E267" s="9"/>
      <c r="F267" s="10" t="s">
        <v>479</v>
      </c>
      <c r="G267" s="10" t="s">
        <v>477</v>
      </c>
      <c r="H267" s="9" t="s">
        <v>136</v>
      </c>
      <c r="I267" s="9">
        <v>1</v>
      </c>
      <c r="J267" s="9">
        <v>1</v>
      </c>
      <c r="K267" s="9" t="s">
        <v>4</v>
      </c>
      <c r="L267" s="9" t="s">
        <v>137</v>
      </c>
      <c r="M267" s="9"/>
      <c r="N267" s="9"/>
      <c r="O267" s="10"/>
      <c r="P267" s="11">
        <v>1</v>
      </c>
      <c r="Q267" s="11">
        <v>1</v>
      </c>
      <c r="R267" s="11">
        <v>1</v>
      </c>
      <c r="S267" s="11">
        <v>1</v>
      </c>
      <c r="T267" s="11">
        <v>1</v>
      </c>
      <c r="U267" s="11">
        <v>1</v>
      </c>
      <c r="V267" s="11">
        <v>1</v>
      </c>
      <c r="W267" s="11">
        <v>1</v>
      </c>
      <c r="X267" s="11">
        <v>1</v>
      </c>
      <c r="Y267" s="11">
        <v>1</v>
      </c>
      <c r="Z267" s="11">
        <v>1</v>
      </c>
      <c r="AA267" s="11">
        <v>1</v>
      </c>
      <c r="AB267" s="11">
        <v>1</v>
      </c>
      <c r="AC267" s="11">
        <v>1</v>
      </c>
      <c r="AD267" s="11">
        <v>1</v>
      </c>
      <c r="AE267" s="11">
        <v>1</v>
      </c>
      <c r="AF267" s="11">
        <v>1</v>
      </c>
      <c r="AG267" s="11">
        <v>1</v>
      </c>
      <c r="AH267" s="11">
        <v>1</v>
      </c>
      <c r="AI267" s="11">
        <v>1</v>
      </c>
      <c r="AJ267" s="11">
        <v>1</v>
      </c>
      <c r="AK267" s="11">
        <v>1</v>
      </c>
      <c r="AL267" s="11">
        <v>1</v>
      </c>
      <c r="AM267" s="11">
        <v>1</v>
      </c>
      <c r="AN267" s="11">
        <v>1</v>
      </c>
      <c r="AO267" s="11">
        <v>1</v>
      </c>
      <c r="AP267" s="11">
        <v>1</v>
      </c>
      <c r="AQ267" s="11">
        <v>1</v>
      </c>
      <c r="AR267" s="11">
        <v>1</v>
      </c>
      <c r="AS267" s="11">
        <v>1</v>
      </c>
      <c r="AT267" s="11">
        <v>1</v>
      </c>
      <c r="AU267" s="11">
        <v>1</v>
      </c>
      <c r="AV267" s="11">
        <v>1</v>
      </c>
      <c r="AW267" s="11">
        <v>1</v>
      </c>
      <c r="AX267" s="11">
        <v>1</v>
      </c>
      <c r="AY267" s="11">
        <v>1</v>
      </c>
      <c r="AZ267" s="11">
        <v>1</v>
      </c>
      <c r="BA267" s="11">
        <v>1</v>
      </c>
      <c r="BB267" s="11">
        <v>1</v>
      </c>
      <c r="BC267" s="11">
        <v>1</v>
      </c>
      <c r="BD267" s="11">
        <v>1</v>
      </c>
      <c r="BE267" s="11">
        <v>1</v>
      </c>
      <c r="BF267" s="11">
        <v>1</v>
      </c>
      <c r="BG267" s="11">
        <v>1</v>
      </c>
      <c r="BH267" s="11">
        <v>1</v>
      </c>
      <c r="BI267" s="11">
        <v>1</v>
      </c>
      <c r="BJ267" s="11">
        <v>1</v>
      </c>
      <c r="BK267" s="11">
        <v>1</v>
      </c>
      <c r="BL267" s="11">
        <v>1</v>
      </c>
      <c r="BM267" s="11">
        <v>1</v>
      </c>
      <c r="BN267" s="11">
        <v>1</v>
      </c>
      <c r="BO267" s="11">
        <v>1</v>
      </c>
      <c r="BP267" t="s">
        <v>472</v>
      </c>
      <c r="BQ267" t="s">
        <v>480</v>
      </c>
    </row>
    <row r="268" ht="18" customHeight="1" spans="1:69" x14ac:dyDescent="0.25">
      <c r="A268" s="9"/>
      <c r="B268" s="9"/>
      <c r="C268" s="9"/>
      <c r="D268" s="9"/>
      <c r="E268" s="9"/>
      <c r="F268" s="10"/>
      <c r="G268" s="10"/>
      <c r="H268" s="9" t="s">
        <v>139</v>
      </c>
      <c r="I268" s="9"/>
      <c r="J268" s="9"/>
      <c r="K268" s="9"/>
      <c r="L268" s="9"/>
      <c r="M268" s="9"/>
      <c r="N268" s="9"/>
      <c r="O268" s="10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t="s">
        <v>472</v>
      </c>
      <c r="BQ268" t="s">
        <v>480</v>
      </c>
    </row>
    <row r="269" ht="28" customHeight="1" spans="1:69" x14ac:dyDescent="0.25">
      <c r="A269" s="9"/>
      <c r="B269" s="9" t="s">
        <v>481</v>
      </c>
      <c r="C269" s="9" t="s">
        <v>288</v>
      </c>
      <c r="D269" s="9" t="s">
        <v>482</v>
      </c>
      <c r="E269" s="9" t="s">
        <v>483</v>
      </c>
      <c r="F269" s="10" t="s">
        <v>134</v>
      </c>
      <c r="G269" s="10" t="s">
        <v>301</v>
      </c>
      <c r="H269" s="9" t="s">
        <v>136</v>
      </c>
      <c r="I269" s="9">
        <v>1</v>
      </c>
      <c r="J269" s="9">
        <v>1</v>
      </c>
      <c r="K269" s="9" t="s">
        <v>4</v>
      </c>
      <c r="L269" s="9" t="s">
        <v>137</v>
      </c>
      <c r="M269" s="9"/>
      <c r="N269" s="9"/>
      <c r="O269" s="10"/>
      <c r="P269" s="11">
        <v>1</v>
      </c>
      <c r="Q269" s="11">
        <v>1</v>
      </c>
      <c r="R269" s="11">
        <v>1</v>
      </c>
      <c r="S269" s="11">
        <v>1</v>
      </c>
      <c r="T269" s="11">
        <v>1</v>
      </c>
      <c r="U269" s="11">
        <v>1</v>
      </c>
      <c r="V269" s="11">
        <v>1</v>
      </c>
      <c r="W269" s="11">
        <v>1</v>
      </c>
      <c r="X269" s="11">
        <v>1</v>
      </c>
      <c r="Y269" s="11">
        <v>1</v>
      </c>
      <c r="Z269" s="11">
        <v>1</v>
      </c>
      <c r="AA269" s="11">
        <v>1</v>
      </c>
      <c r="AB269" s="11">
        <v>1</v>
      </c>
      <c r="AC269" s="11">
        <v>1</v>
      </c>
      <c r="AD269" s="11">
        <v>1</v>
      </c>
      <c r="AE269" s="11">
        <v>1</v>
      </c>
      <c r="AF269" s="11">
        <v>1</v>
      </c>
      <c r="AG269" s="11">
        <v>1</v>
      </c>
      <c r="AH269" s="11">
        <v>1</v>
      </c>
      <c r="AI269" s="11">
        <v>1</v>
      </c>
      <c r="AJ269" s="11">
        <v>1</v>
      </c>
      <c r="AK269" s="11">
        <v>1</v>
      </c>
      <c r="AL269" s="11">
        <v>1</v>
      </c>
      <c r="AM269" s="11">
        <v>1</v>
      </c>
      <c r="AN269" s="11">
        <v>1</v>
      </c>
      <c r="AO269" s="11">
        <v>1</v>
      </c>
      <c r="AP269" s="11">
        <v>1</v>
      </c>
      <c r="AQ269" s="11">
        <v>1</v>
      </c>
      <c r="AR269" s="11">
        <v>1</v>
      </c>
      <c r="AS269" s="11">
        <v>1</v>
      </c>
      <c r="AT269" s="11">
        <v>1</v>
      </c>
      <c r="AU269" s="11">
        <v>1</v>
      </c>
      <c r="AV269" s="11">
        <v>1</v>
      </c>
      <c r="AW269" s="11">
        <v>1</v>
      </c>
      <c r="AX269" s="11">
        <v>1</v>
      </c>
      <c r="AY269" s="11">
        <v>1</v>
      </c>
      <c r="AZ269" s="11">
        <v>1</v>
      </c>
      <c r="BA269" s="11">
        <v>1</v>
      </c>
      <c r="BB269" s="11">
        <v>1</v>
      </c>
      <c r="BC269" s="11">
        <v>1</v>
      </c>
      <c r="BD269" s="11">
        <v>1</v>
      </c>
      <c r="BE269" s="11">
        <v>1</v>
      </c>
      <c r="BF269" s="11">
        <v>1</v>
      </c>
      <c r="BG269" s="11">
        <v>1</v>
      </c>
      <c r="BH269" s="11">
        <v>1</v>
      </c>
      <c r="BI269" s="11">
        <v>1</v>
      </c>
      <c r="BJ269" s="11">
        <v>1</v>
      </c>
      <c r="BK269" s="11">
        <v>1</v>
      </c>
      <c r="BL269" s="11">
        <v>1</v>
      </c>
      <c r="BM269" s="11">
        <v>1</v>
      </c>
      <c r="BN269" s="11">
        <v>1</v>
      </c>
      <c r="BO269" s="11">
        <v>1</v>
      </c>
      <c r="BP269" t="s">
        <v>481</v>
      </c>
      <c r="BQ269" t="s">
        <v>484</v>
      </c>
    </row>
    <row r="270" ht="18" customHeight="1" spans="1:69" x14ac:dyDescent="0.25">
      <c r="A270" s="9"/>
      <c r="B270" s="9"/>
      <c r="C270" s="9"/>
      <c r="D270" s="9"/>
      <c r="E270" s="9"/>
      <c r="F270" s="10"/>
      <c r="G270" s="10"/>
      <c r="H270" s="9" t="s">
        <v>139</v>
      </c>
      <c r="I270" s="9"/>
      <c r="J270" s="9"/>
      <c r="K270" s="9"/>
      <c r="L270" s="9"/>
      <c r="M270" s="9"/>
      <c r="N270" s="9"/>
      <c r="O270" s="10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t="s">
        <v>481</v>
      </c>
      <c r="BQ270" t="s">
        <v>484</v>
      </c>
    </row>
    <row r="271" ht="28" customHeight="1" spans="1:69" x14ac:dyDescent="0.25">
      <c r="A271" s="9"/>
      <c r="B271" s="9"/>
      <c r="C271" s="9"/>
      <c r="D271" s="9"/>
      <c r="E271" s="9"/>
      <c r="F271" s="10" t="s">
        <v>171</v>
      </c>
      <c r="G271" s="10" t="s">
        <v>303</v>
      </c>
      <c r="H271" s="9" t="s">
        <v>136</v>
      </c>
      <c r="I271" s="9">
        <v>3</v>
      </c>
      <c r="J271" s="9">
        <v>2000</v>
      </c>
      <c r="K271" s="9" t="s">
        <v>192</v>
      </c>
      <c r="L271" s="9" t="s">
        <v>9</v>
      </c>
      <c r="M271" s="9"/>
      <c r="N271" s="9" t="s">
        <v>193</v>
      </c>
      <c r="O271" s="10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5">
        <v>3</v>
      </c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5">
        <v>3</v>
      </c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5">
        <v>3</v>
      </c>
      <c r="BP271" t="s">
        <v>481</v>
      </c>
      <c r="BQ271" t="s">
        <v>485</v>
      </c>
    </row>
    <row r="272" ht="18" customHeight="1" spans="1:69" x14ac:dyDescent="0.25">
      <c r="A272" s="9"/>
      <c r="B272" s="9"/>
      <c r="C272" s="9"/>
      <c r="D272" s="9"/>
      <c r="E272" s="9"/>
      <c r="F272" s="10"/>
      <c r="G272" s="10"/>
      <c r="H272" s="9" t="s">
        <v>139</v>
      </c>
      <c r="I272" s="9"/>
      <c r="J272" s="9"/>
      <c r="K272" s="9"/>
      <c r="L272" s="9"/>
      <c r="M272" s="9"/>
      <c r="N272" s="9"/>
      <c r="O272" s="10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t="s">
        <v>481</v>
      </c>
      <c r="BQ272" t="s">
        <v>485</v>
      </c>
    </row>
    <row r="273" ht="28" customHeight="1" spans="1:69" x14ac:dyDescent="0.25">
      <c r="A273" s="9"/>
      <c r="B273" s="9"/>
      <c r="C273" s="9"/>
      <c r="D273" s="9"/>
      <c r="E273" s="9"/>
      <c r="F273" s="10" t="s">
        <v>171</v>
      </c>
      <c r="G273" s="10" t="s">
        <v>305</v>
      </c>
      <c r="H273" s="9" t="s">
        <v>136</v>
      </c>
      <c r="I273" s="9">
        <v>5</v>
      </c>
      <c r="J273" s="9">
        <v>10000</v>
      </c>
      <c r="K273" s="9" t="s">
        <v>145</v>
      </c>
      <c r="L273" s="9" t="s">
        <v>9</v>
      </c>
      <c r="M273" s="9"/>
      <c r="N273" s="9"/>
      <c r="O273" s="10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t="s">
        <v>481</v>
      </c>
      <c r="BQ273" t="s">
        <v>486</v>
      </c>
    </row>
    <row r="274" ht="18" customHeight="1" spans="1:69" x14ac:dyDescent="0.25">
      <c r="A274" s="9"/>
      <c r="B274" s="9"/>
      <c r="C274" s="9"/>
      <c r="D274" s="9"/>
      <c r="E274" s="9"/>
      <c r="F274" s="10"/>
      <c r="G274" s="10"/>
      <c r="H274" s="9" t="s">
        <v>139</v>
      </c>
      <c r="I274" s="9"/>
      <c r="J274" s="9"/>
      <c r="K274" s="9"/>
      <c r="L274" s="9"/>
      <c r="M274" s="9"/>
      <c r="N274" s="9"/>
      <c r="O274" s="10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t="s">
        <v>481</v>
      </c>
      <c r="BQ274" t="s">
        <v>486</v>
      </c>
    </row>
    <row r="275" ht="28" customHeight="1" spans="1:69" x14ac:dyDescent="0.25">
      <c r="A275" s="9"/>
      <c r="B275" s="9"/>
      <c r="C275" s="9"/>
      <c r="D275" s="9"/>
      <c r="E275" s="9"/>
      <c r="F275" s="10" t="s">
        <v>307</v>
      </c>
      <c r="G275" s="10" t="s">
        <v>308</v>
      </c>
      <c r="H275" s="9" t="s">
        <v>136</v>
      </c>
      <c r="I275" s="9">
        <v>3</v>
      </c>
      <c r="J275" s="9">
        <v>1000</v>
      </c>
      <c r="K275" s="9" t="s">
        <v>153</v>
      </c>
      <c r="L275" s="9" t="s">
        <v>9</v>
      </c>
      <c r="M275" s="9"/>
      <c r="N275" s="9" t="s">
        <v>154</v>
      </c>
      <c r="O275" s="10"/>
      <c r="P275" s="13"/>
      <c r="Q275" s="13"/>
      <c r="R275" s="13"/>
      <c r="S275" s="13"/>
      <c r="T275" s="13"/>
      <c r="U275" s="13"/>
      <c r="V275" s="13"/>
      <c r="W275" s="13"/>
      <c r="X275" s="13"/>
      <c r="Y275" s="15">
        <v>3</v>
      </c>
      <c r="Z275" s="13"/>
      <c r="AA275" s="13"/>
      <c r="AB275" s="13"/>
      <c r="AC275" s="13"/>
      <c r="AD275" s="13"/>
      <c r="AE275" s="13"/>
      <c r="AF275" s="13"/>
      <c r="AG275" s="13"/>
      <c r="AH275" s="15">
        <v>3</v>
      </c>
      <c r="AI275" s="13"/>
      <c r="AJ275" s="13"/>
      <c r="AK275" s="13"/>
      <c r="AL275" s="13"/>
      <c r="AM275" s="13"/>
      <c r="AN275" s="13"/>
      <c r="AO275" s="13"/>
      <c r="AP275" s="13"/>
      <c r="AQ275" s="15">
        <v>3</v>
      </c>
      <c r="AR275" s="13"/>
      <c r="AS275" s="13"/>
      <c r="AT275" s="13"/>
      <c r="AU275" s="13"/>
      <c r="AV275" s="13"/>
      <c r="AW275" s="13"/>
      <c r="AX275" s="13"/>
      <c r="AY275" s="13"/>
      <c r="AZ275" s="15">
        <v>3</v>
      </c>
      <c r="BA275" s="13"/>
      <c r="BB275" s="13"/>
      <c r="BC275" s="13"/>
      <c r="BD275" s="13"/>
      <c r="BE275" s="13"/>
      <c r="BF275" s="13"/>
      <c r="BG275" s="13"/>
      <c r="BH275" s="13"/>
      <c r="BI275" s="15">
        <v>3</v>
      </c>
      <c r="BJ275" s="13"/>
      <c r="BK275" s="13"/>
      <c r="BL275" s="13"/>
      <c r="BM275" s="13"/>
      <c r="BN275" s="13"/>
      <c r="BO275" s="13"/>
      <c r="BP275" t="s">
        <v>481</v>
      </c>
      <c r="BQ275" t="s">
        <v>487</v>
      </c>
    </row>
    <row r="276" ht="18" customHeight="1" spans="1:69" x14ac:dyDescent="0.25">
      <c r="A276" s="9"/>
      <c r="B276" s="9"/>
      <c r="C276" s="9"/>
      <c r="D276" s="9"/>
      <c r="E276" s="9"/>
      <c r="F276" s="10"/>
      <c r="G276" s="10"/>
      <c r="H276" s="9" t="s">
        <v>139</v>
      </c>
      <c r="I276" s="9"/>
      <c r="J276" s="9"/>
      <c r="K276" s="9"/>
      <c r="L276" s="9"/>
      <c r="M276" s="9"/>
      <c r="N276" s="9"/>
      <c r="O276" s="10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t="s">
        <v>481</v>
      </c>
      <c r="BQ276" t="s">
        <v>487</v>
      </c>
    </row>
    <row r="277" ht="18" customHeight="1" spans="1:67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</row>
    <row r="278" ht="18" customHeight="1" spans="1:67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</row>
    <row r="279" ht="18" customHeight="1" spans="1:67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</row>
    <row r="280" ht="18" customHeight="1" spans="1:67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</row>
    <row r="281" ht="18" customHeight="1" spans="1:67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</row>
    <row r="282" ht="18" customHeight="1" spans="1:67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</row>
    <row r="283" ht="18" customHeight="1" spans="1:67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</row>
    <row r="284" ht="18" customHeight="1" spans="1:67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</row>
    <row r="285" ht="18" customHeight="1" spans="1:67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</row>
    <row r="286" ht="18" customHeight="1" spans="1:67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</row>
    <row r="287" ht="18" customHeight="1" spans="1:67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</row>
    <row r="288" ht="18" customHeight="1" spans="1:67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</row>
    <row r="289" ht="18" customHeight="1" spans="1:67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</row>
    <row r="290" ht="18" customHeight="1" spans="1:67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</row>
    <row r="291" ht="18" customHeight="1" spans="1:67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</row>
    <row r="292" ht="18" customHeight="1" spans="1:67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</row>
    <row r="293" ht="18" customHeight="1" spans="1:67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</row>
    <row r="294" ht="18" customHeight="1" spans="1:67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</row>
    <row r="295" ht="18" customHeight="1" spans="1:67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</row>
    <row r="296" ht="18" customHeight="1" spans="1:67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</row>
    <row r="297" ht="18" customHeight="1" spans="1:67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</row>
    <row r="298" ht="18" customHeight="1" spans="1:67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</row>
    <row r="299" ht="18" customHeight="1" spans="1:67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</row>
    <row r="300" ht="18" customHeight="1" spans="1:67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</row>
    <row r="301" ht="18" customHeight="1" spans="1:67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</row>
    <row r="302" ht="18" customHeight="1" spans="1:67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</row>
    <row r="303" ht="18" customHeight="1" spans="1:67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</row>
    <row r="304" ht="18" customHeight="1" spans="1:67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</row>
    <row r="305" ht="18" customHeight="1" spans="1:67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</row>
    <row r="306" ht="18" customHeight="1" spans="1:67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</row>
    <row r="307" ht="18" customHeight="1" spans="1:67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</row>
    <row r="308" ht="18" customHeight="1" spans="1:67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</row>
    <row r="309" ht="18" customHeight="1" spans="1:67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</row>
    <row r="310" ht="18" customHeight="1" spans="1:67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</row>
    <row r="311" ht="18" customHeight="1" spans="1:67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</row>
    <row r="312" ht="18" customHeight="1" spans="1:67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</row>
    <row r="313" ht="18" customHeight="1" spans="1:67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</row>
    <row r="314" ht="18" customHeight="1" spans="1:67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</row>
    <row r="315" ht="18" customHeight="1" spans="1:67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</row>
    <row r="316" ht="18" customHeight="1" spans="1:67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</row>
    <row r="317" ht="18" customHeight="1" spans="1:67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</row>
    <row r="318" ht="18" customHeight="1" spans="1:67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</row>
    <row r="319" ht="18" customHeight="1" spans="1:67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</row>
    <row r="320" ht="18" customHeight="1" spans="1:67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</row>
    <row r="321" ht="18" customHeight="1" spans="1:67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</row>
    <row r="322" ht="18" customHeight="1" spans="1:67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</row>
    <row r="323" ht="18" customHeight="1" spans="1:67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</row>
    <row r="324" ht="18" customHeight="1" spans="1:67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</row>
    <row r="325" ht="18" customHeight="1" spans="1:67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</row>
    <row r="326" ht="18" customHeight="1" spans="1:67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</row>
    <row r="327" ht="18" customHeight="1" spans="1:67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</row>
    <row r="328" ht="18" customHeight="1" spans="1:67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</row>
    <row r="329" ht="18" customHeight="1" spans="1:67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</row>
    <row r="330" ht="18" customHeight="1" spans="1:67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</row>
    <row r="331" ht="18" customHeight="1" spans="1:67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</row>
    <row r="332" ht="18" customHeight="1" spans="1:67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</row>
    <row r="333" ht="18" customHeight="1" spans="1:67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</row>
    <row r="334" ht="18" customHeight="1" spans="1:67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</row>
    <row r="335" ht="18" customHeight="1" spans="1:67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</row>
    <row r="336" ht="18" customHeight="1" spans="1:67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</row>
    <row r="337" ht="18" customHeight="1" spans="1:67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</row>
    <row r="338" ht="18" customHeight="1" spans="1:67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</row>
    <row r="339" ht="18" customHeight="1" spans="1:67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</row>
    <row r="340" ht="18" customHeight="1" spans="1:67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</row>
    <row r="341" ht="18" customHeight="1" spans="1:67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</row>
    <row r="342" ht="18" customHeight="1" spans="1:67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</row>
    <row r="343" ht="18" customHeight="1" spans="1:67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</row>
    <row r="344" ht="18" customHeight="1" spans="1:67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</row>
    <row r="345" ht="18" customHeight="1" spans="1:67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</row>
    <row r="346" ht="18" customHeight="1" spans="1:67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</row>
    <row r="347" ht="18" customHeight="1" spans="1:67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</row>
    <row r="348" ht="18" customHeight="1" spans="1:67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</row>
    <row r="349" ht="18" customHeight="1" spans="1:67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</row>
    <row r="350" ht="18" customHeight="1" spans="1:67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</row>
    <row r="351" ht="18" customHeight="1" spans="1:67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</row>
    <row r="352" ht="18" customHeight="1" spans="1:67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</row>
    <row r="353" ht="18" customHeight="1" spans="1:67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</row>
    <row r="354" ht="18" customHeight="1" spans="1:67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</row>
    <row r="355" ht="18" customHeight="1" spans="1:67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</row>
    <row r="356" ht="18" customHeight="1" spans="1:67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</row>
    <row r="357" ht="18" customHeight="1" spans="1:67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</row>
    <row r="358" ht="18" customHeight="1" spans="1:67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</row>
    <row r="359" ht="18" customHeight="1" spans="1:67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</row>
    <row r="360" ht="18" customHeight="1" spans="1:67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</row>
    <row r="361" ht="18" customHeight="1" spans="1:67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</row>
    <row r="362" ht="18" customHeight="1" spans="1:67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</row>
    <row r="363" ht="18" customHeight="1" spans="1:67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</row>
    <row r="364" ht="18" customHeight="1" spans="1:67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</row>
    <row r="365" ht="18" customHeight="1" spans="1:67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</row>
    <row r="366" ht="18" customHeight="1" spans="1:67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</row>
    <row r="367" ht="18" customHeight="1" spans="1:67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</row>
    <row r="368" ht="18" customHeight="1" spans="1:67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</row>
    <row r="369" ht="18" customHeight="1" spans="1:67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</row>
    <row r="370" ht="18" customHeight="1" spans="1:67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</row>
    <row r="371" ht="18" customHeight="1" spans="1:67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</row>
    <row r="372" ht="18" customHeight="1" spans="1:67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</row>
    <row r="373" ht="18" customHeight="1" spans="1:67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</row>
    <row r="374" ht="18" customHeight="1" spans="1:67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</row>
    <row r="375" ht="18" customHeight="1" spans="1:67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</row>
    <row r="376" ht="18" customHeight="1" spans="1:67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</row>
    <row r="377" ht="18" customHeight="1" spans="1:67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</row>
    <row r="378" ht="18" customHeight="1" spans="1:67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</row>
    <row r="379" ht="18" customHeight="1" spans="1:67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</row>
    <row r="380" ht="18" customHeight="1" spans="1:67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</row>
    <row r="381" ht="18" customHeight="1" spans="1:67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</row>
    <row r="382" ht="18" customHeight="1" spans="1:67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</row>
    <row r="383" ht="18" customHeight="1" spans="1:67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</row>
    <row r="384" ht="18" customHeight="1" spans="1:67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</row>
    <row r="385" ht="18" customHeight="1" spans="1:67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</row>
    <row r="386" ht="18" customHeight="1" spans="1:67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</row>
    <row r="387" ht="18" customHeight="1" spans="1:67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</row>
    <row r="388" ht="18" customHeight="1" spans="1:67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</row>
    <row r="389" ht="18" customHeight="1" spans="1:67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</row>
    <row r="390" ht="18" customHeight="1" spans="1:67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</row>
    <row r="391" ht="18" customHeight="1" spans="1:67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</row>
    <row r="392" ht="18" customHeight="1" spans="1:67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</row>
    <row r="393" ht="18" customHeight="1" spans="1:67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</row>
    <row r="394" ht="18" customHeight="1" spans="1:67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</row>
    <row r="395" ht="18" customHeight="1" spans="1:67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</row>
    <row r="396" ht="18" customHeight="1" spans="1:67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</row>
    <row r="397" ht="18" customHeight="1" spans="1:67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</row>
    <row r="398" ht="18" customHeight="1" spans="1:67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</row>
    <row r="399" ht="18" customHeight="1" spans="1:67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</row>
    <row r="400" ht="18" customHeight="1" spans="1:67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</row>
    <row r="401" ht="18" customHeight="1" spans="1:67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</row>
    <row r="402" ht="18" customHeight="1" spans="1:67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</row>
    <row r="403" ht="18" customHeight="1" spans="1:67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</row>
    <row r="404" ht="18" customHeight="1" spans="1:67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</row>
    <row r="405" ht="18" customHeight="1" spans="1:67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</row>
    <row r="406" ht="18" customHeight="1" spans="1:67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</row>
    <row r="407" ht="18" customHeight="1" spans="1:67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</row>
    <row r="408" ht="18" customHeight="1" spans="1:67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</row>
    <row r="409" ht="18" customHeight="1" spans="1:67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</row>
    <row r="410" ht="18" customHeight="1" spans="1:67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</row>
    <row r="411" ht="18" customHeight="1" spans="1:67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</row>
    <row r="412" ht="18" customHeight="1" spans="1:67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</row>
    <row r="413" ht="18" customHeight="1" spans="1:67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</row>
    <row r="414" ht="18" customHeight="1" spans="1:67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</row>
    <row r="415" ht="18" customHeight="1" spans="1:67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</row>
    <row r="416" ht="18" customHeight="1" spans="1:67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</row>
    <row r="417" ht="18" customHeight="1" spans="1:67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</row>
    <row r="418" ht="18" customHeight="1" spans="1:67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</row>
    <row r="419" ht="18" customHeight="1" spans="1:67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</row>
    <row r="420" ht="18" customHeight="1" spans="1:67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</row>
    <row r="421" ht="18" customHeight="1" spans="1:67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</row>
    <row r="422" ht="18" customHeight="1" spans="1:67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</row>
    <row r="423" ht="18" customHeight="1" spans="1:67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</row>
    <row r="424" ht="18" customHeight="1" spans="1:67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</row>
    <row r="425" ht="18" customHeight="1" spans="1:67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</row>
    <row r="426" ht="18" customHeight="1" spans="1:67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</row>
    <row r="427" ht="18" customHeight="1" spans="1:67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</row>
    <row r="428" ht="18" customHeight="1" spans="1:67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</row>
    <row r="429" ht="18" customHeight="1" spans="1:67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</row>
    <row r="430" ht="18" customHeight="1" spans="1:67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</row>
    <row r="431" ht="18" customHeight="1" spans="1:67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</row>
    <row r="432" ht="18" customHeight="1" spans="1:67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</row>
    <row r="433" ht="18" customHeight="1" spans="1:67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</row>
    <row r="434" ht="18" customHeight="1" spans="1:67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</row>
    <row r="435" ht="18" customHeight="1" spans="1:67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</row>
    <row r="436" ht="18" customHeight="1" spans="1:67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</row>
    <row r="437" ht="18" customHeight="1" spans="1:67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</row>
    <row r="438" ht="18" customHeight="1" spans="1:67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</row>
    <row r="439" ht="18" customHeight="1" spans="1:67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</row>
    <row r="440" ht="18" customHeight="1" spans="1:67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</row>
    <row r="441" ht="18" customHeight="1" spans="1:67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</row>
    <row r="442" ht="18" customHeight="1" spans="1:67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</row>
    <row r="443" ht="18" customHeight="1" spans="1:67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</row>
    <row r="444" ht="18" customHeight="1" spans="1:67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</row>
    <row r="445" ht="18" customHeight="1" spans="1:67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</row>
    <row r="446" ht="18" customHeight="1" spans="1:67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</row>
    <row r="447" ht="18" customHeight="1" spans="1:67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</row>
    <row r="448" ht="18" customHeight="1" spans="1:67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</row>
    <row r="449" ht="18" customHeight="1" spans="1:67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</row>
    <row r="450" ht="18" customHeight="1" spans="1:67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</row>
    <row r="451" ht="18" customHeight="1" spans="1:67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</row>
    <row r="452" ht="18" customHeight="1" spans="1:67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</row>
    <row r="453" ht="18" customHeight="1" spans="1:67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</row>
    <row r="454" ht="18" customHeight="1" spans="1:67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</row>
    <row r="455" ht="18" customHeight="1" spans="1:67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</row>
    <row r="456" ht="18" customHeight="1" spans="1:67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</row>
    <row r="457" ht="18" customHeight="1" spans="1:67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</row>
    <row r="458" ht="18" customHeight="1" spans="1:67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</row>
    <row r="459" ht="18" customHeight="1" spans="1:67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</row>
    <row r="460" ht="18" customHeight="1" spans="1:67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</row>
    <row r="461" ht="18" customHeight="1" spans="1:67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</row>
    <row r="462" ht="18" customHeight="1" spans="1:67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</row>
    <row r="463" ht="18" customHeight="1" spans="1:67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</row>
    <row r="464" ht="18" customHeight="1" spans="1:67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</row>
    <row r="465" ht="18" customHeight="1" spans="1:67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</row>
    <row r="466" ht="18" customHeight="1" spans="1:67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</row>
    <row r="467" ht="18" customHeight="1" spans="1:67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</row>
    <row r="468" ht="18" customHeight="1" spans="1:67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</row>
    <row r="469" ht="18" customHeight="1" spans="1:67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</row>
    <row r="470" ht="18" customHeight="1" spans="1:67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</row>
    <row r="471" ht="18" customHeight="1" spans="1:67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</row>
    <row r="472" ht="18" customHeight="1" spans="1:67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</row>
    <row r="473" ht="18" customHeight="1" spans="1:67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</row>
    <row r="474" ht="18" customHeight="1" spans="1:67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</row>
    <row r="475" ht="18" customHeight="1" spans="1:67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</row>
    <row r="476" ht="18" customHeight="1" spans="1:67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</row>
    <row r="477" ht="18" customHeight="1" spans="1:67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</row>
    <row r="478" ht="18" customHeight="1" spans="1:67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</row>
    <row r="479" ht="18" customHeight="1" spans="1:67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</row>
    <row r="480" ht="18" customHeight="1" spans="1:67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</row>
    <row r="481" ht="18" customHeight="1" spans="1:67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</row>
    <row r="482" ht="18" customHeight="1" spans="1:67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</row>
    <row r="483" ht="18" customHeight="1" spans="1:67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</row>
    <row r="484" ht="18" customHeight="1" spans="1:67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</row>
    <row r="485" ht="18" customHeight="1" spans="1:67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</row>
    <row r="486" ht="18" customHeight="1" spans="1:67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</row>
    <row r="487" ht="18" customHeight="1" spans="1:67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</row>
    <row r="488" ht="18" customHeight="1" spans="1:67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</row>
    <row r="489" ht="18" customHeight="1" spans="1:67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</row>
    <row r="490" ht="18" customHeight="1" spans="1:67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</row>
    <row r="491" ht="18" customHeight="1" spans="1:67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</row>
    <row r="492" ht="18" customHeight="1" spans="1:67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</row>
    <row r="493" ht="18" customHeight="1" spans="1:67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</row>
    <row r="494" ht="18" customHeight="1" spans="1:67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</row>
    <row r="495" ht="18" customHeight="1" spans="1:67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</row>
    <row r="496" ht="18" customHeight="1" spans="1:67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</row>
    <row r="497" ht="18" customHeight="1" spans="1:67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</row>
    <row r="498" ht="18" customHeight="1" spans="1:67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</row>
    <row r="499" ht="18" customHeight="1" spans="1:67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</row>
    <row r="500" ht="18" customHeight="1" spans="1:67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</row>
    <row r="501" ht="18" customHeight="1" spans="1:67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</row>
    <row r="502" ht="18" customHeight="1" spans="1:67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</row>
    <row r="503" ht="18" customHeight="1" spans="1:67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</row>
    <row r="504" ht="18" customHeight="1" spans="1:67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</row>
    <row r="505" ht="18" customHeight="1" spans="1:67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</row>
    <row r="506" ht="18" customHeight="1" spans="1:67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</row>
    <row r="507" ht="18" customHeight="1" x14ac:dyDescent="0.25"/>
  </sheetData>
  <mergeCells count="382">
    <mergeCell ref="A1:C1"/>
    <mergeCell ref="D1:O1"/>
    <mergeCell ref="P1:BO1"/>
    <mergeCell ref="A7:A22"/>
    <mergeCell ref="B7:B22"/>
    <mergeCell ref="C7:C22"/>
    <mergeCell ref="D7:D22"/>
    <mergeCell ref="E7:E22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A23:A88"/>
    <mergeCell ref="B23:B28"/>
    <mergeCell ref="C23:C28"/>
    <mergeCell ref="D23:D28"/>
    <mergeCell ref="E23:E28"/>
    <mergeCell ref="F23:F24"/>
    <mergeCell ref="G23:G24"/>
    <mergeCell ref="F25:F26"/>
    <mergeCell ref="G25:G26"/>
    <mergeCell ref="F27:F28"/>
    <mergeCell ref="G27:G28"/>
    <mergeCell ref="B29:B34"/>
    <mergeCell ref="C29:C34"/>
    <mergeCell ref="D29:D34"/>
    <mergeCell ref="E29:E34"/>
    <mergeCell ref="F29:F30"/>
    <mergeCell ref="G29:G30"/>
    <mergeCell ref="F31:F32"/>
    <mergeCell ref="G31:G32"/>
    <mergeCell ref="F33:F34"/>
    <mergeCell ref="G33:G34"/>
    <mergeCell ref="B35:B46"/>
    <mergeCell ref="C35:C46"/>
    <mergeCell ref="D35:D46"/>
    <mergeCell ref="E35:E46"/>
    <mergeCell ref="F35:F36"/>
    <mergeCell ref="G35:G36"/>
    <mergeCell ref="F37:F38"/>
    <mergeCell ref="G37:G38"/>
    <mergeCell ref="F39:F40"/>
    <mergeCell ref="G39:G40"/>
    <mergeCell ref="F41:F42"/>
    <mergeCell ref="G41:G42"/>
    <mergeCell ref="F43:F44"/>
    <mergeCell ref="G43:G44"/>
    <mergeCell ref="F45:F46"/>
    <mergeCell ref="G45:G46"/>
    <mergeCell ref="B47:B64"/>
    <mergeCell ref="C47:C64"/>
    <mergeCell ref="D47:D64"/>
    <mergeCell ref="E47:E64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F59:F60"/>
    <mergeCell ref="G59:G60"/>
    <mergeCell ref="F61:F62"/>
    <mergeCell ref="G61:G62"/>
    <mergeCell ref="F63:F64"/>
    <mergeCell ref="G63:G64"/>
    <mergeCell ref="B65:B76"/>
    <mergeCell ref="C65:C76"/>
    <mergeCell ref="D65:D76"/>
    <mergeCell ref="E65:E76"/>
    <mergeCell ref="F65:F66"/>
    <mergeCell ref="G65:G66"/>
    <mergeCell ref="F67:F68"/>
    <mergeCell ref="G67:G68"/>
    <mergeCell ref="F69:F70"/>
    <mergeCell ref="G69:G70"/>
    <mergeCell ref="F71:F72"/>
    <mergeCell ref="G71:G72"/>
    <mergeCell ref="F73:F74"/>
    <mergeCell ref="G73:G74"/>
    <mergeCell ref="F75:F76"/>
    <mergeCell ref="G75:G76"/>
    <mergeCell ref="B77:B88"/>
    <mergeCell ref="C77:C88"/>
    <mergeCell ref="D77:D88"/>
    <mergeCell ref="E77:E88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A89:A108"/>
    <mergeCell ref="B89:B108"/>
    <mergeCell ref="C89:C108"/>
    <mergeCell ref="D89:D108"/>
    <mergeCell ref="E89:E10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A109:A172"/>
    <mergeCell ref="B109:B116"/>
    <mergeCell ref="C109:C116"/>
    <mergeCell ref="D109:D116"/>
    <mergeCell ref="E109:E116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B117:B124"/>
    <mergeCell ref="C117:C124"/>
    <mergeCell ref="D117:D124"/>
    <mergeCell ref="E117:E124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32"/>
    <mergeCell ref="C125:C132"/>
    <mergeCell ref="D125:D132"/>
    <mergeCell ref="E125:E132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B133:B140"/>
    <mergeCell ref="C133:C140"/>
    <mergeCell ref="D133:D140"/>
    <mergeCell ref="E133:E140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B141:B148"/>
    <mergeCell ref="C141:C148"/>
    <mergeCell ref="D141:D148"/>
    <mergeCell ref="E141:E148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B149:B156"/>
    <mergeCell ref="C149:C156"/>
    <mergeCell ref="D149:D156"/>
    <mergeCell ref="E149:E156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64"/>
    <mergeCell ref="C157:C164"/>
    <mergeCell ref="D157:D164"/>
    <mergeCell ref="E157:E164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B165:B172"/>
    <mergeCell ref="C165:C172"/>
    <mergeCell ref="D165:D172"/>
    <mergeCell ref="E165:E172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A173:A276"/>
    <mergeCell ref="B173:B206"/>
    <mergeCell ref="C173:C206"/>
    <mergeCell ref="D173:D206"/>
    <mergeCell ref="E173:E206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B207:B230"/>
    <mergeCell ref="C207:C230"/>
    <mergeCell ref="D207:D230"/>
    <mergeCell ref="E207:E230"/>
    <mergeCell ref="F207:F208"/>
    <mergeCell ref="G207:G208"/>
    <mergeCell ref="F209:F210"/>
    <mergeCell ref="G209:G210"/>
    <mergeCell ref="F211:F212"/>
    <mergeCell ref="G211:G21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B231:B234"/>
    <mergeCell ref="C231:C234"/>
    <mergeCell ref="D231:D234"/>
    <mergeCell ref="E231:E234"/>
    <mergeCell ref="F231:F232"/>
    <mergeCell ref="G231:G232"/>
    <mergeCell ref="F233:F234"/>
    <mergeCell ref="G233:G234"/>
    <mergeCell ref="B235:B242"/>
    <mergeCell ref="C235:C242"/>
    <mergeCell ref="D235:D242"/>
    <mergeCell ref="E235:E242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B243:B250"/>
    <mergeCell ref="C243:C250"/>
    <mergeCell ref="D243:D250"/>
    <mergeCell ref="E243:E250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B251:B258"/>
    <mergeCell ref="C251:C258"/>
    <mergeCell ref="D251:D258"/>
    <mergeCell ref="E251:E258"/>
    <mergeCell ref="F251:F252"/>
    <mergeCell ref="G251:G252"/>
    <mergeCell ref="F253:F254"/>
    <mergeCell ref="G253:G254"/>
    <mergeCell ref="F255:F256"/>
    <mergeCell ref="G255:G256"/>
    <mergeCell ref="F257:F258"/>
    <mergeCell ref="G257:G258"/>
    <mergeCell ref="B259:B260"/>
    <mergeCell ref="C259:C260"/>
    <mergeCell ref="D259:D260"/>
    <mergeCell ref="E259:E260"/>
    <mergeCell ref="F259:F260"/>
    <mergeCell ref="G259:G260"/>
    <mergeCell ref="B261:B262"/>
    <mergeCell ref="C261:C262"/>
    <mergeCell ref="D261:D262"/>
    <mergeCell ref="E261:E262"/>
    <mergeCell ref="F261:F262"/>
    <mergeCell ref="G261:G262"/>
    <mergeCell ref="B263:B268"/>
    <mergeCell ref="C263:C268"/>
    <mergeCell ref="D263:D268"/>
    <mergeCell ref="E263:E268"/>
    <mergeCell ref="F263:F264"/>
    <mergeCell ref="G263:G264"/>
    <mergeCell ref="F265:F266"/>
    <mergeCell ref="G265:G266"/>
    <mergeCell ref="F267:F268"/>
    <mergeCell ref="G267:G268"/>
    <mergeCell ref="B269:B276"/>
    <mergeCell ref="C269:C276"/>
    <mergeCell ref="D269:D276"/>
    <mergeCell ref="E269:E276"/>
    <mergeCell ref="F269:F270"/>
    <mergeCell ref="G269:G270"/>
    <mergeCell ref="F271:F272"/>
    <mergeCell ref="G271:G272"/>
    <mergeCell ref="F273:F274"/>
    <mergeCell ref="G273:G274"/>
    <mergeCell ref="F275:F276"/>
    <mergeCell ref="G275:G27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2026-09-17T14:34:41Z</dcterms:created>
  <dcterms:modified xsi:type="dcterms:W3CDTF">2026-09-17T14:34:41Z</dcterms:modified>
</cp:coreProperties>
</file>